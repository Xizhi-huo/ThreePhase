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W57P\Documents\ThreePhase\ThreePhase-main\"/>
    </mc:Choice>
  </mc:AlternateContent>
  <xr:revisionPtr revIDLastSave="0" documentId="13_ncr:1_{B3B97E88-F3E2-4501-AFFD-48B7AC5FCD67}" xr6:coauthVersionLast="47" xr6:coauthVersionMax="47" xr10:uidLastSave="{00000000-0000-0000-0000-000000000000}"/>
  <bookViews>
    <workbookView xWindow="-110" yWindow="-110" windowWidth="19420" windowHeight="10300" tabRatio="938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3" i="1" l="1"/>
  <c r="R45" i="30"/>
  <c r="R43" i="30"/>
  <c r="R41" i="30"/>
  <c r="K41" i="30"/>
  <c r="E41" i="30"/>
  <c r="C41" i="30"/>
  <c r="R39" i="30"/>
  <c r="K39" i="30"/>
  <c r="E39" i="30"/>
  <c r="C39" i="30"/>
  <c r="R37" i="30"/>
  <c r="F35" i="30"/>
  <c r="D35" i="30"/>
  <c r="B35" i="30"/>
  <c r="H33" i="30"/>
  <c r="F33" i="30"/>
  <c r="D33" i="30"/>
  <c r="B33" i="30"/>
  <c r="O32" i="30"/>
  <c r="N32" i="30"/>
  <c r="M32" i="30"/>
  <c r="H32" i="30"/>
  <c r="F32" i="30"/>
  <c r="D32" i="30"/>
  <c r="B32" i="30"/>
  <c r="N31" i="30"/>
  <c r="J31" i="30"/>
  <c r="I31" i="30"/>
  <c r="H31" i="30"/>
  <c r="N30" i="30"/>
  <c r="J30" i="30"/>
  <c r="I30" i="30"/>
  <c r="H30" i="30"/>
  <c r="N29" i="30"/>
  <c r="J29" i="30"/>
  <c r="I29" i="30"/>
  <c r="H29" i="30"/>
  <c r="N28" i="30"/>
  <c r="J28" i="30"/>
  <c r="I28" i="30"/>
  <c r="H28" i="30"/>
  <c r="N27" i="30"/>
  <c r="J27" i="30"/>
  <c r="I27" i="30"/>
  <c r="H27" i="30"/>
  <c r="N26" i="30"/>
  <c r="J26" i="30"/>
  <c r="I26" i="30"/>
  <c r="H26" i="30"/>
  <c r="N25" i="30"/>
  <c r="J25" i="30"/>
  <c r="I25" i="30"/>
  <c r="H25" i="30"/>
  <c r="N24" i="30"/>
  <c r="J24" i="30"/>
  <c r="I24" i="30"/>
  <c r="H24" i="30"/>
  <c r="N23" i="30"/>
  <c r="J23" i="30"/>
  <c r="I23" i="30"/>
  <c r="H23" i="30"/>
  <c r="N22" i="30"/>
  <c r="J22" i="30"/>
  <c r="I22" i="30"/>
  <c r="H22" i="30"/>
  <c r="N21" i="30"/>
  <c r="J21" i="30"/>
  <c r="I21" i="30"/>
  <c r="H21" i="30"/>
  <c r="N20" i="30"/>
  <c r="J20" i="30"/>
  <c r="I20" i="30"/>
  <c r="H20" i="30"/>
  <c r="N19" i="30"/>
  <c r="J19" i="30"/>
  <c r="I19" i="30"/>
  <c r="H19" i="30"/>
  <c r="N18" i="30"/>
  <c r="J18" i="30"/>
  <c r="I18" i="30"/>
  <c r="H18" i="30"/>
  <c r="N17" i="30"/>
  <c r="J17" i="30"/>
  <c r="I17" i="30"/>
  <c r="H17" i="30"/>
  <c r="N16" i="30"/>
  <c r="J16" i="30"/>
  <c r="I16" i="30"/>
  <c r="H16" i="30"/>
  <c r="N15" i="30"/>
  <c r="J15" i="30"/>
  <c r="I15" i="30"/>
  <c r="H15" i="30"/>
  <c r="N14" i="30"/>
  <c r="J14" i="30"/>
  <c r="I14" i="30"/>
  <c r="H14" i="30"/>
  <c r="N13" i="30"/>
  <c r="J13" i="30"/>
  <c r="I13" i="30"/>
  <c r="H13" i="30"/>
  <c r="N12" i="30"/>
  <c r="J12" i="30"/>
  <c r="I12" i="30"/>
  <c r="H12" i="30"/>
  <c r="N11" i="30"/>
  <c r="J11" i="30"/>
  <c r="I11" i="30"/>
  <c r="H11" i="30"/>
  <c r="N10" i="30"/>
  <c r="J10" i="30"/>
  <c r="I10" i="30"/>
  <c r="H10" i="30"/>
  <c r="N9" i="30"/>
  <c r="J9" i="30"/>
  <c r="I9" i="30"/>
  <c r="H9" i="30"/>
  <c r="N8" i="30"/>
  <c r="J8" i="30"/>
  <c r="I8" i="30"/>
  <c r="H8" i="30"/>
  <c r="H4" i="30"/>
  <c r="R45" i="29"/>
  <c r="R43" i="29"/>
  <c r="R41" i="29"/>
  <c r="K41" i="29"/>
  <c r="E41" i="29"/>
  <c r="C41" i="29"/>
  <c r="R39" i="29"/>
  <c r="K39" i="29"/>
  <c r="E39" i="29"/>
  <c r="C39" i="29"/>
  <c r="R37" i="29"/>
  <c r="F35" i="29"/>
  <c r="D35" i="29"/>
  <c r="B35" i="29"/>
  <c r="H33" i="29"/>
  <c r="F33" i="29"/>
  <c r="D33" i="29"/>
  <c r="B33" i="29"/>
  <c r="O32" i="29"/>
  <c r="N32" i="29"/>
  <c r="M32" i="29"/>
  <c r="H32" i="29"/>
  <c r="F32" i="29"/>
  <c r="D32" i="29"/>
  <c r="B32" i="29"/>
  <c r="N31" i="29"/>
  <c r="J31" i="29"/>
  <c r="I31" i="29"/>
  <c r="H31" i="29"/>
  <c r="N30" i="29"/>
  <c r="J30" i="29"/>
  <c r="I30" i="29"/>
  <c r="H30" i="29"/>
  <c r="N29" i="29"/>
  <c r="J29" i="29"/>
  <c r="I29" i="29"/>
  <c r="H29" i="29"/>
  <c r="N28" i="29"/>
  <c r="J28" i="29"/>
  <c r="I28" i="29"/>
  <c r="H28" i="29"/>
  <c r="N27" i="29"/>
  <c r="J27" i="29"/>
  <c r="I27" i="29"/>
  <c r="H27" i="29"/>
  <c r="N26" i="29"/>
  <c r="J26" i="29"/>
  <c r="I26" i="29"/>
  <c r="H26" i="29"/>
  <c r="N25" i="29"/>
  <c r="J25" i="29"/>
  <c r="I25" i="29"/>
  <c r="H25" i="29"/>
  <c r="N24" i="29"/>
  <c r="J24" i="29"/>
  <c r="I24" i="29"/>
  <c r="H24" i="29"/>
  <c r="N23" i="29"/>
  <c r="J23" i="29"/>
  <c r="I23" i="29"/>
  <c r="H23" i="29"/>
  <c r="N22" i="29"/>
  <c r="J22" i="29"/>
  <c r="I22" i="29"/>
  <c r="H22" i="29"/>
  <c r="N21" i="29"/>
  <c r="J21" i="29"/>
  <c r="I21" i="29"/>
  <c r="H21" i="29"/>
  <c r="N20" i="29"/>
  <c r="J20" i="29"/>
  <c r="I20" i="29"/>
  <c r="H20" i="29"/>
  <c r="N19" i="29"/>
  <c r="J19" i="29"/>
  <c r="I19" i="29"/>
  <c r="H19" i="29"/>
  <c r="N18" i="29"/>
  <c r="J18" i="29"/>
  <c r="I18" i="29"/>
  <c r="H18" i="29"/>
  <c r="N17" i="29"/>
  <c r="J17" i="29"/>
  <c r="I17" i="29"/>
  <c r="H17" i="29"/>
  <c r="N16" i="29"/>
  <c r="J16" i="29"/>
  <c r="I16" i="29"/>
  <c r="H16" i="29"/>
  <c r="N15" i="29"/>
  <c r="J15" i="29"/>
  <c r="I15" i="29"/>
  <c r="H15" i="29"/>
  <c r="N14" i="29"/>
  <c r="J14" i="29"/>
  <c r="I14" i="29"/>
  <c r="H14" i="29"/>
  <c r="N13" i="29"/>
  <c r="J13" i="29"/>
  <c r="I13" i="29"/>
  <c r="H13" i="29"/>
  <c r="N12" i="29"/>
  <c r="J12" i="29"/>
  <c r="I12" i="29"/>
  <c r="H12" i="29"/>
  <c r="N11" i="29"/>
  <c r="J11" i="29"/>
  <c r="I11" i="29"/>
  <c r="H11" i="29"/>
  <c r="N10" i="29"/>
  <c r="J10" i="29"/>
  <c r="I10" i="29"/>
  <c r="H10" i="29"/>
  <c r="N9" i="29"/>
  <c r="J9" i="29"/>
  <c r="I9" i="29"/>
  <c r="H9" i="29"/>
  <c r="N8" i="29"/>
  <c r="J8" i="29"/>
  <c r="I8" i="29"/>
  <c r="H8" i="29"/>
  <c r="H4" i="29"/>
  <c r="R45" i="28"/>
  <c r="R43" i="28"/>
  <c r="R41" i="28"/>
  <c r="K41" i="28"/>
  <c r="E41" i="28"/>
  <c r="C41" i="28"/>
  <c r="R39" i="28"/>
  <c r="K39" i="28"/>
  <c r="E39" i="28"/>
  <c r="C39" i="28"/>
  <c r="R37" i="28"/>
  <c r="F35" i="28"/>
  <c r="D35" i="28"/>
  <c r="B35" i="28"/>
  <c r="H33" i="28"/>
  <c r="F33" i="28"/>
  <c r="D33" i="28"/>
  <c r="B33" i="28"/>
  <c r="O32" i="28"/>
  <c r="N32" i="28"/>
  <c r="M32" i="28"/>
  <c r="H32" i="28"/>
  <c r="F32" i="28"/>
  <c r="D32" i="28"/>
  <c r="B32" i="28"/>
  <c r="N31" i="28"/>
  <c r="J31" i="28"/>
  <c r="I31" i="28"/>
  <c r="H31" i="28"/>
  <c r="N30" i="28"/>
  <c r="J30" i="28"/>
  <c r="I30" i="28"/>
  <c r="H30" i="28"/>
  <c r="N29" i="28"/>
  <c r="J29" i="28"/>
  <c r="I29" i="28"/>
  <c r="H29" i="28"/>
  <c r="N28" i="28"/>
  <c r="J28" i="28"/>
  <c r="I28" i="28"/>
  <c r="H28" i="28"/>
  <c r="N27" i="28"/>
  <c r="J27" i="28"/>
  <c r="I27" i="28"/>
  <c r="H27" i="28"/>
  <c r="N26" i="28"/>
  <c r="J26" i="28"/>
  <c r="I26" i="28"/>
  <c r="H26" i="28"/>
  <c r="N25" i="28"/>
  <c r="J25" i="28"/>
  <c r="I25" i="28"/>
  <c r="H25" i="28"/>
  <c r="N24" i="28"/>
  <c r="J24" i="28"/>
  <c r="I24" i="28"/>
  <c r="H24" i="28"/>
  <c r="N23" i="28"/>
  <c r="J23" i="28"/>
  <c r="I23" i="28"/>
  <c r="H23" i="28"/>
  <c r="N22" i="28"/>
  <c r="J22" i="28"/>
  <c r="I22" i="28"/>
  <c r="H22" i="28"/>
  <c r="J21" i="28"/>
  <c r="I21" i="28"/>
  <c r="H21" i="28"/>
  <c r="N20" i="28"/>
  <c r="J20" i="28"/>
  <c r="I20" i="28"/>
  <c r="H20" i="28"/>
  <c r="N19" i="28"/>
  <c r="J19" i="28"/>
  <c r="I19" i="28"/>
  <c r="H19" i="28"/>
  <c r="N18" i="28"/>
  <c r="J18" i="28"/>
  <c r="I18" i="28"/>
  <c r="H18" i="28"/>
  <c r="N17" i="28"/>
  <c r="J17" i="28"/>
  <c r="I17" i="28"/>
  <c r="H17" i="28"/>
  <c r="N16" i="28"/>
  <c r="J16" i="28"/>
  <c r="I16" i="28"/>
  <c r="H16" i="28"/>
  <c r="N15" i="28"/>
  <c r="J15" i="28"/>
  <c r="I15" i="28"/>
  <c r="H15" i="28"/>
  <c r="N14" i="28"/>
  <c r="J14" i="28"/>
  <c r="I14" i="28"/>
  <c r="H14" i="28"/>
  <c r="N13" i="28"/>
  <c r="J13" i="28"/>
  <c r="I13" i="28"/>
  <c r="H13" i="28"/>
  <c r="N12" i="28"/>
  <c r="J12" i="28"/>
  <c r="I12" i="28"/>
  <c r="H12" i="28"/>
  <c r="N11" i="28"/>
  <c r="J11" i="28"/>
  <c r="I11" i="28"/>
  <c r="H11" i="28"/>
  <c r="N10" i="28"/>
  <c r="J10" i="28"/>
  <c r="I10" i="28"/>
  <c r="H10" i="28"/>
  <c r="N9" i="28"/>
  <c r="J9" i="28"/>
  <c r="I9" i="28"/>
  <c r="H9" i="28"/>
  <c r="N8" i="28"/>
  <c r="J8" i="28"/>
  <c r="I8" i="28"/>
  <c r="H8" i="28"/>
  <c r="H4" i="28"/>
  <c r="R45" i="27"/>
  <c r="R43" i="27"/>
  <c r="R41" i="27"/>
  <c r="K41" i="27"/>
  <c r="E41" i="27"/>
  <c r="C41" i="27"/>
  <c r="R39" i="27"/>
  <c r="K39" i="27"/>
  <c r="E39" i="27"/>
  <c r="C39" i="27"/>
  <c r="R37" i="27"/>
  <c r="F35" i="27"/>
  <c r="D35" i="27"/>
  <c r="B35" i="27"/>
  <c r="H33" i="27"/>
  <c r="F33" i="27"/>
  <c r="D33" i="27"/>
  <c r="B33" i="27"/>
  <c r="O32" i="27"/>
  <c r="N32" i="27"/>
  <c r="M32" i="27"/>
  <c r="H32" i="27"/>
  <c r="F32" i="27"/>
  <c r="D32" i="27"/>
  <c r="B32" i="27"/>
  <c r="N31" i="27"/>
  <c r="J31" i="27"/>
  <c r="I31" i="27"/>
  <c r="H31" i="27"/>
  <c r="N30" i="27"/>
  <c r="J30" i="27"/>
  <c r="I30" i="27"/>
  <c r="H30" i="27"/>
  <c r="N29" i="27"/>
  <c r="J29" i="27"/>
  <c r="I29" i="27"/>
  <c r="H29" i="27"/>
  <c r="N28" i="27"/>
  <c r="J28" i="27"/>
  <c r="I28" i="27"/>
  <c r="H28" i="27"/>
  <c r="N27" i="27"/>
  <c r="J27" i="27"/>
  <c r="I27" i="27"/>
  <c r="H27" i="27"/>
  <c r="N26" i="27"/>
  <c r="J26" i="27"/>
  <c r="I26" i="27"/>
  <c r="H26" i="27"/>
  <c r="N25" i="27"/>
  <c r="J25" i="27"/>
  <c r="I25" i="27"/>
  <c r="H25" i="27"/>
  <c r="N24" i="27"/>
  <c r="J24" i="27"/>
  <c r="I24" i="27"/>
  <c r="H24" i="27"/>
  <c r="N23" i="27"/>
  <c r="J23" i="27"/>
  <c r="I23" i="27"/>
  <c r="H23" i="27"/>
  <c r="N22" i="27"/>
  <c r="J22" i="27"/>
  <c r="I22" i="27"/>
  <c r="H22" i="27"/>
  <c r="J21" i="27"/>
  <c r="I21" i="27"/>
  <c r="H21" i="27"/>
  <c r="N20" i="27"/>
  <c r="J20" i="27"/>
  <c r="I20" i="27"/>
  <c r="H20" i="27"/>
  <c r="N19" i="27"/>
  <c r="J19" i="27"/>
  <c r="I19" i="27"/>
  <c r="H19" i="27"/>
  <c r="N18" i="27"/>
  <c r="J18" i="27"/>
  <c r="I18" i="27"/>
  <c r="H18" i="27"/>
  <c r="N17" i="27"/>
  <c r="J17" i="27"/>
  <c r="I17" i="27"/>
  <c r="H17" i="27"/>
  <c r="N16" i="27"/>
  <c r="J16" i="27"/>
  <c r="I16" i="27"/>
  <c r="H16" i="27"/>
  <c r="N15" i="27"/>
  <c r="J15" i="27"/>
  <c r="I15" i="27"/>
  <c r="H15" i="27"/>
  <c r="N14" i="27"/>
  <c r="J14" i="27"/>
  <c r="I14" i="27"/>
  <c r="H14" i="27"/>
  <c r="N13" i="27"/>
  <c r="J13" i="27"/>
  <c r="I13" i="27"/>
  <c r="H13" i="27"/>
  <c r="N12" i="27"/>
  <c r="J12" i="27"/>
  <c r="I12" i="27"/>
  <c r="H12" i="27"/>
  <c r="N11" i="27"/>
  <c r="J11" i="27"/>
  <c r="I11" i="27"/>
  <c r="H11" i="27"/>
  <c r="N10" i="27"/>
  <c r="J10" i="27"/>
  <c r="I10" i="27"/>
  <c r="H10" i="27"/>
  <c r="N9" i="27"/>
  <c r="J9" i="27"/>
  <c r="I9" i="27"/>
  <c r="H9" i="27"/>
  <c r="N8" i="27"/>
  <c r="J8" i="27"/>
  <c r="I8" i="27"/>
  <c r="H8" i="27"/>
  <c r="H4" i="27"/>
  <c r="R45" i="26"/>
  <c r="R43" i="26"/>
  <c r="R41" i="26"/>
  <c r="K41" i="26"/>
  <c r="E41" i="26"/>
  <c r="C41" i="26"/>
  <c r="R39" i="26"/>
  <c r="K39" i="26"/>
  <c r="E39" i="26"/>
  <c r="C39" i="26"/>
  <c r="R37" i="26"/>
  <c r="F35" i="26"/>
  <c r="D35" i="26"/>
  <c r="B35" i="26"/>
  <c r="H33" i="26"/>
  <c r="F33" i="26"/>
  <c r="D33" i="26"/>
  <c r="B33" i="26"/>
  <c r="O32" i="26"/>
  <c r="N32" i="26"/>
  <c r="M32" i="26"/>
  <c r="H32" i="26"/>
  <c r="F32" i="26"/>
  <c r="D32" i="26"/>
  <c r="B32" i="26"/>
  <c r="N31" i="26"/>
  <c r="J31" i="26"/>
  <c r="I31" i="26"/>
  <c r="H31" i="26"/>
  <c r="N30" i="26"/>
  <c r="J30" i="26"/>
  <c r="I30" i="26"/>
  <c r="H30" i="26"/>
  <c r="N29" i="26"/>
  <c r="J29" i="26"/>
  <c r="I29" i="26"/>
  <c r="H29" i="26"/>
  <c r="N28" i="26"/>
  <c r="J28" i="26"/>
  <c r="I28" i="26"/>
  <c r="H28" i="26"/>
  <c r="N27" i="26"/>
  <c r="J27" i="26"/>
  <c r="I27" i="26"/>
  <c r="H27" i="26"/>
  <c r="N26" i="26"/>
  <c r="J26" i="26"/>
  <c r="I26" i="26"/>
  <c r="H26" i="26"/>
  <c r="N25" i="26"/>
  <c r="J25" i="26"/>
  <c r="I25" i="26"/>
  <c r="H25" i="26"/>
  <c r="N24" i="26"/>
  <c r="J24" i="26"/>
  <c r="I24" i="26"/>
  <c r="H24" i="26"/>
  <c r="N23" i="26"/>
  <c r="J23" i="26"/>
  <c r="I23" i="26"/>
  <c r="H23" i="26"/>
  <c r="N22" i="26"/>
  <c r="J22" i="26"/>
  <c r="I22" i="26"/>
  <c r="H22" i="26"/>
  <c r="J21" i="26"/>
  <c r="I21" i="26"/>
  <c r="H21" i="26"/>
  <c r="N20" i="26"/>
  <c r="J20" i="26"/>
  <c r="I20" i="26"/>
  <c r="H20" i="26"/>
  <c r="N19" i="26"/>
  <c r="J19" i="26"/>
  <c r="I19" i="26"/>
  <c r="H19" i="26"/>
  <c r="N18" i="26"/>
  <c r="J18" i="26"/>
  <c r="I18" i="26"/>
  <c r="H18" i="26"/>
  <c r="N17" i="26"/>
  <c r="J17" i="26"/>
  <c r="I17" i="26"/>
  <c r="H17" i="26"/>
  <c r="N16" i="26"/>
  <c r="J16" i="26"/>
  <c r="I16" i="26"/>
  <c r="H16" i="26"/>
  <c r="N15" i="26"/>
  <c r="J15" i="26"/>
  <c r="I15" i="26"/>
  <c r="H15" i="26"/>
  <c r="N14" i="26"/>
  <c r="J14" i="26"/>
  <c r="I14" i="26"/>
  <c r="H14" i="26"/>
  <c r="N13" i="26"/>
  <c r="J13" i="26"/>
  <c r="I13" i="26"/>
  <c r="H13" i="26"/>
  <c r="N12" i="26"/>
  <c r="J12" i="26"/>
  <c r="I12" i="26"/>
  <c r="H12" i="26"/>
  <c r="N11" i="26"/>
  <c r="J11" i="26"/>
  <c r="I11" i="26"/>
  <c r="H11" i="26"/>
  <c r="N10" i="26"/>
  <c r="J10" i="26"/>
  <c r="I10" i="26"/>
  <c r="H10" i="26"/>
  <c r="N9" i="26"/>
  <c r="J9" i="26"/>
  <c r="I9" i="26"/>
  <c r="H9" i="26"/>
  <c r="N8" i="26"/>
  <c r="J8" i="26"/>
  <c r="I8" i="26"/>
  <c r="H8" i="26"/>
  <c r="H4" i="26"/>
  <c r="R45" i="25"/>
  <c r="R43" i="25"/>
  <c r="R41" i="25"/>
  <c r="K41" i="25"/>
  <c r="E41" i="25"/>
  <c r="C41" i="25"/>
  <c r="R39" i="25"/>
  <c r="K39" i="25"/>
  <c r="E39" i="25"/>
  <c r="C39" i="25"/>
  <c r="R37" i="25"/>
  <c r="F35" i="25"/>
  <c r="D35" i="25"/>
  <c r="B35" i="25"/>
  <c r="H33" i="25"/>
  <c r="F33" i="25"/>
  <c r="D33" i="25"/>
  <c r="B33" i="25"/>
  <c r="O32" i="25"/>
  <c r="N32" i="25"/>
  <c r="M32" i="25"/>
  <c r="H32" i="25"/>
  <c r="F32" i="25"/>
  <c r="D32" i="25"/>
  <c r="B32" i="25"/>
  <c r="N31" i="25"/>
  <c r="J31" i="25"/>
  <c r="I31" i="25"/>
  <c r="H31" i="25"/>
  <c r="N30" i="25"/>
  <c r="J30" i="25"/>
  <c r="I30" i="25"/>
  <c r="H30" i="25"/>
  <c r="N29" i="25"/>
  <c r="J29" i="25"/>
  <c r="I29" i="25"/>
  <c r="H29" i="25"/>
  <c r="N28" i="25"/>
  <c r="J28" i="25"/>
  <c r="I28" i="25"/>
  <c r="H28" i="25"/>
  <c r="N27" i="25"/>
  <c r="J27" i="25"/>
  <c r="I27" i="25"/>
  <c r="H27" i="25"/>
  <c r="N26" i="25"/>
  <c r="J26" i="25"/>
  <c r="I26" i="25"/>
  <c r="H26" i="25"/>
  <c r="N25" i="25"/>
  <c r="J25" i="25"/>
  <c r="I25" i="25"/>
  <c r="H25" i="25"/>
  <c r="N24" i="25"/>
  <c r="J24" i="25"/>
  <c r="I24" i="25"/>
  <c r="H24" i="25"/>
  <c r="N23" i="25"/>
  <c r="J23" i="25"/>
  <c r="I23" i="25"/>
  <c r="H23" i="25"/>
  <c r="N22" i="25"/>
  <c r="J22" i="25"/>
  <c r="I22" i="25"/>
  <c r="H22" i="25"/>
  <c r="N21" i="25"/>
  <c r="J21" i="25"/>
  <c r="I21" i="25"/>
  <c r="H21" i="25"/>
  <c r="N20" i="25"/>
  <c r="J20" i="25"/>
  <c r="I20" i="25"/>
  <c r="H20" i="25"/>
  <c r="N19" i="25"/>
  <c r="J19" i="25"/>
  <c r="I19" i="25"/>
  <c r="H19" i="25"/>
  <c r="N18" i="25"/>
  <c r="J18" i="25"/>
  <c r="I18" i="25"/>
  <c r="H18" i="25"/>
  <c r="N17" i="25"/>
  <c r="J17" i="25"/>
  <c r="I17" i="25"/>
  <c r="H17" i="25"/>
  <c r="N16" i="25"/>
  <c r="J16" i="25"/>
  <c r="I16" i="25"/>
  <c r="H16" i="25"/>
  <c r="N15" i="25"/>
  <c r="J15" i="25"/>
  <c r="I15" i="25"/>
  <c r="H15" i="25"/>
  <c r="N14" i="25"/>
  <c r="J14" i="25"/>
  <c r="I14" i="25"/>
  <c r="H14" i="25"/>
  <c r="N13" i="25"/>
  <c r="J13" i="25"/>
  <c r="I13" i="25"/>
  <c r="H13" i="25"/>
  <c r="N12" i="25"/>
  <c r="J12" i="25"/>
  <c r="I12" i="25"/>
  <c r="H12" i="25"/>
  <c r="N11" i="25"/>
  <c r="J11" i="25"/>
  <c r="I11" i="25"/>
  <c r="H11" i="25"/>
  <c r="N10" i="25"/>
  <c r="J10" i="25"/>
  <c r="I10" i="25"/>
  <c r="H10" i="25"/>
  <c r="N9" i="25"/>
  <c r="J9" i="25"/>
  <c r="I9" i="25"/>
  <c r="H9" i="25"/>
  <c r="N8" i="25"/>
  <c r="J8" i="25"/>
  <c r="I8" i="25"/>
  <c r="H8" i="25"/>
  <c r="H4" i="25"/>
  <c r="R45" i="24"/>
  <c r="R43" i="24"/>
  <c r="R41" i="24"/>
  <c r="K41" i="24"/>
  <c r="E41" i="24"/>
  <c r="C41" i="24"/>
  <c r="R39" i="24"/>
  <c r="K39" i="24"/>
  <c r="E39" i="24"/>
  <c r="C39" i="24"/>
  <c r="R37" i="24"/>
  <c r="F35" i="24"/>
  <c r="D35" i="24"/>
  <c r="B35" i="24"/>
  <c r="H33" i="24"/>
  <c r="F33" i="24"/>
  <c r="D33" i="24"/>
  <c r="B33" i="24"/>
  <c r="O32" i="24"/>
  <c r="N32" i="24"/>
  <c r="M32" i="24"/>
  <c r="H32" i="24"/>
  <c r="F32" i="24"/>
  <c r="D32" i="24"/>
  <c r="B32" i="24"/>
  <c r="N31" i="24"/>
  <c r="J31" i="24"/>
  <c r="I31" i="24"/>
  <c r="H31" i="24"/>
  <c r="N30" i="24"/>
  <c r="J30" i="24"/>
  <c r="I30" i="24"/>
  <c r="H30" i="24"/>
  <c r="N29" i="24"/>
  <c r="J29" i="24"/>
  <c r="I29" i="24"/>
  <c r="H29" i="24"/>
  <c r="N28" i="24"/>
  <c r="J28" i="24"/>
  <c r="I28" i="24"/>
  <c r="H28" i="24"/>
  <c r="N27" i="24"/>
  <c r="J27" i="24"/>
  <c r="I27" i="24"/>
  <c r="H27" i="24"/>
  <c r="N26" i="24"/>
  <c r="J26" i="24"/>
  <c r="I26" i="24"/>
  <c r="H26" i="24"/>
  <c r="N25" i="24"/>
  <c r="J25" i="24"/>
  <c r="I25" i="24"/>
  <c r="H25" i="24"/>
  <c r="N24" i="24"/>
  <c r="J24" i="24"/>
  <c r="I24" i="24"/>
  <c r="H24" i="24"/>
  <c r="N23" i="24"/>
  <c r="J23" i="24"/>
  <c r="I23" i="24"/>
  <c r="H23" i="24"/>
  <c r="N22" i="24"/>
  <c r="J22" i="24"/>
  <c r="I22" i="24"/>
  <c r="H22" i="24"/>
  <c r="N21" i="24"/>
  <c r="J21" i="24"/>
  <c r="I21" i="24"/>
  <c r="H21" i="24"/>
  <c r="N20" i="24"/>
  <c r="J20" i="24"/>
  <c r="I20" i="24"/>
  <c r="H20" i="24"/>
  <c r="N19" i="24"/>
  <c r="J19" i="24"/>
  <c r="I19" i="24"/>
  <c r="H19" i="24"/>
  <c r="N18" i="24"/>
  <c r="J18" i="24"/>
  <c r="I18" i="24"/>
  <c r="H18" i="24"/>
  <c r="N17" i="24"/>
  <c r="J17" i="24"/>
  <c r="I17" i="24"/>
  <c r="H17" i="24"/>
  <c r="N16" i="24"/>
  <c r="J16" i="24"/>
  <c r="I16" i="24"/>
  <c r="H16" i="24"/>
  <c r="N15" i="24"/>
  <c r="J15" i="24"/>
  <c r="I15" i="24"/>
  <c r="H15" i="24"/>
  <c r="N14" i="24"/>
  <c r="J14" i="24"/>
  <c r="I14" i="24"/>
  <c r="H14" i="24"/>
  <c r="N13" i="24"/>
  <c r="J13" i="24"/>
  <c r="I13" i="24"/>
  <c r="H13" i="24"/>
  <c r="N12" i="24"/>
  <c r="J12" i="24"/>
  <c r="I12" i="24"/>
  <c r="H12" i="24"/>
  <c r="N11" i="24"/>
  <c r="J11" i="24"/>
  <c r="I11" i="24"/>
  <c r="H11" i="24"/>
  <c r="N10" i="24"/>
  <c r="J10" i="24"/>
  <c r="I10" i="24"/>
  <c r="H10" i="24"/>
  <c r="N9" i="24"/>
  <c r="J9" i="24"/>
  <c r="I9" i="24"/>
  <c r="H9" i="24"/>
  <c r="N8" i="24"/>
  <c r="J8" i="24"/>
  <c r="I8" i="24"/>
  <c r="H8" i="24"/>
  <c r="H4" i="24"/>
  <c r="R45" i="23"/>
  <c r="R43" i="23"/>
  <c r="R41" i="23"/>
  <c r="K41" i="23"/>
  <c r="E41" i="23"/>
  <c r="C41" i="23"/>
  <c r="R39" i="23"/>
  <c r="K39" i="23"/>
  <c r="E39" i="23"/>
  <c r="C39" i="23"/>
  <c r="R37" i="23"/>
  <c r="F35" i="23"/>
  <c r="D35" i="23"/>
  <c r="B35" i="23"/>
  <c r="H33" i="23"/>
  <c r="F33" i="23"/>
  <c r="D33" i="23"/>
  <c r="B33" i="23"/>
  <c r="O32" i="23"/>
  <c r="N32" i="23"/>
  <c r="M32" i="23"/>
  <c r="H32" i="23"/>
  <c r="F32" i="23"/>
  <c r="D32" i="23"/>
  <c r="B32" i="23"/>
  <c r="N31" i="23"/>
  <c r="J31" i="23"/>
  <c r="I31" i="23"/>
  <c r="H31" i="23"/>
  <c r="N30" i="23"/>
  <c r="J30" i="23"/>
  <c r="I30" i="23"/>
  <c r="H30" i="23"/>
  <c r="N29" i="23"/>
  <c r="J29" i="23"/>
  <c r="I29" i="23"/>
  <c r="H29" i="23"/>
  <c r="N28" i="23"/>
  <c r="J28" i="23"/>
  <c r="I28" i="23"/>
  <c r="H28" i="23"/>
  <c r="N27" i="23"/>
  <c r="J27" i="23"/>
  <c r="I27" i="23"/>
  <c r="H27" i="23"/>
  <c r="N26" i="23"/>
  <c r="J26" i="23"/>
  <c r="I26" i="23"/>
  <c r="H26" i="23"/>
  <c r="N25" i="23"/>
  <c r="J25" i="23"/>
  <c r="I25" i="23"/>
  <c r="H25" i="23"/>
  <c r="N24" i="23"/>
  <c r="J24" i="23"/>
  <c r="I24" i="23"/>
  <c r="H24" i="23"/>
  <c r="N23" i="23"/>
  <c r="J23" i="23"/>
  <c r="I23" i="23"/>
  <c r="H23" i="23"/>
  <c r="N22" i="23"/>
  <c r="J22" i="23"/>
  <c r="I22" i="23"/>
  <c r="H22" i="23"/>
  <c r="N21" i="23"/>
  <c r="J21" i="23"/>
  <c r="I21" i="23"/>
  <c r="H21" i="23"/>
  <c r="N20" i="23"/>
  <c r="J20" i="23"/>
  <c r="I20" i="23"/>
  <c r="H20" i="23"/>
  <c r="N19" i="23"/>
  <c r="J19" i="23"/>
  <c r="I19" i="23"/>
  <c r="H19" i="23"/>
  <c r="N18" i="23"/>
  <c r="J18" i="23"/>
  <c r="I18" i="23"/>
  <c r="H18" i="23"/>
  <c r="N17" i="23"/>
  <c r="J17" i="23"/>
  <c r="I17" i="23"/>
  <c r="H17" i="23"/>
  <c r="N16" i="23"/>
  <c r="J16" i="23"/>
  <c r="I16" i="23"/>
  <c r="H16" i="23"/>
  <c r="N15" i="23"/>
  <c r="J15" i="23"/>
  <c r="I15" i="23"/>
  <c r="H15" i="23"/>
  <c r="N14" i="23"/>
  <c r="J14" i="23"/>
  <c r="I14" i="23"/>
  <c r="H14" i="23"/>
  <c r="N13" i="23"/>
  <c r="J13" i="23"/>
  <c r="I13" i="23"/>
  <c r="H13" i="23"/>
  <c r="N12" i="23"/>
  <c r="J12" i="23"/>
  <c r="I12" i="23"/>
  <c r="H12" i="23"/>
  <c r="N11" i="23"/>
  <c r="J11" i="23"/>
  <c r="I11" i="23"/>
  <c r="H11" i="23"/>
  <c r="N10" i="23"/>
  <c r="J10" i="23"/>
  <c r="I10" i="23"/>
  <c r="H10" i="23"/>
  <c r="N9" i="23"/>
  <c r="J9" i="23"/>
  <c r="I9" i="23"/>
  <c r="H9" i="23"/>
  <c r="N8" i="23"/>
  <c r="J8" i="23"/>
  <c r="I8" i="23"/>
  <c r="H8" i="23"/>
  <c r="H4" i="23"/>
  <c r="R45" i="22"/>
  <c r="R43" i="22"/>
  <c r="R41" i="22"/>
  <c r="K41" i="22"/>
  <c r="E41" i="22"/>
  <c r="C41" i="22"/>
  <c r="R39" i="22"/>
  <c r="K39" i="22"/>
  <c r="E39" i="22"/>
  <c r="C39" i="22"/>
  <c r="R37" i="22"/>
  <c r="F35" i="22"/>
  <c r="D35" i="22"/>
  <c r="B35" i="22"/>
  <c r="H33" i="22"/>
  <c r="F33" i="22"/>
  <c r="D33" i="22"/>
  <c r="B33" i="22"/>
  <c r="O32" i="22"/>
  <c r="N32" i="22"/>
  <c r="M32" i="22"/>
  <c r="H32" i="22"/>
  <c r="F32" i="22"/>
  <c r="D32" i="22"/>
  <c r="B32" i="22"/>
  <c r="N31" i="22"/>
  <c r="J31" i="22"/>
  <c r="I31" i="22"/>
  <c r="H31" i="22"/>
  <c r="N30" i="22"/>
  <c r="J30" i="22"/>
  <c r="I30" i="22"/>
  <c r="H30" i="22"/>
  <c r="N29" i="22"/>
  <c r="J29" i="22"/>
  <c r="I29" i="22"/>
  <c r="H29" i="22"/>
  <c r="N28" i="22"/>
  <c r="J28" i="22"/>
  <c r="I28" i="22"/>
  <c r="H28" i="22"/>
  <c r="N27" i="22"/>
  <c r="J27" i="22"/>
  <c r="I27" i="22"/>
  <c r="H27" i="22"/>
  <c r="N26" i="22"/>
  <c r="J26" i="22"/>
  <c r="I26" i="22"/>
  <c r="H26" i="22"/>
  <c r="N25" i="22"/>
  <c r="J25" i="22"/>
  <c r="I25" i="22"/>
  <c r="H25" i="22"/>
  <c r="N24" i="22"/>
  <c r="J24" i="22"/>
  <c r="I24" i="22"/>
  <c r="H24" i="22"/>
  <c r="N23" i="22"/>
  <c r="J23" i="22"/>
  <c r="I23" i="22"/>
  <c r="H23" i="22"/>
  <c r="N22" i="22"/>
  <c r="J22" i="22"/>
  <c r="I22" i="22"/>
  <c r="H22" i="22"/>
  <c r="N21" i="22"/>
  <c r="J21" i="22"/>
  <c r="I21" i="22"/>
  <c r="H21" i="22"/>
  <c r="N20" i="22"/>
  <c r="J20" i="22"/>
  <c r="I20" i="22"/>
  <c r="H20" i="22"/>
  <c r="N19" i="22"/>
  <c r="J19" i="22"/>
  <c r="I19" i="22"/>
  <c r="H19" i="22"/>
  <c r="N18" i="22"/>
  <c r="J18" i="22"/>
  <c r="I18" i="22"/>
  <c r="H18" i="22"/>
  <c r="N17" i="22"/>
  <c r="J17" i="22"/>
  <c r="I17" i="22"/>
  <c r="H17" i="22"/>
  <c r="N16" i="22"/>
  <c r="J16" i="22"/>
  <c r="I16" i="22"/>
  <c r="H16" i="22"/>
  <c r="N15" i="22"/>
  <c r="J15" i="22"/>
  <c r="I15" i="22"/>
  <c r="H15" i="22"/>
  <c r="N14" i="22"/>
  <c r="J14" i="22"/>
  <c r="I14" i="22"/>
  <c r="H14" i="22"/>
  <c r="N13" i="22"/>
  <c r="J13" i="22"/>
  <c r="I13" i="22"/>
  <c r="H13" i="22"/>
  <c r="N12" i="22"/>
  <c r="J12" i="22"/>
  <c r="I12" i="22"/>
  <c r="H12" i="22"/>
  <c r="N11" i="22"/>
  <c r="J11" i="22"/>
  <c r="I11" i="22"/>
  <c r="H11" i="22"/>
  <c r="N10" i="22"/>
  <c r="J10" i="22"/>
  <c r="I10" i="22"/>
  <c r="H10" i="22"/>
  <c r="N9" i="22"/>
  <c r="J9" i="22"/>
  <c r="I9" i="22"/>
  <c r="H9" i="22"/>
  <c r="N8" i="22"/>
  <c r="J8" i="22"/>
  <c r="I8" i="22"/>
  <c r="H8" i="22"/>
  <c r="H4" i="22"/>
  <c r="R45" i="21"/>
  <c r="R43" i="21"/>
  <c r="R41" i="21"/>
  <c r="K41" i="21"/>
  <c r="E41" i="21"/>
  <c r="C41" i="21"/>
  <c r="R39" i="21"/>
  <c r="K39" i="21"/>
  <c r="E39" i="21"/>
  <c r="C39" i="21"/>
  <c r="R37" i="21"/>
  <c r="F35" i="21"/>
  <c r="D35" i="21"/>
  <c r="B35" i="21"/>
  <c r="H33" i="21"/>
  <c r="F33" i="21"/>
  <c r="D33" i="21"/>
  <c r="B33" i="21"/>
  <c r="O32" i="21"/>
  <c r="N32" i="21"/>
  <c r="M32" i="21"/>
  <c r="H32" i="21"/>
  <c r="F32" i="21"/>
  <c r="D32" i="21"/>
  <c r="B32" i="21"/>
  <c r="N31" i="21"/>
  <c r="J31" i="21"/>
  <c r="I31" i="21"/>
  <c r="H31" i="21"/>
  <c r="N30" i="21"/>
  <c r="J30" i="21"/>
  <c r="I30" i="21"/>
  <c r="H30" i="21"/>
  <c r="N29" i="21"/>
  <c r="J29" i="21"/>
  <c r="I29" i="21"/>
  <c r="H29" i="21"/>
  <c r="N28" i="21"/>
  <c r="J28" i="21"/>
  <c r="I28" i="21"/>
  <c r="H28" i="21"/>
  <c r="N27" i="21"/>
  <c r="J27" i="21"/>
  <c r="I27" i="21"/>
  <c r="H27" i="21"/>
  <c r="N26" i="21"/>
  <c r="J26" i="21"/>
  <c r="I26" i="21"/>
  <c r="H26" i="21"/>
  <c r="N25" i="21"/>
  <c r="J25" i="21"/>
  <c r="I25" i="21"/>
  <c r="H25" i="21"/>
  <c r="N24" i="21"/>
  <c r="J24" i="21"/>
  <c r="I24" i="21"/>
  <c r="H24" i="21"/>
  <c r="N23" i="21"/>
  <c r="J23" i="21"/>
  <c r="I23" i="21"/>
  <c r="H23" i="21"/>
  <c r="N22" i="21"/>
  <c r="J22" i="21"/>
  <c r="I22" i="21"/>
  <c r="H22" i="21"/>
  <c r="N21" i="21"/>
  <c r="J21" i="21"/>
  <c r="I21" i="21"/>
  <c r="H21" i="21"/>
  <c r="N20" i="21"/>
  <c r="J20" i="21"/>
  <c r="I20" i="21"/>
  <c r="H20" i="21"/>
  <c r="N19" i="21"/>
  <c r="J19" i="21"/>
  <c r="I19" i="21"/>
  <c r="H19" i="21"/>
  <c r="N18" i="21"/>
  <c r="J18" i="21"/>
  <c r="I18" i="21"/>
  <c r="H18" i="21"/>
  <c r="N17" i="21"/>
  <c r="J17" i="21"/>
  <c r="I17" i="21"/>
  <c r="H17" i="21"/>
  <c r="N16" i="21"/>
  <c r="J16" i="21"/>
  <c r="I16" i="21"/>
  <c r="H16" i="21"/>
  <c r="N15" i="21"/>
  <c r="J15" i="21"/>
  <c r="I15" i="21"/>
  <c r="H15" i="21"/>
  <c r="N14" i="21"/>
  <c r="J14" i="21"/>
  <c r="I14" i="21"/>
  <c r="H14" i="21"/>
  <c r="N13" i="21"/>
  <c r="J13" i="21"/>
  <c r="I13" i="21"/>
  <c r="H13" i="21"/>
  <c r="N12" i="21"/>
  <c r="J12" i="21"/>
  <c r="I12" i="21"/>
  <c r="H12" i="21"/>
  <c r="N11" i="21"/>
  <c r="J11" i="21"/>
  <c r="I11" i="21"/>
  <c r="H11" i="21"/>
  <c r="N10" i="21"/>
  <c r="J10" i="21"/>
  <c r="I10" i="21"/>
  <c r="H10" i="21"/>
  <c r="N9" i="21"/>
  <c r="J9" i="21"/>
  <c r="I9" i="21"/>
  <c r="H9" i="21"/>
  <c r="N8" i="21"/>
  <c r="J8" i="21"/>
  <c r="I8" i="21"/>
  <c r="H8" i="21"/>
  <c r="H4" i="21"/>
  <c r="R45" i="20"/>
  <c r="R43" i="20"/>
  <c r="R41" i="20"/>
  <c r="K41" i="20"/>
  <c r="E41" i="20"/>
  <c r="C41" i="20"/>
  <c r="R39" i="20"/>
  <c r="K39" i="20"/>
  <c r="E39" i="20"/>
  <c r="C39" i="20"/>
  <c r="R37" i="20"/>
  <c r="F35" i="20"/>
  <c r="D35" i="20"/>
  <c r="B35" i="20"/>
  <c r="H33" i="20"/>
  <c r="F33" i="20"/>
  <c r="D33" i="20"/>
  <c r="B33" i="20"/>
  <c r="O32" i="20"/>
  <c r="N32" i="20"/>
  <c r="M32" i="20"/>
  <c r="H32" i="20"/>
  <c r="F32" i="20"/>
  <c r="D32" i="20"/>
  <c r="B32" i="20"/>
  <c r="N31" i="20"/>
  <c r="J31" i="20"/>
  <c r="I31" i="20"/>
  <c r="H31" i="20"/>
  <c r="N30" i="20"/>
  <c r="J30" i="20"/>
  <c r="I30" i="20"/>
  <c r="H30" i="20"/>
  <c r="N29" i="20"/>
  <c r="J29" i="20"/>
  <c r="I29" i="20"/>
  <c r="H29" i="20"/>
  <c r="N28" i="20"/>
  <c r="J28" i="20"/>
  <c r="I28" i="20"/>
  <c r="H28" i="20"/>
  <c r="N27" i="20"/>
  <c r="J27" i="20"/>
  <c r="I27" i="20"/>
  <c r="H27" i="20"/>
  <c r="N26" i="20"/>
  <c r="J26" i="20"/>
  <c r="I26" i="20"/>
  <c r="H26" i="20"/>
  <c r="N25" i="20"/>
  <c r="J25" i="20"/>
  <c r="I25" i="20"/>
  <c r="H25" i="20"/>
  <c r="N24" i="20"/>
  <c r="J24" i="20"/>
  <c r="I24" i="20"/>
  <c r="H24" i="20"/>
  <c r="N23" i="20"/>
  <c r="J23" i="20"/>
  <c r="I23" i="20"/>
  <c r="H23" i="20"/>
  <c r="N22" i="20"/>
  <c r="J22" i="20"/>
  <c r="I22" i="20"/>
  <c r="H22" i="20"/>
  <c r="N21" i="20"/>
  <c r="J21" i="20"/>
  <c r="I21" i="20"/>
  <c r="H21" i="20"/>
  <c r="N20" i="20"/>
  <c r="J20" i="20"/>
  <c r="I20" i="20"/>
  <c r="H20" i="20"/>
  <c r="N19" i="20"/>
  <c r="J19" i="20"/>
  <c r="I19" i="20"/>
  <c r="H19" i="20"/>
  <c r="N18" i="20"/>
  <c r="J18" i="20"/>
  <c r="I18" i="20"/>
  <c r="H18" i="20"/>
  <c r="N17" i="20"/>
  <c r="J17" i="20"/>
  <c r="I17" i="20"/>
  <c r="H17" i="20"/>
  <c r="N16" i="20"/>
  <c r="J16" i="20"/>
  <c r="I16" i="20"/>
  <c r="H16" i="20"/>
  <c r="N15" i="20"/>
  <c r="J15" i="20"/>
  <c r="I15" i="20"/>
  <c r="H15" i="20"/>
  <c r="N14" i="20"/>
  <c r="J14" i="20"/>
  <c r="I14" i="20"/>
  <c r="H14" i="20"/>
  <c r="N13" i="20"/>
  <c r="J13" i="20"/>
  <c r="I13" i="20"/>
  <c r="H13" i="20"/>
  <c r="N12" i="20"/>
  <c r="J12" i="20"/>
  <c r="I12" i="20"/>
  <c r="H12" i="20"/>
  <c r="N11" i="20"/>
  <c r="J11" i="20"/>
  <c r="I11" i="20"/>
  <c r="H11" i="20"/>
  <c r="N10" i="20"/>
  <c r="J10" i="20"/>
  <c r="I10" i="20"/>
  <c r="H10" i="20"/>
  <c r="N9" i="20"/>
  <c r="J9" i="20"/>
  <c r="I9" i="20"/>
  <c r="H9" i="20"/>
  <c r="N8" i="20"/>
  <c r="J8" i="20"/>
  <c r="I8" i="20"/>
  <c r="H8" i="20"/>
  <c r="H4" i="20"/>
  <c r="R45" i="19"/>
  <c r="R43" i="19"/>
  <c r="R41" i="19"/>
  <c r="K41" i="19"/>
  <c r="E41" i="19"/>
  <c r="C41" i="19"/>
  <c r="R39" i="19"/>
  <c r="K39" i="19"/>
  <c r="E39" i="19"/>
  <c r="C39" i="19"/>
  <c r="R37" i="19"/>
  <c r="F35" i="19"/>
  <c r="D35" i="19"/>
  <c r="B35" i="19"/>
  <c r="H33" i="19"/>
  <c r="F33" i="19"/>
  <c r="D33" i="19"/>
  <c r="B33" i="19"/>
  <c r="O32" i="19"/>
  <c r="N32" i="19"/>
  <c r="M32" i="19"/>
  <c r="H32" i="19"/>
  <c r="F32" i="19"/>
  <c r="D32" i="19"/>
  <c r="B32" i="19"/>
  <c r="N31" i="19"/>
  <c r="J31" i="19"/>
  <c r="I31" i="19"/>
  <c r="H31" i="19"/>
  <c r="N30" i="19"/>
  <c r="J30" i="19"/>
  <c r="I30" i="19"/>
  <c r="H30" i="19"/>
  <c r="N29" i="19"/>
  <c r="J29" i="19"/>
  <c r="I29" i="19"/>
  <c r="H29" i="19"/>
  <c r="N28" i="19"/>
  <c r="J28" i="19"/>
  <c r="I28" i="19"/>
  <c r="H28" i="19"/>
  <c r="N27" i="19"/>
  <c r="J27" i="19"/>
  <c r="I27" i="19"/>
  <c r="H27" i="19"/>
  <c r="N26" i="19"/>
  <c r="J26" i="19"/>
  <c r="I26" i="19"/>
  <c r="H26" i="19"/>
  <c r="N25" i="19"/>
  <c r="J25" i="19"/>
  <c r="I25" i="19"/>
  <c r="H25" i="19"/>
  <c r="N24" i="19"/>
  <c r="J24" i="19"/>
  <c r="I24" i="19"/>
  <c r="H24" i="19"/>
  <c r="N23" i="19"/>
  <c r="J23" i="19"/>
  <c r="I23" i="19"/>
  <c r="H23" i="19"/>
  <c r="N22" i="19"/>
  <c r="J22" i="19"/>
  <c r="I22" i="19"/>
  <c r="H22" i="19"/>
  <c r="N21" i="19"/>
  <c r="J21" i="19"/>
  <c r="I21" i="19"/>
  <c r="H21" i="19"/>
  <c r="N20" i="19"/>
  <c r="J20" i="19"/>
  <c r="I20" i="19"/>
  <c r="H20" i="19"/>
  <c r="N19" i="19"/>
  <c r="J19" i="19"/>
  <c r="I19" i="19"/>
  <c r="H19" i="19"/>
  <c r="N18" i="19"/>
  <c r="J18" i="19"/>
  <c r="I18" i="19"/>
  <c r="H18" i="19"/>
  <c r="N17" i="19"/>
  <c r="J17" i="19"/>
  <c r="I17" i="19"/>
  <c r="H17" i="19"/>
  <c r="N16" i="19"/>
  <c r="J16" i="19"/>
  <c r="I16" i="19"/>
  <c r="H16" i="19"/>
  <c r="N15" i="19"/>
  <c r="J15" i="19"/>
  <c r="I15" i="19"/>
  <c r="H15" i="19"/>
  <c r="N14" i="19"/>
  <c r="J14" i="19"/>
  <c r="I14" i="19"/>
  <c r="H14" i="19"/>
  <c r="N13" i="19"/>
  <c r="J13" i="19"/>
  <c r="I13" i="19"/>
  <c r="H13" i="19"/>
  <c r="N12" i="19"/>
  <c r="J12" i="19"/>
  <c r="I12" i="19"/>
  <c r="H12" i="19"/>
  <c r="N11" i="19"/>
  <c r="J11" i="19"/>
  <c r="I11" i="19"/>
  <c r="H11" i="19"/>
  <c r="N10" i="19"/>
  <c r="J10" i="19"/>
  <c r="I10" i="19"/>
  <c r="H10" i="19"/>
  <c r="N9" i="19"/>
  <c r="J9" i="19"/>
  <c r="I9" i="19"/>
  <c r="H9" i="19"/>
  <c r="N8" i="19"/>
  <c r="J8" i="19"/>
  <c r="I8" i="19"/>
  <c r="H8" i="19"/>
  <c r="H4" i="19"/>
  <c r="R45" i="18"/>
  <c r="R43" i="18"/>
  <c r="R41" i="18"/>
  <c r="K41" i="18"/>
  <c r="E41" i="18"/>
  <c r="C41" i="18"/>
  <c r="R39" i="18"/>
  <c r="K39" i="18"/>
  <c r="E39" i="18"/>
  <c r="C39" i="18"/>
  <c r="R37" i="18"/>
  <c r="F35" i="18"/>
  <c r="D35" i="18"/>
  <c r="B35" i="18"/>
  <c r="H33" i="18"/>
  <c r="F33" i="18"/>
  <c r="D33" i="18"/>
  <c r="B33" i="18"/>
  <c r="O32" i="18"/>
  <c r="N32" i="18"/>
  <c r="M32" i="18"/>
  <c r="H32" i="18"/>
  <c r="F32" i="18"/>
  <c r="D32" i="18"/>
  <c r="B32" i="18"/>
  <c r="N31" i="18"/>
  <c r="J31" i="18"/>
  <c r="I31" i="18"/>
  <c r="H31" i="18"/>
  <c r="N30" i="18"/>
  <c r="J30" i="18"/>
  <c r="I30" i="18"/>
  <c r="H30" i="18"/>
  <c r="N29" i="18"/>
  <c r="J29" i="18"/>
  <c r="I29" i="18"/>
  <c r="H29" i="18"/>
  <c r="N28" i="18"/>
  <c r="J28" i="18"/>
  <c r="I28" i="18"/>
  <c r="H28" i="18"/>
  <c r="N27" i="18"/>
  <c r="J27" i="18"/>
  <c r="I27" i="18"/>
  <c r="H27" i="18"/>
  <c r="N26" i="18"/>
  <c r="J26" i="18"/>
  <c r="I26" i="18"/>
  <c r="H26" i="18"/>
  <c r="N25" i="18"/>
  <c r="J25" i="18"/>
  <c r="I25" i="18"/>
  <c r="H25" i="18"/>
  <c r="N24" i="18"/>
  <c r="J24" i="18"/>
  <c r="I24" i="18"/>
  <c r="H24" i="18"/>
  <c r="N23" i="18"/>
  <c r="J23" i="18"/>
  <c r="I23" i="18"/>
  <c r="H23" i="18"/>
  <c r="N22" i="18"/>
  <c r="J22" i="18"/>
  <c r="I22" i="18"/>
  <c r="H22" i="18"/>
  <c r="N21" i="18"/>
  <c r="J21" i="18"/>
  <c r="I21" i="18"/>
  <c r="H21" i="18"/>
  <c r="N20" i="18"/>
  <c r="J20" i="18"/>
  <c r="I20" i="18"/>
  <c r="H20" i="18"/>
  <c r="N19" i="18"/>
  <c r="J19" i="18"/>
  <c r="I19" i="18"/>
  <c r="H19" i="18"/>
  <c r="N18" i="18"/>
  <c r="J18" i="18"/>
  <c r="I18" i="18"/>
  <c r="H18" i="18"/>
  <c r="N17" i="18"/>
  <c r="J17" i="18"/>
  <c r="I17" i="18"/>
  <c r="H17" i="18"/>
  <c r="N16" i="18"/>
  <c r="J16" i="18"/>
  <c r="I16" i="18"/>
  <c r="H16" i="18"/>
  <c r="N15" i="18"/>
  <c r="J15" i="18"/>
  <c r="I15" i="18"/>
  <c r="H15" i="18"/>
  <c r="N14" i="18"/>
  <c r="J14" i="18"/>
  <c r="I14" i="18"/>
  <c r="H14" i="18"/>
  <c r="N13" i="18"/>
  <c r="J13" i="18"/>
  <c r="I13" i="18"/>
  <c r="H13" i="18"/>
  <c r="N12" i="18"/>
  <c r="J12" i="18"/>
  <c r="I12" i="18"/>
  <c r="H12" i="18"/>
  <c r="N11" i="18"/>
  <c r="J11" i="18"/>
  <c r="I11" i="18"/>
  <c r="H11" i="18"/>
  <c r="N10" i="18"/>
  <c r="J10" i="18"/>
  <c r="I10" i="18"/>
  <c r="H10" i="18"/>
  <c r="N9" i="18"/>
  <c r="J9" i="18"/>
  <c r="I9" i="18"/>
  <c r="H9" i="18"/>
  <c r="N8" i="18"/>
  <c r="J8" i="18"/>
  <c r="I8" i="18"/>
  <c r="H8" i="18"/>
  <c r="H4" i="18"/>
  <c r="R45" i="17"/>
  <c r="R43" i="17"/>
  <c r="R41" i="17"/>
  <c r="K41" i="17"/>
  <c r="E41" i="17"/>
  <c r="C41" i="17"/>
  <c r="R39" i="17"/>
  <c r="K39" i="17"/>
  <c r="E39" i="17"/>
  <c r="C39" i="17"/>
  <c r="R37" i="17"/>
  <c r="F35" i="17"/>
  <c r="D35" i="17"/>
  <c r="B35" i="17"/>
  <c r="H33" i="17"/>
  <c r="F33" i="17"/>
  <c r="D33" i="17"/>
  <c r="B33" i="17"/>
  <c r="O32" i="17"/>
  <c r="N32" i="17"/>
  <c r="M32" i="17"/>
  <c r="H32" i="17"/>
  <c r="F32" i="17"/>
  <c r="D32" i="17"/>
  <c r="B32" i="17"/>
  <c r="N31" i="17"/>
  <c r="J31" i="17"/>
  <c r="I31" i="17"/>
  <c r="H31" i="17"/>
  <c r="N30" i="17"/>
  <c r="J30" i="17"/>
  <c r="I30" i="17"/>
  <c r="H30" i="17"/>
  <c r="N29" i="17"/>
  <c r="J29" i="17"/>
  <c r="I29" i="17"/>
  <c r="H29" i="17"/>
  <c r="N28" i="17"/>
  <c r="J28" i="17"/>
  <c r="I28" i="17"/>
  <c r="H28" i="17"/>
  <c r="N27" i="17"/>
  <c r="J27" i="17"/>
  <c r="I27" i="17"/>
  <c r="H27" i="17"/>
  <c r="N26" i="17"/>
  <c r="J26" i="17"/>
  <c r="I26" i="17"/>
  <c r="H26" i="17"/>
  <c r="N25" i="17"/>
  <c r="J25" i="17"/>
  <c r="I25" i="17"/>
  <c r="H25" i="17"/>
  <c r="N24" i="17"/>
  <c r="J24" i="17"/>
  <c r="I24" i="17"/>
  <c r="H24" i="17"/>
  <c r="N23" i="17"/>
  <c r="J23" i="17"/>
  <c r="I23" i="17"/>
  <c r="H23" i="17"/>
  <c r="N22" i="17"/>
  <c r="J22" i="17"/>
  <c r="I22" i="17"/>
  <c r="H22" i="17"/>
  <c r="N21" i="17"/>
  <c r="J21" i="17"/>
  <c r="I21" i="17"/>
  <c r="H21" i="17"/>
  <c r="N20" i="17"/>
  <c r="J20" i="17"/>
  <c r="I20" i="17"/>
  <c r="H20" i="17"/>
  <c r="N19" i="17"/>
  <c r="J19" i="17"/>
  <c r="I19" i="17"/>
  <c r="H19" i="17"/>
  <c r="N18" i="17"/>
  <c r="J18" i="17"/>
  <c r="I18" i="17"/>
  <c r="H18" i="17"/>
  <c r="N17" i="17"/>
  <c r="J17" i="17"/>
  <c r="I17" i="17"/>
  <c r="H17" i="17"/>
  <c r="N16" i="17"/>
  <c r="J16" i="17"/>
  <c r="I16" i="17"/>
  <c r="H16" i="17"/>
  <c r="N15" i="17"/>
  <c r="J15" i="17"/>
  <c r="I15" i="17"/>
  <c r="H15" i="17"/>
  <c r="N14" i="17"/>
  <c r="J14" i="17"/>
  <c r="I14" i="17"/>
  <c r="H14" i="17"/>
  <c r="N13" i="17"/>
  <c r="J13" i="17"/>
  <c r="I13" i="17"/>
  <c r="H13" i="17"/>
  <c r="N12" i="17"/>
  <c r="J12" i="17"/>
  <c r="I12" i="17"/>
  <c r="H12" i="17"/>
  <c r="N11" i="17"/>
  <c r="J11" i="17"/>
  <c r="I11" i="17"/>
  <c r="H11" i="17"/>
  <c r="N10" i="17"/>
  <c r="J10" i="17"/>
  <c r="I10" i="17"/>
  <c r="H10" i="17"/>
  <c r="N9" i="17"/>
  <c r="J9" i="17"/>
  <c r="I9" i="17"/>
  <c r="H9" i="17"/>
  <c r="N8" i="17"/>
  <c r="J8" i="17"/>
  <c r="I8" i="17"/>
  <c r="H8" i="17"/>
  <c r="H4" i="17"/>
  <c r="R45" i="16"/>
  <c r="R43" i="16"/>
  <c r="R41" i="16"/>
  <c r="K41" i="16"/>
  <c r="E41" i="16"/>
  <c r="C41" i="16"/>
  <c r="R39" i="16"/>
  <c r="K39" i="16"/>
  <c r="E39" i="16"/>
  <c r="C39" i="16"/>
  <c r="R37" i="16"/>
  <c r="F35" i="16"/>
  <c r="D35" i="16"/>
  <c r="B35" i="16"/>
  <c r="H33" i="16"/>
  <c r="F33" i="16"/>
  <c r="D33" i="16"/>
  <c r="B33" i="16"/>
  <c r="O32" i="16"/>
  <c r="N32" i="16"/>
  <c r="M32" i="16"/>
  <c r="H32" i="16"/>
  <c r="F32" i="16"/>
  <c r="D32" i="16"/>
  <c r="B32" i="16"/>
  <c r="N31" i="16"/>
  <c r="J31" i="16"/>
  <c r="I31" i="16"/>
  <c r="H31" i="16"/>
  <c r="N30" i="16"/>
  <c r="J30" i="16"/>
  <c r="I30" i="16"/>
  <c r="H30" i="16"/>
  <c r="N29" i="16"/>
  <c r="J29" i="16"/>
  <c r="I29" i="16"/>
  <c r="H29" i="16"/>
  <c r="N28" i="16"/>
  <c r="J28" i="16"/>
  <c r="I28" i="16"/>
  <c r="H28" i="16"/>
  <c r="N27" i="16"/>
  <c r="J27" i="16"/>
  <c r="I27" i="16"/>
  <c r="H27" i="16"/>
  <c r="N26" i="16"/>
  <c r="J26" i="16"/>
  <c r="I26" i="16"/>
  <c r="H26" i="16"/>
  <c r="N25" i="16"/>
  <c r="J25" i="16"/>
  <c r="I25" i="16"/>
  <c r="H25" i="16"/>
  <c r="N24" i="16"/>
  <c r="J24" i="16"/>
  <c r="I24" i="16"/>
  <c r="H24" i="16"/>
  <c r="N23" i="16"/>
  <c r="J23" i="16"/>
  <c r="I23" i="16"/>
  <c r="H23" i="16"/>
  <c r="N22" i="16"/>
  <c r="J22" i="16"/>
  <c r="I22" i="16"/>
  <c r="H22" i="16"/>
  <c r="N21" i="16"/>
  <c r="J21" i="16"/>
  <c r="I21" i="16"/>
  <c r="H21" i="16"/>
  <c r="N20" i="16"/>
  <c r="J20" i="16"/>
  <c r="I20" i="16"/>
  <c r="H20" i="16"/>
  <c r="N19" i="16"/>
  <c r="J19" i="16"/>
  <c r="I19" i="16"/>
  <c r="H19" i="16"/>
  <c r="N18" i="16"/>
  <c r="J18" i="16"/>
  <c r="I18" i="16"/>
  <c r="H18" i="16"/>
  <c r="N17" i="16"/>
  <c r="J17" i="16"/>
  <c r="I17" i="16"/>
  <c r="H17" i="16"/>
  <c r="N16" i="16"/>
  <c r="J16" i="16"/>
  <c r="I16" i="16"/>
  <c r="H16" i="16"/>
  <c r="N15" i="16"/>
  <c r="J15" i="16"/>
  <c r="I15" i="16"/>
  <c r="H15" i="16"/>
  <c r="N14" i="16"/>
  <c r="J14" i="16"/>
  <c r="I14" i="16"/>
  <c r="H14" i="16"/>
  <c r="N13" i="16"/>
  <c r="J13" i="16"/>
  <c r="I13" i="16"/>
  <c r="H13" i="16"/>
  <c r="N12" i="16"/>
  <c r="J12" i="16"/>
  <c r="I12" i="16"/>
  <c r="H12" i="16"/>
  <c r="N11" i="16"/>
  <c r="J11" i="16"/>
  <c r="I11" i="16"/>
  <c r="H11" i="16"/>
  <c r="N10" i="16"/>
  <c r="J10" i="16"/>
  <c r="I10" i="16"/>
  <c r="H10" i="16"/>
  <c r="N9" i="16"/>
  <c r="J9" i="16"/>
  <c r="I9" i="16"/>
  <c r="H9" i="16"/>
  <c r="N8" i="16"/>
  <c r="J8" i="16"/>
  <c r="I8" i="16"/>
  <c r="H8" i="16"/>
  <c r="H4" i="16"/>
  <c r="R45" i="15"/>
  <c r="R43" i="15"/>
  <c r="R41" i="15"/>
  <c r="K41" i="15"/>
  <c r="E41" i="15"/>
  <c r="C41" i="15"/>
  <c r="R39" i="15"/>
  <c r="K39" i="15"/>
  <c r="E39" i="15"/>
  <c r="C39" i="15"/>
  <c r="R37" i="15"/>
  <c r="F35" i="15"/>
  <c r="D35" i="15"/>
  <c r="B35" i="15"/>
  <c r="H33" i="15"/>
  <c r="F33" i="15"/>
  <c r="D33" i="15"/>
  <c r="B33" i="15"/>
  <c r="O32" i="15"/>
  <c r="N32" i="15"/>
  <c r="M32" i="15"/>
  <c r="H32" i="15"/>
  <c r="F32" i="15"/>
  <c r="D32" i="15"/>
  <c r="B32" i="15"/>
  <c r="N31" i="15"/>
  <c r="J31" i="15"/>
  <c r="I31" i="15"/>
  <c r="H31" i="15"/>
  <c r="N30" i="15"/>
  <c r="J30" i="15"/>
  <c r="I30" i="15"/>
  <c r="H30" i="15"/>
  <c r="N29" i="15"/>
  <c r="J29" i="15"/>
  <c r="I29" i="15"/>
  <c r="H29" i="15"/>
  <c r="N28" i="15"/>
  <c r="J28" i="15"/>
  <c r="I28" i="15"/>
  <c r="H28" i="15"/>
  <c r="N27" i="15"/>
  <c r="J27" i="15"/>
  <c r="I27" i="15"/>
  <c r="H27" i="15"/>
  <c r="N26" i="15"/>
  <c r="J26" i="15"/>
  <c r="I26" i="15"/>
  <c r="H26" i="15"/>
  <c r="N25" i="15"/>
  <c r="J25" i="15"/>
  <c r="I25" i="15"/>
  <c r="H25" i="15"/>
  <c r="N24" i="15"/>
  <c r="J24" i="15"/>
  <c r="I24" i="15"/>
  <c r="H24" i="15"/>
  <c r="N23" i="15"/>
  <c r="J23" i="15"/>
  <c r="I23" i="15"/>
  <c r="H23" i="15"/>
  <c r="N22" i="15"/>
  <c r="J22" i="15"/>
  <c r="I22" i="15"/>
  <c r="H22" i="15"/>
  <c r="N21" i="15"/>
  <c r="J21" i="15"/>
  <c r="I21" i="15"/>
  <c r="H21" i="15"/>
  <c r="N20" i="15"/>
  <c r="J20" i="15"/>
  <c r="I20" i="15"/>
  <c r="H20" i="15"/>
  <c r="N19" i="15"/>
  <c r="J19" i="15"/>
  <c r="I19" i="15"/>
  <c r="H19" i="15"/>
  <c r="N18" i="15"/>
  <c r="J18" i="15"/>
  <c r="I18" i="15"/>
  <c r="H18" i="15"/>
  <c r="N17" i="15"/>
  <c r="J17" i="15"/>
  <c r="I17" i="15"/>
  <c r="H17" i="15"/>
  <c r="N16" i="15"/>
  <c r="J16" i="15"/>
  <c r="I16" i="15"/>
  <c r="H16" i="15"/>
  <c r="N15" i="15"/>
  <c r="J15" i="15"/>
  <c r="I15" i="15"/>
  <c r="H15" i="15"/>
  <c r="N14" i="15"/>
  <c r="J14" i="15"/>
  <c r="I14" i="15"/>
  <c r="H14" i="15"/>
  <c r="N13" i="15"/>
  <c r="J13" i="15"/>
  <c r="I13" i="15"/>
  <c r="H13" i="15"/>
  <c r="N12" i="15"/>
  <c r="J12" i="15"/>
  <c r="I12" i="15"/>
  <c r="H12" i="15"/>
  <c r="N11" i="15"/>
  <c r="J11" i="15"/>
  <c r="I11" i="15"/>
  <c r="H11" i="15"/>
  <c r="N10" i="15"/>
  <c r="J10" i="15"/>
  <c r="I10" i="15"/>
  <c r="H10" i="15"/>
  <c r="N9" i="15"/>
  <c r="J9" i="15"/>
  <c r="I9" i="15"/>
  <c r="H9" i="15"/>
  <c r="N8" i="15"/>
  <c r="J8" i="15"/>
  <c r="I8" i="15"/>
  <c r="H8" i="15"/>
  <c r="H4" i="15"/>
  <c r="R45" i="14"/>
  <c r="R43" i="14"/>
  <c r="R41" i="14"/>
  <c r="K41" i="14"/>
  <c r="E41" i="14"/>
  <c r="C41" i="14"/>
  <c r="R39" i="14"/>
  <c r="K39" i="14"/>
  <c r="E39" i="14"/>
  <c r="C39" i="14"/>
  <c r="R37" i="14"/>
  <c r="F35" i="14"/>
  <c r="D35" i="14"/>
  <c r="B35" i="14"/>
  <c r="H33" i="14"/>
  <c r="F33" i="14"/>
  <c r="D33" i="14"/>
  <c r="B33" i="14"/>
  <c r="O32" i="14"/>
  <c r="N32" i="14"/>
  <c r="M32" i="14"/>
  <c r="H32" i="14"/>
  <c r="F32" i="14"/>
  <c r="D32" i="14"/>
  <c r="B32" i="14"/>
  <c r="N31" i="14"/>
  <c r="J31" i="14"/>
  <c r="I31" i="14"/>
  <c r="H31" i="14"/>
  <c r="N30" i="14"/>
  <c r="J30" i="14"/>
  <c r="I30" i="14"/>
  <c r="H30" i="14"/>
  <c r="N29" i="14"/>
  <c r="J29" i="14"/>
  <c r="I29" i="14"/>
  <c r="H29" i="14"/>
  <c r="N28" i="14"/>
  <c r="J28" i="14"/>
  <c r="I28" i="14"/>
  <c r="H28" i="14"/>
  <c r="N27" i="14"/>
  <c r="J27" i="14"/>
  <c r="I27" i="14"/>
  <c r="H27" i="14"/>
  <c r="N26" i="14"/>
  <c r="J26" i="14"/>
  <c r="I26" i="14"/>
  <c r="H26" i="14"/>
  <c r="N25" i="14"/>
  <c r="J25" i="14"/>
  <c r="I25" i="14"/>
  <c r="H25" i="14"/>
  <c r="N24" i="14"/>
  <c r="J24" i="14"/>
  <c r="I24" i="14"/>
  <c r="H24" i="14"/>
  <c r="N23" i="14"/>
  <c r="J23" i="14"/>
  <c r="I23" i="14"/>
  <c r="H23" i="14"/>
  <c r="N22" i="14"/>
  <c r="J22" i="14"/>
  <c r="I22" i="14"/>
  <c r="H22" i="14"/>
  <c r="N21" i="14"/>
  <c r="J21" i="14"/>
  <c r="I21" i="14"/>
  <c r="H21" i="14"/>
  <c r="N20" i="14"/>
  <c r="J20" i="14"/>
  <c r="I20" i="14"/>
  <c r="H20" i="14"/>
  <c r="N19" i="14"/>
  <c r="J19" i="14"/>
  <c r="I19" i="14"/>
  <c r="H19" i="14"/>
  <c r="N18" i="14"/>
  <c r="J18" i="14"/>
  <c r="I18" i="14"/>
  <c r="H18" i="14"/>
  <c r="N17" i="14"/>
  <c r="J17" i="14"/>
  <c r="I17" i="14"/>
  <c r="H17" i="14"/>
  <c r="N16" i="14"/>
  <c r="J16" i="14"/>
  <c r="I16" i="14"/>
  <c r="H16" i="14"/>
  <c r="N15" i="14"/>
  <c r="J15" i="14"/>
  <c r="I15" i="14"/>
  <c r="H15" i="14"/>
  <c r="N14" i="14"/>
  <c r="J14" i="14"/>
  <c r="I14" i="14"/>
  <c r="H14" i="14"/>
  <c r="N13" i="14"/>
  <c r="J13" i="14"/>
  <c r="I13" i="14"/>
  <c r="H13" i="14"/>
  <c r="N12" i="14"/>
  <c r="J12" i="14"/>
  <c r="I12" i="14"/>
  <c r="H12" i="14"/>
  <c r="N11" i="14"/>
  <c r="J11" i="14"/>
  <c r="I11" i="14"/>
  <c r="H11" i="14"/>
  <c r="N10" i="14"/>
  <c r="J10" i="14"/>
  <c r="I10" i="14"/>
  <c r="H10" i="14"/>
  <c r="N9" i="14"/>
  <c r="J9" i="14"/>
  <c r="I9" i="14"/>
  <c r="H9" i="14"/>
  <c r="N8" i="14"/>
  <c r="J8" i="14"/>
  <c r="I8" i="14"/>
  <c r="H8" i="14"/>
  <c r="H4" i="14"/>
  <c r="R45" i="13"/>
  <c r="R43" i="13"/>
  <c r="R41" i="13"/>
  <c r="K41" i="13"/>
  <c r="E41" i="13"/>
  <c r="C41" i="13"/>
  <c r="R39" i="13"/>
  <c r="K39" i="13"/>
  <c r="E39" i="13"/>
  <c r="C39" i="13"/>
  <c r="R37" i="13"/>
  <c r="F35" i="13"/>
  <c r="D35" i="13"/>
  <c r="B35" i="13"/>
  <c r="H33" i="13"/>
  <c r="F33" i="13"/>
  <c r="D33" i="13"/>
  <c r="B33" i="13"/>
  <c r="O32" i="13"/>
  <c r="N32" i="13"/>
  <c r="M32" i="13"/>
  <c r="H32" i="13"/>
  <c r="F32" i="13"/>
  <c r="D32" i="13"/>
  <c r="B32" i="13"/>
  <c r="N31" i="13"/>
  <c r="J31" i="13"/>
  <c r="I31" i="13"/>
  <c r="H31" i="13"/>
  <c r="N30" i="13"/>
  <c r="J30" i="13"/>
  <c r="I30" i="13"/>
  <c r="H30" i="13"/>
  <c r="N29" i="13"/>
  <c r="J29" i="13"/>
  <c r="I29" i="13"/>
  <c r="H29" i="13"/>
  <c r="N28" i="13"/>
  <c r="J28" i="13"/>
  <c r="I28" i="13"/>
  <c r="H28" i="13"/>
  <c r="N27" i="13"/>
  <c r="J27" i="13"/>
  <c r="I27" i="13"/>
  <c r="H27" i="13"/>
  <c r="N26" i="13"/>
  <c r="J26" i="13"/>
  <c r="I26" i="13"/>
  <c r="H26" i="13"/>
  <c r="N25" i="13"/>
  <c r="J25" i="13"/>
  <c r="I25" i="13"/>
  <c r="H25" i="13"/>
  <c r="N24" i="13"/>
  <c r="J24" i="13"/>
  <c r="I24" i="13"/>
  <c r="H24" i="13"/>
  <c r="N23" i="13"/>
  <c r="J23" i="13"/>
  <c r="I23" i="13"/>
  <c r="H23" i="13"/>
  <c r="N22" i="13"/>
  <c r="J22" i="13"/>
  <c r="I22" i="13"/>
  <c r="H22" i="13"/>
  <c r="N21" i="13"/>
  <c r="J21" i="13"/>
  <c r="I21" i="13"/>
  <c r="H21" i="13"/>
  <c r="N20" i="13"/>
  <c r="J20" i="13"/>
  <c r="I20" i="13"/>
  <c r="H20" i="13"/>
  <c r="N19" i="13"/>
  <c r="J19" i="13"/>
  <c r="I19" i="13"/>
  <c r="H19" i="13"/>
  <c r="N18" i="13"/>
  <c r="J18" i="13"/>
  <c r="I18" i="13"/>
  <c r="H18" i="13"/>
  <c r="N17" i="13"/>
  <c r="J17" i="13"/>
  <c r="I17" i="13"/>
  <c r="H17" i="13"/>
  <c r="N16" i="13"/>
  <c r="J16" i="13"/>
  <c r="I16" i="13"/>
  <c r="H16" i="13"/>
  <c r="N15" i="13"/>
  <c r="J15" i="13"/>
  <c r="I15" i="13"/>
  <c r="H15" i="13"/>
  <c r="N14" i="13"/>
  <c r="J14" i="13"/>
  <c r="I14" i="13"/>
  <c r="H14" i="13"/>
  <c r="N13" i="13"/>
  <c r="J13" i="13"/>
  <c r="I13" i="13"/>
  <c r="H13" i="13"/>
  <c r="N12" i="13"/>
  <c r="J12" i="13"/>
  <c r="I12" i="13"/>
  <c r="H12" i="13"/>
  <c r="N11" i="13"/>
  <c r="J11" i="13"/>
  <c r="I11" i="13"/>
  <c r="H11" i="13"/>
  <c r="N10" i="13"/>
  <c r="J10" i="13"/>
  <c r="I10" i="13"/>
  <c r="H10" i="13"/>
  <c r="N9" i="13"/>
  <c r="J9" i="13"/>
  <c r="I9" i="13"/>
  <c r="H9" i="13"/>
  <c r="N8" i="13"/>
  <c r="J8" i="13"/>
  <c r="I8" i="13"/>
  <c r="H8" i="13"/>
  <c r="H4" i="13"/>
  <c r="R45" i="12"/>
  <c r="R43" i="12"/>
  <c r="R41" i="12"/>
  <c r="K41" i="12"/>
  <c r="E41" i="12"/>
  <c r="C41" i="12"/>
  <c r="R39" i="12"/>
  <c r="K39" i="12"/>
  <c r="E39" i="12"/>
  <c r="C39" i="12"/>
  <c r="R37" i="12"/>
  <c r="F35" i="12"/>
  <c r="D35" i="12"/>
  <c r="B35" i="12"/>
  <c r="H33" i="12"/>
  <c r="F33" i="12"/>
  <c r="D33" i="12"/>
  <c r="B33" i="12"/>
  <c r="O32" i="12"/>
  <c r="N32" i="12"/>
  <c r="M32" i="12"/>
  <c r="H32" i="12"/>
  <c r="F32" i="12"/>
  <c r="D32" i="12"/>
  <c r="B32" i="12"/>
  <c r="N31" i="12"/>
  <c r="J31" i="12"/>
  <c r="I31" i="12"/>
  <c r="H31" i="12"/>
  <c r="N30" i="12"/>
  <c r="J30" i="12"/>
  <c r="I30" i="12"/>
  <c r="H30" i="12"/>
  <c r="N29" i="12"/>
  <c r="J29" i="12"/>
  <c r="I29" i="12"/>
  <c r="H29" i="12"/>
  <c r="N28" i="12"/>
  <c r="J28" i="12"/>
  <c r="I28" i="12"/>
  <c r="H28" i="12"/>
  <c r="N27" i="12"/>
  <c r="J27" i="12"/>
  <c r="I27" i="12"/>
  <c r="H27" i="12"/>
  <c r="N26" i="12"/>
  <c r="J26" i="12"/>
  <c r="I26" i="12"/>
  <c r="H26" i="12"/>
  <c r="N25" i="12"/>
  <c r="J25" i="12"/>
  <c r="I25" i="12"/>
  <c r="H25" i="12"/>
  <c r="N24" i="12"/>
  <c r="J24" i="12"/>
  <c r="I24" i="12"/>
  <c r="H24" i="12"/>
  <c r="N23" i="12"/>
  <c r="J23" i="12"/>
  <c r="I23" i="12"/>
  <c r="H23" i="12"/>
  <c r="N22" i="12"/>
  <c r="J22" i="12"/>
  <c r="I22" i="12"/>
  <c r="H22" i="12"/>
  <c r="N21" i="12"/>
  <c r="J21" i="12"/>
  <c r="I21" i="12"/>
  <c r="H21" i="12"/>
  <c r="N20" i="12"/>
  <c r="J20" i="12"/>
  <c r="I20" i="12"/>
  <c r="H20" i="12"/>
  <c r="N19" i="12"/>
  <c r="J19" i="12"/>
  <c r="I19" i="12"/>
  <c r="H19" i="12"/>
  <c r="N18" i="12"/>
  <c r="J18" i="12"/>
  <c r="I18" i="12"/>
  <c r="H18" i="12"/>
  <c r="N17" i="12"/>
  <c r="J17" i="12"/>
  <c r="I17" i="12"/>
  <c r="H17" i="12"/>
  <c r="N16" i="12"/>
  <c r="J16" i="12"/>
  <c r="I16" i="12"/>
  <c r="H16" i="12"/>
  <c r="N15" i="12"/>
  <c r="J15" i="12"/>
  <c r="I15" i="12"/>
  <c r="H15" i="12"/>
  <c r="N14" i="12"/>
  <c r="J14" i="12"/>
  <c r="I14" i="12"/>
  <c r="H14" i="12"/>
  <c r="N13" i="12"/>
  <c r="J13" i="12"/>
  <c r="I13" i="12"/>
  <c r="H13" i="12"/>
  <c r="N12" i="12"/>
  <c r="J12" i="12"/>
  <c r="I12" i="12"/>
  <c r="H12" i="12"/>
  <c r="N11" i="12"/>
  <c r="J11" i="12"/>
  <c r="I11" i="12"/>
  <c r="H11" i="12"/>
  <c r="N10" i="12"/>
  <c r="J10" i="12"/>
  <c r="I10" i="12"/>
  <c r="H10" i="12"/>
  <c r="N9" i="12"/>
  <c r="J9" i="12"/>
  <c r="I9" i="12"/>
  <c r="H9" i="12"/>
  <c r="N8" i="12"/>
  <c r="J8" i="12"/>
  <c r="I8" i="12"/>
  <c r="H8" i="12"/>
  <c r="H4" i="12"/>
  <c r="R45" i="11"/>
  <c r="R43" i="11"/>
  <c r="R41" i="11"/>
  <c r="K41" i="11"/>
  <c r="E41" i="11"/>
  <c r="C41" i="11"/>
  <c r="R39" i="11"/>
  <c r="K39" i="11"/>
  <c r="E39" i="11"/>
  <c r="C39" i="11"/>
  <c r="R37" i="11"/>
  <c r="F35" i="11"/>
  <c r="D35" i="11"/>
  <c r="B35" i="11"/>
  <c r="H33" i="11"/>
  <c r="F33" i="11"/>
  <c r="D33" i="11"/>
  <c r="B33" i="11"/>
  <c r="O32" i="11"/>
  <c r="N32" i="11"/>
  <c r="M32" i="11"/>
  <c r="H32" i="11"/>
  <c r="F32" i="11"/>
  <c r="D32" i="11"/>
  <c r="B32" i="11"/>
  <c r="N31" i="11"/>
  <c r="J31" i="11"/>
  <c r="I31" i="11"/>
  <c r="H31" i="11"/>
  <c r="N30" i="11"/>
  <c r="J30" i="11"/>
  <c r="I30" i="11"/>
  <c r="H30" i="11"/>
  <c r="N29" i="11"/>
  <c r="J29" i="11"/>
  <c r="I29" i="11"/>
  <c r="H29" i="11"/>
  <c r="N28" i="11"/>
  <c r="J28" i="11"/>
  <c r="I28" i="11"/>
  <c r="H28" i="11"/>
  <c r="N27" i="11"/>
  <c r="J27" i="11"/>
  <c r="I27" i="11"/>
  <c r="H27" i="11"/>
  <c r="N26" i="11"/>
  <c r="J26" i="11"/>
  <c r="I26" i="11"/>
  <c r="H26" i="11"/>
  <c r="N25" i="11"/>
  <c r="J25" i="11"/>
  <c r="I25" i="11"/>
  <c r="H25" i="11"/>
  <c r="N24" i="11"/>
  <c r="J24" i="11"/>
  <c r="I24" i="11"/>
  <c r="H24" i="11"/>
  <c r="N23" i="11"/>
  <c r="J23" i="11"/>
  <c r="I23" i="11"/>
  <c r="H23" i="11"/>
  <c r="N22" i="11"/>
  <c r="J22" i="11"/>
  <c r="I22" i="11"/>
  <c r="H22" i="11"/>
  <c r="N21" i="11"/>
  <c r="J21" i="11"/>
  <c r="I21" i="11"/>
  <c r="H21" i="11"/>
  <c r="N20" i="11"/>
  <c r="J20" i="11"/>
  <c r="I20" i="11"/>
  <c r="H20" i="11"/>
  <c r="N19" i="11"/>
  <c r="J19" i="11"/>
  <c r="I19" i="11"/>
  <c r="H19" i="11"/>
  <c r="N18" i="11"/>
  <c r="J18" i="11"/>
  <c r="I18" i="11"/>
  <c r="H18" i="11"/>
  <c r="N17" i="11"/>
  <c r="J17" i="11"/>
  <c r="I17" i="11"/>
  <c r="H17" i="11"/>
  <c r="N16" i="11"/>
  <c r="J16" i="11"/>
  <c r="I16" i="11"/>
  <c r="H16" i="11"/>
  <c r="N15" i="11"/>
  <c r="J15" i="11"/>
  <c r="I15" i="11"/>
  <c r="H15" i="11"/>
  <c r="N14" i="11"/>
  <c r="J14" i="11"/>
  <c r="I14" i="11"/>
  <c r="H14" i="11"/>
  <c r="N13" i="11"/>
  <c r="J13" i="11"/>
  <c r="I13" i="11"/>
  <c r="H13" i="11"/>
  <c r="N12" i="11"/>
  <c r="J12" i="11"/>
  <c r="I12" i="11"/>
  <c r="H12" i="11"/>
  <c r="N11" i="11"/>
  <c r="J11" i="11"/>
  <c r="I11" i="11"/>
  <c r="H11" i="11"/>
  <c r="N10" i="11"/>
  <c r="J10" i="11"/>
  <c r="I10" i="11"/>
  <c r="H10" i="11"/>
  <c r="N9" i="11"/>
  <c r="J9" i="11"/>
  <c r="I9" i="11"/>
  <c r="H9" i="11"/>
  <c r="N8" i="11"/>
  <c r="J8" i="11"/>
  <c r="I8" i="11"/>
  <c r="H8" i="11"/>
  <c r="H4" i="11"/>
  <c r="R45" i="10"/>
  <c r="R43" i="10"/>
  <c r="R41" i="10"/>
  <c r="K41" i="10"/>
  <c r="E41" i="10"/>
  <c r="C41" i="10"/>
  <c r="R39" i="10"/>
  <c r="K39" i="10"/>
  <c r="E39" i="10"/>
  <c r="C39" i="10"/>
  <c r="R37" i="10"/>
  <c r="F35" i="10"/>
  <c r="D35" i="10"/>
  <c r="B35" i="10"/>
  <c r="H33" i="10"/>
  <c r="F33" i="10"/>
  <c r="D33" i="10"/>
  <c r="B33" i="10"/>
  <c r="O32" i="10"/>
  <c r="N32" i="10"/>
  <c r="M32" i="10"/>
  <c r="H32" i="10"/>
  <c r="F32" i="10"/>
  <c r="D32" i="10"/>
  <c r="B32" i="10"/>
  <c r="N31" i="10"/>
  <c r="J31" i="10"/>
  <c r="I31" i="10"/>
  <c r="H31" i="10"/>
  <c r="N30" i="10"/>
  <c r="J30" i="10"/>
  <c r="I30" i="10"/>
  <c r="H30" i="10"/>
  <c r="N29" i="10"/>
  <c r="J29" i="10"/>
  <c r="I29" i="10"/>
  <c r="H29" i="10"/>
  <c r="N28" i="10"/>
  <c r="J28" i="10"/>
  <c r="I28" i="10"/>
  <c r="H28" i="10"/>
  <c r="N27" i="10"/>
  <c r="J27" i="10"/>
  <c r="I27" i="10"/>
  <c r="H27" i="10"/>
  <c r="N26" i="10"/>
  <c r="J26" i="10"/>
  <c r="I26" i="10"/>
  <c r="H26" i="10"/>
  <c r="N25" i="10"/>
  <c r="J25" i="10"/>
  <c r="I25" i="10"/>
  <c r="H25" i="10"/>
  <c r="N24" i="10"/>
  <c r="J24" i="10"/>
  <c r="I24" i="10"/>
  <c r="H24" i="10"/>
  <c r="N23" i="10"/>
  <c r="J23" i="10"/>
  <c r="I23" i="10"/>
  <c r="H23" i="10"/>
  <c r="N22" i="10"/>
  <c r="J22" i="10"/>
  <c r="I22" i="10"/>
  <c r="H22" i="10"/>
  <c r="N21" i="10"/>
  <c r="J21" i="10"/>
  <c r="I21" i="10"/>
  <c r="H21" i="10"/>
  <c r="N20" i="10"/>
  <c r="J20" i="10"/>
  <c r="I20" i="10"/>
  <c r="H20" i="10"/>
  <c r="N19" i="10"/>
  <c r="J19" i="10"/>
  <c r="I19" i="10"/>
  <c r="H19" i="10"/>
  <c r="N18" i="10"/>
  <c r="J18" i="10"/>
  <c r="I18" i="10"/>
  <c r="H18" i="10"/>
  <c r="N17" i="10"/>
  <c r="J17" i="10"/>
  <c r="I17" i="10"/>
  <c r="H17" i="10"/>
  <c r="N16" i="10"/>
  <c r="J16" i="10"/>
  <c r="I16" i="10"/>
  <c r="H16" i="10"/>
  <c r="N15" i="10"/>
  <c r="J15" i="10"/>
  <c r="I15" i="10"/>
  <c r="H15" i="10"/>
  <c r="N14" i="10"/>
  <c r="J14" i="10"/>
  <c r="I14" i="10"/>
  <c r="H14" i="10"/>
  <c r="N13" i="10"/>
  <c r="J13" i="10"/>
  <c r="I13" i="10"/>
  <c r="H13" i="10"/>
  <c r="N12" i="10"/>
  <c r="J12" i="10"/>
  <c r="I12" i="10"/>
  <c r="H12" i="10"/>
  <c r="N11" i="10"/>
  <c r="J11" i="10"/>
  <c r="I11" i="10"/>
  <c r="H11" i="10"/>
  <c r="N10" i="10"/>
  <c r="J10" i="10"/>
  <c r="I10" i="10"/>
  <c r="H10" i="10"/>
  <c r="N9" i="10"/>
  <c r="J9" i="10"/>
  <c r="I9" i="10"/>
  <c r="H9" i="10"/>
  <c r="N8" i="10"/>
  <c r="J8" i="10"/>
  <c r="I8" i="10"/>
  <c r="H8" i="10"/>
  <c r="H4" i="10"/>
  <c r="R45" i="9"/>
  <c r="R43" i="9"/>
  <c r="R41" i="9"/>
  <c r="K41" i="9"/>
  <c r="E41" i="9"/>
  <c r="C41" i="9"/>
  <c r="R39" i="9"/>
  <c r="K39" i="9"/>
  <c r="E39" i="9"/>
  <c r="C39" i="9"/>
  <c r="R37" i="9"/>
  <c r="F35" i="9"/>
  <c r="D35" i="9"/>
  <c r="B35" i="9"/>
  <c r="H33" i="9"/>
  <c r="F33" i="9"/>
  <c r="D33" i="9"/>
  <c r="B33" i="9"/>
  <c r="O32" i="9"/>
  <c r="N32" i="9"/>
  <c r="M32" i="9"/>
  <c r="H32" i="9"/>
  <c r="F32" i="9"/>
  <c r="D32" i="9"/>
  <c r="B32" i="9"/>
  <c r="N31" i="9"/>
  <c r="J31" i="9"/>
  <c r="I31" i="9"/>
  <c r="H31" i="9"/>
  <c r="N30" i="9"/>
  <c r="J30" i="9"/>
  <c r="I30" i="9"/>
  <c r="H30" i="9"/>
  <c r="N29" i="9"/>
  <c r="J29" i="9"/>
  <c r="I29" i="9"/>
  <c r="H29" i="9"/>
  <c r="N28" i="9"/>
  <c r="J28" i="9"/>
  <c r="I28" i="9"/>
  <c r="H28" i="9"/>
  <c r="N27" i="9"/>
  <c r="J27" i="9"/>
  <c r="I27" i="9"/>
  <c r="H27" i="9"/>
  <c r="N26" i="9"/>
  <c r="J26" i="9"/>
  <c r="I26" i="9"/>
  <c r="H26" i="9"/>
  <c r="N25" i="9"/>
  <c r="J25" i="9"/>
  <c r="I25" i="9"/>
  <c r="H25" i="9"/>
  <c r="N24" i="9"/>
  <c r="J24" i="9"/>
  <c r="I24" i="9"/>
  <c r="H24" i="9"/>
  <c r="J23" i="9"/>
  <c r="I23" i="9"/>
  <c r="H23" i="9"/>
  <c r="N22" i="9"/>
  <c r="J22" i="9"/>
  <c r="I22" i="9"/>
  <c r="H22" i="9"/>
  <c r="N21" i="9"/>
  <c r="J21" i="9"/>
  <c r="I21" i="9"/>
  <c r="H21" i="9"/>
  <c r="N20" i="9"/>
  <c r="J20" i="9"/>
  <c r="I20" i="9"/>
  <c r="H20" i="9"/>
  <c r="N19" i="9"/>
  <c r="J19" i="9"/>
  <c r="I19" i="9"/>
  <c r="H19" i="9"/>
  <c r="N18" i="9"/>
  <c r="J18" i="9"/>
  <c r="I18" i="9"/>
  <c r="H18" i="9"/>
  <c r="N17" i="9"/>
  <c r="J17" i="9"/>
  <c r="I17" i="9"/>
  <c r="H17" i="9"/>
  <c r="N16" i="9"/>
  <c r="J16" i="9"/>
  <c r="I16" i="9"/>
  <c r="H16" i="9"/>
  <c r="N15" i="9"/>
  <c r="J15" i="9"/>
  <c r="I15" i="9"/>
  <c r="H15" i="9"/>
  <c r="N14" i="9"/>
  <c r="J14" i="9"/>
  <c r="I14" i="9"/>
  <c r="H14" i="9"/>
  <c r="N13" i="9"/>
  <c r="J13" i="9"/>
  <c r="I13" i="9"/>
  <c r="H13" i="9"/>
  <c r="N12" i="9"/>
  <c r="J12" i="9"/>
  <c r="I12" i="9"/>
  <c r="H12" i="9"/>
  <c r="N11" i="9"/>
  <c r="J11" i="9"/>
  <c r="I11" i="9"/>
  <c r="H11" i="9"/>
  <c r="N10" i="9"/>
  <c r="J10" i="9"/>
  <c r="I10" i="9"/>
  <c r="H10" i="9"/>
  <c r="N9" i="9"/>
  <c r="J9" i="9"/>
  <c r="I9" i="9"/>
  <c r="H9" i="9"/>
  <c r="N8" i="9"/>
  <c r="J8" i="9"/>
  <c r="I8" i="9"/>
  <c r="H8" i="9"/>
  <c r="H4" i="9"/>
  <c r="R45" i="8"/>
  <c r="R43" i="8"/>
  <c r="R41" i="8"/>
  <c r="K41" i="8"/>
  <c r="E41" i="8"/>
  <c r="C41" i="8"/>
  <c r="R39" i="8"/>
  <c r="K39" i="8"/>
  <c r="E39" i="8"/>
  <c r="C39" i="8"/>
  <c r="R37" i="8"/>
  <c r="F35" i="8"/>
  <c r="D35" i="8"/>
  <c r="B35" i="8"/>
  <c r="H33" i="8"/>
  <c r="F33" i="8"/>
  <c r="D33" i="8"/>
  <c r="B33" i="8"/>
  <c r="O32" i="8"/>
  <c r="N32" i="8"/>
  <c r="M32" i="8"/>
  <c r="H32" i="8"/>
  <c r="F32" i="8"/>
  <c r="D32" i="8"/>
  <c r="B32" i="8"/>
  <c r="N31" i="8"/>
  <c r="J31" i="8"/>
  <c r="I31" i="8"/>
  <c r="H31" i="8"/>
  <c r="N30" i="8"/>
  <c r="J30" i="8"/>
  <c r="I30" i="8"/>
  <c r="H30" i="8"/>
  <c r="N29" i="8"/>
  <c r="J29" i="8"/>
  <c r="I29" i="8"/>
  <c r="H29" i="8"/>
  <c r="N28" i="8"/>
  <c r="J28" i="8"/>
  <c r="I28" i="8"/>
  <c r="H28" i="8"/>
  <c r="N27" i="8"/>
  <c r="J27" i="8"/>
  <c r="I27" i="8"/>
  <c r="H27" i="8"/>
  <c r="N26" i="8"/>
  <c r="J26" i="8"/>
  <c r="I26" i="8"/>
  <c r="H26" i="8"/>
  <c r="N25" i="8"/>
  <c r="J25" i="8"/>
  <c r="I25" i="8"/>
  <c r="H25" i="8"/>
  <c r="N24" i="8"/>
  <c r="J24" i="8"/>
  <c r="I24" i="8"/>
  <c r="H24" i="8"/>
  <c r="N23" i="8"/>
  <c r="J23" i="8"/>
  <c r="I23" i="8"/>
  <c r="H23" i="8"/>
  <c r="N22" i="8"/>
  <c r="J22" i="8"/>
  <c r="I22" i="8"/>
  <c r="H22" i="8"/>
  <c r="N21" i="8"/>
  <c r="J21" i="8"/>
  <c r="I21" i="8"/>
  <c r="H21" i="8"/>
  <c r="N20" i="8"/>
  <c r="J20" i="8"/>
  <c r="I20" i="8"/>
  <c r="H20" i="8"/>
  <c r="N19" i="8"/>
  <c r="J19" i="8"/>
  <c r="I19" i="8"/>
  <c r="H19" i="8"/>
  <c r="N18" i="8"/>
  <c r="J18" i="8"/>
  <c r="I18" i="8"/>
  <c r="H18" i="8"/>
  <c r="N17" i="8"/>
  <c r="J17" i="8"/>
  <c r="I17" i="8"/>
  <c r="H17" i="8"/>
  <c r="N16" i="8"/>
  <c r="J16" i="8"/>
  <c r="I16" i="8"/>
  <c r="H16" i="8"/>
  <c r="N15" i="8"/>
  <c r="J15" i="8"/>
  <c r="I15" i="8"/>
  <c r="H15" i="8"/>
  <c r="N14" i="8"/>
  <c r="J14" i="8"/>
  <c r="I14" i="8"/>
  <c r="H14" i="8"/>
  <c r="N13" i="8"/>
  <c r="J13" i="8"/>
  <c r="I13" i="8"/>
  <c r="H13" i="8"/>
  <c r="N12" i="8"/>
  <c r="J12" i="8"/>
  <c r="I12" i="8"/>
  <c r="H12" i="8"/>
  <c r="N11" i="8"/>
  <c r="J11" i="8"/>
  <c r="I11" i="8"/>
  <c r="H11" i="8"/>
  <c r="N10" i="8"/>
  <c r="J10" i="8"/>
  <c r="I10" i="8"/>
  <c r="H10" i="8"/>
  <c r="N9" i="8"/>
  <c r="J9" i="8"/>
  <c r="I9" i="8"/>
  <c r="H9" i="8"/>
  <c r="N8" i="8"/>
  <c r="J8" i="8"/>
  <c r="I8" i="8"/>
  <c r="H8" i="8"/>
  <c r="H4" i="8"/>
  <c r="R45" i="7"/>
  <c r="R43" i="7"/>
  <c r="R41" i="7"/>
  <c r="K41" i="7"/>
  <c r="E41" i="7"/>
  <c r="C41" i="7"/>
  <c r="R39" i="7"/>
  <c r="K39" i="7"/>
  <c r="E39" i="7"/>
  <c r="C39" i="7"/>
  <c r="R37" i="7"/>
  <c r="F35" i="7"/>
  <c r="D35" i="7"/>
  <c r="B35" i="7"/>
  <c r="H33" i="7"/>
  <c r="F33" i="7"/>
  <c r="D33" i="7"/>
  <c r="B33" i="7"/>
  <c r="O32" i="7"/>
  <c r="N32" i="7"/>
  <c r="M32" i="7"/>
  <c r="H32" i="7"/>
  <c r="F32" i="7"/>
  <c r="D32" i="7"/>
  <c r="B32" i="7"/>
  <c r="N31" i="7"/>
  <c r="J31" i="7"/>
  <c r="I31" i="7"/>
  <c r="H31" i="7"/>
  <c r="N30" i="7"/>
  <c r="J30" i="7"/>
  <c r="I30" i="7"/>
  <c r="H30" i="7"/>
  <c r="N29" i="7"/>
  <c r="J29" i="7"/>
  <c r="I29" i="7"/>
  <c r="H29" i="7"/>
  <c r="N28" i="7"/>
  <c r="J28" i="7"/>
  <c r="I28" i="7"/>
  <c r="H28" i="7"/>
  <c r="N27" i="7"/>
  <c r="J27" i="7"/>
  <c r="I27" i="7"/>
  <c r="H27" i="7"/>
  <c r="N26" i="7"/>
  <c r="J26" i="7"/>
  <c r="I26" i="7"/>
  <c r="H26" i="7"/>
  <c r="N25" i="7"/>
  <c r="J25" i="7"/>
  <c r="I25" i="7"/>
  <c r="H25" i="7"/>
  <c r="N24" i="7"/>
  <c r="J24" i="7"/>
  <c r="I24" i="7"/>
  <c r="H24" i="7"/>
  <c r="N23" i="7"/>
  <c r="J23" i="7"/>
  <c r="I23" i="7"/>
  <c r="H23" i="7"/>
  <c r="N22" i="7"/>
  <c r="J22" i="7"/>
  <c r="I22" i="7"/>
  <c r="H22" i="7"/>
  <c r="N21" i="7"/>
  <c r="J21" i="7"/>
  <c r="I21" i="7"/>
  <c r="H21" i="7"/>
  <c r="N20" i="7"/>
  <c r="J20" i="7"/>
  <c r="I20" i="7"/>
  <c r="H20" i="7"/>
  <c r="N19" i="7"/>
  <c r="J19" i="7"/>
  <c r="I19" i="7"/>
  <c r="H19" i="7"/>
  <c r="N18" i="7"/>
  <c r="J18" i="7"/>
  <c r="I18" i="7"/>
  <c r="H18" i="7"/>
  <c r="N17" i="7"/>
  <c r="J17" i="7"/>
  <c r="I17" i="7"/>
  <c r="H17" i="7"/>
  <c r="N16" i="7"/>
  <c r="J16" i="7"/>
  <c r="I16" i="7"/>
  <c r="H16" i="7"/>
  <c r="N15" i="7"/>
  <c r="J15" i="7"/>
  <c r="I15" i="7"/>
  <c r="H15" i="7"/>
  <c r="N14" i="7"/>
  <c r="J14" i="7"/>
  <c r="I14" i="7"/>
  <c r="H14" i="7"/>
  <c r="N13" i="7"/>
  <c r="J13" i="7"/>
  <c r="I13" i="7"/>
  <c r="H13" i="7"/>
  <c r="N12" i="7"/>
  <c r="J12" i="7"/>
  <c r="I12" i="7"/>
  <c r="H12" i="7"/>
  <c r="N11" i="7"/>
  <c r="J11" i="7"/>
  <c r="I11" i="7"/>
  <c r="H11" i="7"/>
  <c r="N10" i="7"/>
  <c r="J10" i="7"/>
  <c r="I10" i="7"/>
  <c r="H10" i="7"/>
  <c r="N9" i="7"/>
  <c r="J9" i="7"/>
  <c r="I9" i="7"/>
  <c r="H9" i="7"/>
  <c r="N8" i="7"/>
  <c r="J8" i="7"/>
  <c r="I8" i="7"/>
  <c r="H8" i="7"/>
  <c r="H4" i="7"/>
  <c r="R45" i="6"/>
  <c r="R43" i="6"/>
  <c r="R41" i="6"/>
  <c r="K41" i="6"/>
  <c r="E41" i="6"/>
  <c r="C41" i="6"/>
  <c r="R39" i="6"/>
  <c r="K39" i="6"/>
  <c r="E39" i="6"/>
  <c r="C39" i="6"/>
  <c r="R37" i="6"/>
  <c r="F35" i="6"/>
  <c r="D35" i="6"/>
  <c r="B35" i="6"/>
  <c r="H33" i="6"/>
  <c r="F33" i="6"/>
  <c r="D33" i="6"/>
  <c r="B33" i="6"/>
  <c r="O32" i="6"/>
  <c r="N32" i="6"/>
  <c r="M32" i="6"/>
  <c r="H32" i="6"/>
  <c r="F32" i="6"/>
  <c r="D32" i="6"/>
  <c r="B32" i="6"/>
  <c r="N31" i="6"/>
  <c r="J31" i="6"/>
  <c r="I31" i="6"/>
  <c r="H31" i="6"/>
  <c r="N30" i="6"/>
  <c r="J30" i="6"/>
  <c r="I30" i="6"/>
  <c r="H30" i="6"/>
  <c r="N29" i="6"/>
  <c r="J29" i="6"/>
  <c r="I29" i="6"/>
  <c r="H29" i="6"/>
  <c r="N28" i="6"/>
  <c r="J28" i="6"/>
  <c r="I28" i="6"/>
  <c r="H28" i="6"/>
  <c r="N27" i="6"/>
  <c r="J27" i="6"/>
  <c r="I27" i="6"/>
  <c r="H27" i="6"/>
  <c r="N26" i="6"/>
  <c r="J26" i="6"/>
  <c r="I26" i="6"/>
  <c r="H26" i="6"/>
  <c r="N25" i="6"/>
  <c r="J25" i="6"/>
  <c r="I25" i="6"/>
  <c r="H25" i="6"/>
  <c r="N24" i="6"/>
  <c r="J24" i="6"/>
  <c r="I24" i="6"/>
  <c r="H24" i="6"/>
  <c r="N23" i="6"/>
  <c r="J23" i="6"/>
  <c r="I23" i="6"/>
  <c r="H23" i="6"/>
  <c r="N22" i="6"/>
  <c r="J22" i="6"/>
  <c r="I22" i="6"/>
  <c r="H22" i="6"/>
  <c r="N21" i="6"/>
  <c r="J21" i="6"/>
  <c r="I21" i="6"/>
  <c r="H21" i="6"/>
  <c r="N20" i="6"/>
  <c r="J20" i="6"/>
  <c r="I20" i="6"/>
  <c r="H20" i="6"/>
  <c r="N19" i="6"/>
  <c r="J19" i="6"/>
  <c r="I19" i="6"/>
  <c r="H19" i="6"/>
  <c r="N18" i="6"/>
  <c r="J18" i="6"/>
  <c r="I18" i="6"/>
  <c r="H18" i="6"/>
  <c r="N17" i="6"/>
  <c r="J17" i="6"/>
  <c r="I17" i="6"/>
  <c r="H17" i="6"/>
  <c r="N16" i="6"/>
  <c r="J16" i="6"/>
  <c r="I16" i="6"/>
  <c r="H16" i="6"/>
  <c r="N15" i="6"/>
  <c r="J15" i="6"/>
  <c r="I15" i="6"/>
  <c r="H15" i="6"/>
  <c r="N14" i="6"/>
  <c r="J14" i="6"/>
  <c r="I14" i="6"/>
  <c r="H14" i="6"/>
  <c r="N13" i="6"/>
  <c r="J13" i="6"/>
  <c r="I13" i="6"/>
  <c r="H13" i="6"/>
  <c r="N12" i="6"/>
  <c r="J12" i="6"/>
  <c r="I12" i="6"/>
  <c r="H12" i="6"/>
  <c r="N11" i="6"/>
  <c r="J11" i="6"/>
  <c r="I11" i="6"/>
  <c r="H11" i="6"/>
  <c r="N10" i="6"/>
  <c r="J10" i="6"/>
  <c r="I10" i="6"/>
  <c r="H10" i="6"/>
  <c r="N9" i="6"/>
  <c r="J9" i="6"/>
  <c r="I9" i="6"/>
  <c r="H9" i="6"/>
  <c r="N8" i="6"/>
  <c r="J8" i="6"/>
  <c r="I8" i="6"/>
  <c r="H8" i="6"/>
  <c r="H4" i="6"/>
  <c r="R45" i="5"/>
  <c r="R43" i="5"/>
  <c r="R41" i="5"/>
  <c r="K41" i="5"/>
  <c r="E41" i="5"/>
  <c r="C41" i="5"/>
  <c r="R39" i="5"/>
  <c r="K39" i="5"/>
  <c r="E39" i="5"/>
  <c r="C39" i="5"/>
  <c r="R37" i="5"/>
  <c r="F35" i="5"/>
  <c r="D35" i="5"/>
  <c r="B35" i="5"/>
  <c r="H33" i="5"/>
  <c r="F33" i="5"/>
  <c r="D33" i="5"/>
  <c r="B33" i="5"/>
  <c r="O32" i="5"/>
  <c r="N32" i="5"/>
  <c r="M32" i="5"/>
  <c r="H32" i="5"/>
  <c r="F32" i="5"/>
  <c r="D32" i="5"/>
  <c r="B32" i="5"/>
  <c r="N31" i="5"/>
  <c r="J31" i="5"/>
  <c r="I31" i="5"/>
  <c r="H31" i="5"/>
  <c r="N30" i="5"/>
  <c r="J30" i="5"/>
  <c r="I30" i="5"/>
  <c r="H30" i="5"/>
  <c r="N29" i="5"/>
  <c r="J29" i="5"/>
  <c r="I29" i="5"/>
  <c r="H29" i="5"/>
  <c r="N28" i="5"/>
  <c r="J28" i="5"/>
  <c r="I28" i="5"/>
  <c r="H28" i="5"/>
  <c r="N27" i="5"/>
  <c r="J27" i="5"/>
  <c r="I27" i="5"/>
  <c r="H27" i="5"/>
  <c r="N26" i="5"/>
  <c r="J26" i="5"/>
  <c r="I26" i="5"/>
  <c r="H26" i="5"/>
  <c r="N25" i="5"/>
  <c r="J25" i="5"/>
  <c r="I25" i="5"/>
  <c r="H25" i="5"/>
  <c r="N24" i="5"/>
  <c r="J24" i="5"/>
  <c r="I24" i="5"/>
  <c r="H24" i="5"/>
  <c r="N23" i="5"/>
  <c r="J23" i="5"/>
  <c r="I23" i="5"/>
  <c r="H23" i="5"/>
  <c r="N22" i="5"/>
  <c r="J22" i="5"/>
  <c r="I22" i="5"/>
  <c r="H22" i="5"/>
  <c r="N21" i="5"/>
  <c r="J21" i="5"/>
  <c r="I21" i="5"/>
  <c r="H21" i="5"/>
  <c r="N20" i="5"/>
  <c r="J20" i="5"/>
  <c r="I20" i="5"/>
  <c r="H20" i="5"/>
  <c r="N19" i="5"/>
  <c r="J19" i="5"/>
  <c r="I19" i="5"/>
  <c r="H19" i="5"/>
  <c r="N18" i="5"/>
  <c r="J18" i="5"/>
  <c r="I18" i="5"/>
  <c r="H18" i="5"/>
  <c r="N17" i="5"/>
  <c r="J17" i="5"/>
  <c r="I17" i="5"/>
  <c r="H17" i="5"/>
  <c r="N16" i="5"/>
  <c r="J16" i="5"/>
  <c r="I16" i="5"/>
  <c r="H16" i="5"/>
  <c r="N15" i="5"/>
  <c r="J15" i="5"/>
  <c r="I15" i="5"/>
  <c r="H15" i="5"/>
  <c r="N14" i="5"/>
  <c r="J14" i="5"/>
  <c r="I14" i="5"/>
  <c r="H14" i="5"/>
  <c r="N13" i="5"/>
  <c r="J13" i="5"/>
  <c r="I13" i="5"/>
  <c r="H13" i="5"/>
  <c r="N12" i="5"/>
  <c r="J12" i="5"/>
  <c r="I12" i="5"/>
  <c r="H12" i="5"/>
  <c r="N11" i="5"/>
  <c r="J11" i="5"/>
  <c r="I11" i="5"/>
  <c r="H11" i="5"/>
  <c r="N10" i="5"/>
  <c r="J10" i="5"/>
  <c r="I10" i="5"/>
  <c r="H10" i="5"/>
  <c r="N9" i="5"/>
  <c r="J9" i="5"/>
  <c r="I9" i="5"/>
  <c r="H9" i="5"/>
  <c r="N8" i="5"/>
  <c r="J8" i="5"/>
  <c r="I8" i="5"/>
  <c r="H8" i="5"/>
  <c r="H4" i="5"/>
  <c r="R45" i="4"/>
  <c r="R43" i="4"/>
  <c r="R41" i="4"/>
  <c r="K41" i="4"/>
  <c r="E41" i="4"/>
  <c r="C41" i="4"/>
  <c r="R39" i="4"/>
  <c r="K39" i="4"/>
  <c r="E39" i="4"/>
  <c r="C39" i="4"/>
  <c r="R37" i="4"/>
  <c r="F35" i="4"/>
  <c r="D35" i="4"/>
  <c r="B35" i="4"/>
  <c r="H33" i="4"/>
  <c r="F33" i="4"/>
  <c r="D33" i="4"/>
  <c r="B33" i="4"/>
  <c r="O32" i="4"/>
  <c r="N32" i="4"/>
  <c r="M32" i="4"/>
  <c r="H32" i="4"/>
  <c r="F32" i="4"/>
  <c r="D32" i="4"/>
  <c r="B32" i="4"/>
  <c r="N31" i="4"/>
  <c r="J31" i="4"/>
  <c r="I31" i="4"/>
  <c r="H31" i="4"/>
  <c r="N30" i="4"/>
  <c r="J30" i="4"/>
  <c r="I30" i="4"/>
  <c r="H30" i="4"/>
  <c r="N29" i="4"/>
  <c r="J29" i="4"/>
  <c r="I29" i="4"/>
  <c r="H29" i="4"/>
  <c r="N28" i="4"/>
  <c r="J28" i="4"/>
  <c r="I28" i="4"/>
  <c r="H28" i="4"/>
  <c r="N27" i="4"/>
  <c r="J27" i="4"/>
  <c r="I27" i="4"/>
  <c r="H27" i="4"/>
  <c r="N26" i="4"/>
  <c r="J26" i="4"/>
  <c r="I26" i="4"/>
  <c r="H26" i="4"/>
  <c r="N25" i="4"/>
  <c r="J25" i="4"/>
  <c r="I25" i="4"/>
  <c r="H25" i="4"/>
  <c r="N24" i="4"/>
  <c r="J24" i="4"/>
  <c r="I24" i="4"/>
  <c r="H24" i="4"/>
  <c r="N23" i="4"/>
  <c r="J23" i="4"/>
  <c r="I23" i="4"/>
  <c r="H23" i="4"/>
  <c r="N22" i="4"/>
  <c r="J22" i="4"/>
  <c r="I22" i="4"/>
  <c r="H22" i="4"/>
  <c r="N21" i="4"/>
  <c r="J21" i="4"/>
  <c r="I21" i="4"/>
  <c r="H21" i="4"/>
  <c r="N20" i="4"/>
  <c r="J20" i="4"/>
  <c r="I20" i="4"/>
  <c r="H20" i="4"/>
  <c r="N19" i="4"/>
  <c r="J19" i="4"/>
  <c r="I19" i="4"/>
  <c r="H19" i="4"/>
  <c r="N18" i="4"/>
  <c r="J18" i="4"/>
  <c r="I18" i="4"/>
  <c r="H18" i="4"/>
  <c r="N17" i="4"/>
  <c r="J17" i="4"/>
  <c r="I17" i="4"/>
  <c r="H17" i="4"/>
  <c r="N16" i="4"/>
  <c r="J16" i="4"/>
  <c r="I16" i="4"/>
  <c r="H16" i="4"/>
  <c r="N15" i="4"/>
  <c r="J15" i="4"/>
  <c r="I15" i="4"/>
  <c r="H15" i="4"/>
  <c r="N14" i="4"/>
  <c r="J14" i="4"/>
  <c r="I14" i="4"/>
  <c r="H14" i="4"/>
  <c r="N13" i="4"/>
  <c r="J13" i="4"/>
  <c r="I13" i="4"/>
  <c r="H13" i="4"/>
  <c r="N12" i="4"/>
  <c r="J12" i="4"/>
  <c r="I12" i="4"/>
  <c r="H12" i="4"/>
  <c r="N11" i="4"/>
  <c r="J11" i="4"/>
  <c r="I11" i="4"/>
  <c r="H11" i="4"/>
  <c r="N10" i="4"/>
  <c r="J10" i="4"/>
  <c r="I10" i="4"/>
  <c r="H10" i="4"/>
  <c r="N9" i="4"/>
  <c r="J9" i="4"/>
  <c r="I9" i="4"/>
  <c r="H9" i="4"/>
  <c r="N8" i="4"/>
  <c r="J8" i="4"/>
  <c r="I8" i="4"/>
  <c r="H8" i="4"/>
  <c r="H4" i="4"/>
  <c r="R45" i="3"/>
  <c r="R43" i="3"/>
  <c r="R41" i="3"/>
  <c r="K41" i="3"/>
  <c r="E41" i="3"/>
  <c r="C41" i="3"/>
  <c r="R39" i="3"/>
  <c r="K39" i="3"/>
  <c r="E39" i="3"/>
  <c r="C39" i="3"/>
  <c r="R37" i="3"/>
  <c r="F35" i="3"/>
  <c r="D35" i="3"/>
  <c r="B35" i="3"/>
  <c r="H33" i="3"/>
  <c r="F33" i="3"/>
  <c r="D33" i="3"/>
  <c r="B33" i="3"/>
  <c r="O32" i="3"/>
  <c r="N32" i="3"/>
  <c r="M32" i="3"/>
  <c r="H32" i="3"/>
  <c r="F32" i="3"/>
  <c r="D32" i="3"/>
  <c r="B32" i="3"/>
  <c r="N31" i="3"/>
  <c r="J31" i="3"/>
  <c r="I31" i="3"/>
  <c r="H31" i="3"/>
  <c r="N30" i="3"/>
  <c r="J30" i="3"/>
  <c r="I30" i="3"/>
  <c r="H30" i="3"/>
  <c r="N29" i="3"/>
  <c r="J29" i="3"/>
  <c r="I29" i="3"/>
  <c r="H29" i="3"/>
  <c r="N28" i="3"/>
  <c r="J28" i="3"/>
  <c r="I28" i="3"/>
  <c r="H28" i="3"/>
  <c r="N27" i="3"/>
  <c r="J27" i="3"/>
  <c r="I27" i="3"/>
  <c r="H27" i="3"/>
  <c r="N26" i="3"/>
  <c r="J26" i="3"/>
  <c r="I26" i="3"/>
  <c r="H26" i="3"/>
  <c r="N25" i="3"/>
  <c r="J25" i="3"/>
  <c r="I25" i="3"/>
  <c r="H25" i="3"/>
  <c r="N24" i="3"/>
  <c r="J24" i="3"/>
  <c r="I24" i="3"/>
  <c r="H24" i="3"/>
  <c r="N23" i="3"/>
  <c r="J23" i="3"/>
  <c r="I23" i="3"/>
  <c r="H23" i="3"/>
  <c r="N22" i="3"/>
  <c r="J22" i="3"/>
  <c r="I22" i="3"/>
  <c r="H22" i="3"/>
  <c r="N21" i="3"/>
  <c r="J21" i="3"/>
  <c r="I21" i="3"/>
  <c r="H21" i="3"/>
  <c r="N20" i="3"/>
  <c r="J20" i="3"/>
  <c r="I20" i="3"/>
  <c r="H20" i="3"/>
  <c r="N19" i="3"/>
  <c r="J19" i="3"/>
  <c r="I19" i="3"/>
  <c r="H19" i="3"/>
  <c r="N18" i="3"/>
  <c r="J18" i="3"/>
  <c r="I18" i="3"/>
  <c r="H18" i="3"/>
  <c r="N17" i="3"/>
  <c r="J17" i="3"/>
  <c r="I17" i="3"/>
  <c r="H17" i="3"/>
  <c r="N16" i="3"/>
  <c r="J16" i="3"/>
  <c r="I16" i="3"/>
  <c r="H16" i="3"/>
  <c r="N15" i="3"/>
  <c r="J15" i="3"/>
  <c r="I15" i="3"/>
  <c r="H15" i="3"/>
  <c r="N14" i="3"/>
  <c r="J14" i="3"/>
  <c r="I14" i="3"/>
  <c r="H14" i="3"/>
  <c r="N13" i="3"/>
  <c r="J13" i="3"/>
  <c r="I13" i="3"/>
  <c r="H13" i="3"/>
  <c r="N12" i="3"/>
  <c r="J12" i="3"/>
  <c r="I12" i="3"/>
  <c r="H12" i="3"/>
  <c r="N11" i="3"/>
  <c r="J11" i="3"/>
  <c r="I11" i="3"/>
  <c r="H11" i="3"/>
  <c r="N10" i="3"/>
  <c r="J10" i="3"/>
  <c r="I10" i="3"/>
  <c r="H10" i="3"/>
  <c r="N9" i="3"/>
  <c r="J9" i="3"/>
  <c r="I9" i="3"/>
  <c r="H9" i="3"/>
  <c r="N8" i="3"/>
  <c r="J8" i="3"/>
  <c r="I8" i="3"/>
  <c r="H8" i="3"/>
  <c r="H4" i="3"/>
  <c r="R45" i="2"/>
  <c r="R43" i="2"/>
  <c r="R41" i="2"/>
  <c r="K41" i="2"/>
  <c r="E41" i="2"/>
  <c r="C41" i="2"/>
  <c r="R39" i="2"/>
  <c r="K39" i="2"/>
  <c r="E39" i="2"/>
  <c r="C39" i="2"/>
  <c r="R37" i="2"/>
  <c r="F35" i="2"/>
  <c r="D35" i="2"/>
  <c r="B35" i="2"/>
  <c r="H33" i="2"/>
  <c r="F33" i="2"/>
  <c r="D33" i="2"/>
  <c r="B33" i="2"/>
  <c r="O32" i="2"/>
  <c r="N32" i="2"/>
  <c r="M32" i="2"/>
  <c r="H32" i="2"/>
  <c r="F32" i="2"/>
  <c r="D32" i="2"/>
  <c r="B32" i="2"/>
  <c r="N31" i="2"/>
  <c r="J31" i="2"/>
  <c r="I31" i="2"/>
  <c r="H31" i="2"/>
  <c r="N30" i="2"/>
  <c r="J30" i="2"/>
  <c r="I30" i="2"/>
  <c r="H30" i="2"/>
  <c r="N29" i="2"/>
  <c r="J29" i="2"/>
  <c r="I29" i="2"/>
  <c r="H29" i="2"/>
  <c r="N28" i="2"/>
  <c r="J28" i="2"/>
  <c r="I28" i="2"/>
  <c r="H28" i="2"/>
  <c r="N27" i="2"/>
  <c r="J27" i="2"/>
  <c r="I27" i="2"/>
  <c r="H27" i="2"/>
  <c r="N26" i="2"/>
  <c r="J26" i="2"/>
  <c r="I26" i="2"/>
  <c r="H26" i="2"/>
  <c r="N25" i="2"/>
  <c r="J25" i="2"/>
  <c r="I25" i="2"/>
  <c r="H25" i="2"/>
  <c r="N24" i="2"/>
  <c r="J24" i="2"/>
  <c r="I24" i="2"/>
  <c r="H24" i="2"/>
  <c r="N23" i="2"/>
  <c r="J23" i="2"/>
  <c r="I23" i="2"/>
  <c r="H23" i="2"/>
  <c r="N22" i="2"/>
  <c r="J22" i="2"/>
  <c r="I22" i="2"/>
  <c r="H22" i="2"/>
  <c r="N21" i="2"/>
  <c r="J21" i="2"/>
  <c r="I21" i="2"/>
  <c r="H21" i="2"/>
  <c r="N20" i="2"/>
  <c r="J20" i="2"/>
  <c r="I20" i="2"/>
  <c r="H20" i="2"/>
  <c r="N19" i="2"/>
  <c r="J19" i="2"/>
  <c r="I19" i="2"/>
  <c r="H19" i="2"/>
  <c r="N18" i="2"/>
  <c r="J18" i="2"/>
  <c r="I18" i="2"/>
  <c r="H18" i="2"/>
  <c r="N17" i="2"/>
  <c r="J17" i="2"/>
  <c r="I17" i="2"/>
  <c r="H17" i="2"/>
  <c r="N16" i="2"/>
  <c r="J16" i="2"/>
  <c r="I16" i="2"/>
  <c r="H16" i="2"/>
  <c r="N15" i="2"/>
  <c r="J15" i="2"/>
  <c r="I15" i="2"/>
  <c r="H15" i="2"/>
  <c r="N14" i="2"/>
  <c r="J14" i="2"/>
  <c r="I14" i="2"/>
  <c r="H14" i="2"/>
  <c r="N13" i="2"/>
  <c r="J13" i="2"/>
  <c r="I13" i="2"/>
  <c r="H13" i="2"/>
  <c r="N12" i="2"/>
  <c r="J12" i="2"/>
  <c r="I12" i="2"/>
  <c r="H12" i="2"/>
  <c r="N11" i="2"/>
  <c r="J11" i="2"/>
  <c r="I11" i="2"/>
  <c r="H11" i="2"/>
  <c r="N10" i="2"/>
  <c r="J10" i="2"/>
  <c r="I10" i="2"/>
  <c r="H10" i="2"/>
  <c r="N9" i="2"/>
  <c r="J9" i="2"/>
  <c r="I9" i="2"/>
  <c r="H9" i="2"/>
  <c r="N8" i="2"/>
  <c r="J8" i="2"/>
  <c r="I8" i="2"/>
  <c r="H8" i="2"/>
  <c r="H4" i="2"/>
  <c r="R45" i="1"/>
  <c r="R41" i="1"/>
  <c r="K41" i="1"/>
  <c r="E41" i="1"/>
  <c r="C41" i="1"/>
  <c r="R39" i="1"/>
  <c r="K39" i="1"/>
  <c r="E39" i="1"/>
  <c r="C39" i="1"/>
  <c r="R37" i="1"/>
  <c r="F35" i="1"/>
  <c r="D35" i="1"/>
  <c r="B35" i="1"/>
  <c r="H33" i="1"/>
  <c r="F33" i="1"/>
  <c r="D33" i="1"/>
  <c r="B33" i="1"/>
  <c r="O32" i="1"/>
  <c r="N32" i="1"/>
  <c r="M32" i="1"/>
  <c r="H32" i="1"/>
  <c r="F32" i="1"/>
  <c r="D32" i="1"/>
  <c r="B32" i="1"/>
  <c r="N31" i="1"/>
  <c r="J31" i="1"/>
  <c r="I31" i="1"/>
  <c r="H31" i="1"/>
  <c r="N30" i="1"/>
  <c r="J30" i="1"/>
  <c r="I30" i="1"/>
  <c r="H30" i="1"/>
  <c r="N29" i="1"/>
  <c r="J29" i="1"/>
  <c r="I29" i="1"/>
  <c r="H29" i="1"/>
  <c r="N28" i="1"/>
  <c r="J28" i="1"/>
  <c r="I28" i="1"/>
  <c r="H28" i="1"/>
  <c r="N27" i="1"/>
  <c r="J27" i="1"/>
  <c r="I27" i="1"/>
  <c r="H27" i="1"/>
  <c r="N26" i="1"/>
  <c r="J26" i="1"/>
  <c r="I26" i="1"/>
  <c r="H26" i="1"/>
  <c r="N25" i="1"/>
  <c r="J25" i="1"/>
  <c r="I25" i="1"/>
  <c r="H25" i="1"/>
  <c r="N24" i="1"/>
  <c r="J24" i="1"/>
  <c r="I24" i="1"/>
  <c r="H24" i="1"/>
  <c r="N23" i="1"/>
  <c r="J23" i="1"/>
  <c r="I23" i="1"/>
  <c r="H23" i="1"/>
  <c r="N22" i="1"/>
  <c r="J22" i="1"/>
  <c r="I22" i="1"/>
  <c r="H22" i="1"/>
  <c r="N21" i="1"/>
  <c r="J21" i="1"/>
  <c r="I21" i="1"/>
  <c r="H21" i="1"/>
  <c r="N20" i="1"/>
  <c r="J20" i="1"/>
  <c r="I20" i="1"/>
  <c r="H20" i="1"/>
  <c r="N19" i="1"/>
  <c r="J19" i="1"/>
  <c r="I19" i="1"/>
  <c r="H19" i="1"/>
  <c r="N18" i="1"/>
  <c r="J18" i="1"/>
  <c r="I18" i="1"/>
  <c r="H18" i="1"/>
  <c r="N17" i="1"/>
  <c r="J17" i="1"/>
  <c r="I17" i="1"/>
  <c r="H17" i="1"/>
  <c r="N16" i="1"/>
  <c r="J16" i="1"/>
  <c r="I16" i="1"/>
  <c r="H16" i="1"/>
  <c r="N15" i="1"/>
  <c r="J15" i="1"/>
  <c r="I15" i="1"/>
  <c r="H15" i="1"/>
  <c r="N14" i="1"/>
  <c r="J14" i="1"/>
  <c r="I14" i="1"/>
  <c r="H14" i="1"/>
  <c r="N13" i="1"/>
  <c r="J13" i="1"/>
  <c r="I13" i="1"/>
  <c r="H13" i="1"/>
  <c r="N12" i="1"/>
  <c r="J12" i="1"/>
  <c r="I12" i="1"/>
  <c r="H12" i="1"/>
  <c r="N11" i="1"/>
  <c r="J11" i="1"/>
  <c r="I11" i="1"/>
  <c r="H11" i="1"/>
  <c r="N10" i="1"/>
  <c r="J10" i="1"/>
  <c r="I10" i="1"/>
  <c r="H10" i="1"/>
  <c r="N9" i="1"/>
  <c r="J9" i="1"/>
  <c r="I9" i="1"/>
  <c r="H9" i="1"/>
  <c r="N8" i="1"/>
  <c r="J8" i="1"/>
  <c r="I8" i="1"/>
  <c r="H8" i="1"/>
  <c r="H4" i="1"/>
  <c r="R45" i="31"/>
  <c r="R43" i="31"/>
  <c r="R41" i="31"/>
  <c r="K41" i="31"/>
  <c r="E41" i="31"/>
  <c r="C41" i="31"/>
  <c r="R39" i="31"/>
  <c r="K39" i="31"/>
  <c r="E39" i="31"/>
  <c r="C39" i="31"/>
  <c r="R37" i="31"/>
  <c r="F35" i="31"/>
  <c r="D35" i="31"/>
  <c r="B35" i="31"/>
  <c r="H33" i="31"/>
  <c r="F33" i="31"/>
  <c r="D33" i="31"/>
  <c r="B33" i="31"/>
  <c r="O32" i="31"/>
  <c r="N32" i="31"/>
  <c r="M32" i="31"/>
  <c r="H32" i="31"/>
  <c r="F32" i="31"/>
  <c r="D32" i="31"/>
  <c r="B32" i="31"/>
  <c r="N31" i="31"/>
  <c r="J31" i="31"/>
  <c r="I31" i="31"/>
  <c r="H31" i="31"/>
  <c r="N30" i="31"/>
  <c r="J30" i="31"/>
  <c r="I30" i="31"/>
  <c r="H30" i="31"/>
  <c r="N29" i="31"/>
  <c r="J29" i="31"/>
  <c r="I29" i="31"/>
  <c r="H29" i="31"/>
  <c r="N28" i="31"/>
  <c r="J28" i="31"/>
  <c r="I28" i="31"/>
  <c r="H28" i="31"/>
  <c r="N27" i="31"/>
  <c r="J27" i="31"/>
  <c r="I27" i="31"/>
  <c r="H27" i="31"/>
  <c r="N26" i="31"/>
  <c r="J26" i="31"/>
  <c r="I26" i="31"/>
  <c r="H26" i="31"/>
  <c r="N25" i="31"/>
  <c r="J25" i="31"/>
  <c r="I25" i="31"/>
  <c r="H25" i="31"/>
  <c r="N24" i="31"/>
  <c r="J24" i="31"/>
  <c r="I24" i="31"/>
  <c r="H24" i="31"/>
  <c r="N23" i="31"/>
  <c r="J23" i="31"/>
  <c r="I23" i="31"/>
  <c r="H23" i="31"/>
  <c r="N22" i="31"/>
  <c r="J22" i="31"/>
  <c r="I22" i="31"/>
  <c r="H22" i="31"/>
  <c r="N21" i="31"/>
  <c r="J21" i="31"/>
  <c r="I21" i="31"/>
  <c r="H21" i="31"/>
  <c r="N20" i="31"/>
  <c r="J20" i="31"/>
  <c r="I20" i="31"/>
  <c r="H20" i="31"/>
  <c r="N19" i="31"/>
  <c r="J19" i="31"/>
  <c r="I19" i="31"/>
  <c r="H19" i="31"/>
  <c r="N18" i="31"/>
  <c r="J18" i="31"/>
  <c r="I18" i="31"/>
  <c r="H18" i="31"/>
  <c r="N17" i="31"/>
  <c r="J17" i="31"/>
  <c r="I17" i="31"/>
  <c r="H17" i="31"/>
  <c r="N16" i="31"/>
  <c r="J16" i="31"/>
  <c r="I16" i="31"/>
  <c r="H16" i="31"/>
  <c r="N15" i="31"/>
  <c r="J15" i="31"/>
  <c r="I15" i="31"/>
  <c r="H15" i="31"/>
  <c r="N14" i="31"/>
  <c r="J14" i="31"/>
  <c r="I14" i="31"/>
  <c r="H14" i="31"/>
  <c r="N13" i="31"/>
  <c r="J13" i="31"/>
  <c r="I13" i="31"/>
  <c r="H13" i="31"/>
  <c r="N12" i="31"/>
  <c r="J12" i="31"/>
  <c r="I12" i="31"/>
  <c r="H12" i="31"/>
  <c r="N11" i="31"/>
  <c r="J11" i="31"/>
  <c r="I11" i="31"/>
  <c r="H11" i="31"/>
  <c r="N10" i="31"/>
  <c r="J10" i="31"/>
  <c r="I10" i="31"/>
  <c r="H10" i="31"/>
  <c r="N9" i="31"/>
  <c r="J9" i="31"/>
  <c r="I9" i="31"/>
  <c r="H9" i="31"/>
  <c r="N8" i="31"/>
  <c r="J8" i="31"/>
  <c r="I8" i="31"/>
  <c r="H8" i="31"/>
  <c r="H4" i="31"/>
</calcChain>
</file>

<file path=xl/sharedStrings.xml><?xml version="1.0" encoding="utf-8"?>
<sst xmlns="http://schemas.openxmlformats.org/spreadsheetml/2006/main" count="1839" uniqueCount="31">
  <si>
    <t>Time</t>
  </si>
  <si>
    <t>G1</t>
  </si>
  <si>
    <t>G2</t>
  </si>
  <si>
    <t>G3</t>
  </si>
  <si>
    <t>Hourly kW·h</t>
  </si>
  <si>
    <t xml:space="preserve"> Ave KW Genset</t>
  </si>
  <si>
    <t>No. of Gen. Running</t>
  </si>
  <si>
    <t>Tank 1</t>
  </si>
  <si>
    <t>kWhr Meter</t>
  </si>
  <si>
    <t>Hourly Production</t>
  </si>
  <si>
    <t xml:space="preserve">Power Difference </t>
  </si>
  <si>
    <t>BD</t>
  </si>
  <si>
    <t>Daily Totals</t>
  </si>
  <si>
    <t>Daily MW/hrs</t>
  </si>
  <si>
    <t>Ave. kW Per Daily</t>
  </si>
  <si>
    <t>Daily kW/hrs</t>
  </si>
  <si>
    <t>Run Hours</t>
  </si>
  <si>
    <t>Total Gen set running hours</t>
  </si>
  <si>
    <t>Max Daily Peak Load MW @</t>
  </si>
  <si>
    <t>Maximum Peak No. of Gen. Running</t>
  </si>
  <si>
    <t>Daily Average Hourly OUTPUT (kW)</t>
  </si>
  <si>
    <t xml:space="preserve"> Min Daily Peak Load MW @</t>
  </si>
  <si>
    <t>Minimum Peak No. of Gen. Running</t>
  </si>
  <si>
    <t xml:space="preserve">Daily Average Gen kW                            </t>
  </si>
  <si>
    <t>Average Power factor</t>
  </si>
  <si>
    <t>Average Hourly Power Diff.                                           (Gen MW/h : kWhr Meter MW/h)</t>
  </si>
  <si>
    <t>STB</t>
  </si>
  <si>
    <t>Y=16+0.2355*kW</t>
    <phoneticPr fontId="37" type="noConversion"/>
  </si>
  <si>
    <t>Day</t>
  </si>
  <si>
    <t>Hour</t>
  </si>
  <si>
    <t>Hourly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</si>
</sst>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.00_);_(* \(#,##0.00\);_(* &quot;-&quot;??_);_(@_)"/>
    <numFmt numFmtId="177" formatCode="[$-409]d\-mmm\-yy;@"/>
    <numFmt numFmtId="178" formatCode="h:mm;@"/>
    <numFmt numFmtId="179" formatCode="0.000"/>
    <numFmt numFmtId="180" formatCode="#,##0.000"/>
    <numFmt numFmtId="181" formatCode="_-* #,##0_-;\-* #,##0_-;_-* &quot;-&quot;??_-;_-@_-"/>
    <numFmt numFmtId="182" formatCode="#####0\ &quot;MWhrs&quot;"/>
    <numFmt numFmtId="183" formatCode="0;[Red]0"/>
    <numFmt numFmtId="184" formatCode="#,##0\ &quot;kW&quot;"/>
    <numFmt numFmtId="185" formatCode="##0\ &quot;kW&quot;"/>
    <numFmt numFmtId="186" formatCode="#,##0.0000_ "/>
  </numFmts>
  <fonts count="38">
    <font>
      <sz val="11"/>
      <color theme="1"/>
      <name val="等线"/>
      <charset val="134"/>
      <scheme val="minor"/>
    </font>
    <font>
      <b/>
      <sz val="12"/>
      <name val="Arial"/>
      <family val="2"/>
    </font>
    <font>
      <b/>
      <sz val="20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z val="14"/>
      <name val="Calibri"/>
      <family val="2"/>
    </font>
    <font>
      <sz val="9"/>
      <name val="Calibri"/>
      <family val="2"/>
    </font>
    <font>
      <b/>
      <sz val="8"/>
      <name val="Arial"/>
      <family val="2"/>
    </font>
    <font>
      <b/>
      <sz val="8"/>
      <name val="Times New Roman"/>
      <family val="1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8"/>
      <color indexed="8"/>
      <name val="Calibri"/>
      <family val="2"/>
    </font>
    <font>
      <b/>
      <sz val="8"/>
      <name val="等线"/>
      <scheme val="minor"/>
    </font>
    <font>
      <b/>
      <i/>
      <sz val="8"/>
      <color indexed="10"/>
      <name val="等线"/>
      <scheme val="minor"/>
    </font>
    <font>
      <b/>
      <sz val="8"/>
      <color indexed="8"/>
      <name val="等线"/>
      <scheme val="minor"/>
    </font>
    <font>
      <b/>
      <i/>
      <sz val="8"/>
      <color rgb="FFFF0000"/>
      <name val="等线"/>
      <scheme val="minor"/>
    </font>
    <font>
      <sz val="9"/>
      <name val="Arial"/>
      <family val="2"/>
    </font>
    <font>
      <b/>
      <sz val="8"/>
      <name val="Calibri"/>
      <family val="2"/>
    </font>
    <font>
      <b/>
      <i/>
      <sz val="8"/>
      <color indexed="10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  <font>
      <sz val="8"/>
      <name val="Calibri"/>
      <family val="2"/>
    </font>
    <font>
      <sz val="8"/>
      <color indexed="55"/>
      <name val="Calibri"/>
      <family val="2"/>
    </font>
    <font>
      <b/>
      <sz val="10"/>
      <name val="Calibri"/>
      <family val="2"/>
    </font>
    <font>
      <b/>
      <sz val="8"/>
      <color indexed="63"/>
      <name val="Calibri"/>
      <family val="2"/>
    </font>
    <font>
      <b/>
      <sz val="8"/>
      <color theme="1"/>
      <name val="等线"/>
      <scheme val="minor"/>
    </font>
    <font>
      <sz val="8"/>
      <color theme="1"/>
      <name val="等线"/>
      <scheme val="minor"/>
    </font>
    <font>
      <sz val="8"/>
      <color indexed="9"/>
      <name val="Arial"/>
      <family val="2"/>
    </font>
    <font>
      <b/>
      <sz val="8"/>
      <color indexed="9"/>
      <name val="Calibri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8"/>
      <color indexed="56"/>
      <name val="Arial"/>
      <family val="2"/>
    </font>
    <font>
      <b/>
      <sz val="14"/>
      <color indexed="9"/>
      <name val="Calibri"/>
      <family val="2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sz val="11"/>
      <color theme="1"/>
      <name val="等线"/>
      <scheme val="minor"/>
    </font>
    <font>
      <sz val="9"/>
      <name val="等线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F0E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92FC8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7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76" fontId="36" fillId="0" borderId="0" applyFont="0" applyFill="0" applyBorder="0" applyAlignment="0" applyProtection="0"/>
  </cellStyleXfs>
  <cellXfs count="175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7" fontId="4" fillId="2" borderId="0" xfId="0" applyNumberFormat="1" applyFont="1" applyFill="1" applyAlignment="1">
      <alignment vertical="center"/>
    </xf>
    <xf numFmtId="177" fontId="5" fillId="2" borderId="0" xfId="0" applyNumberFormat="1" applyFont="1" applyFill="1" applyAlignment="1">
      <alignment vertical="center"/>
    </xf>
    <xf numFmtId="177" fontId="5" fillId="4" borderId="0" xfId="0" applyNumberFormat="1" applyFont="1" applyFill="1" applyAlignment="1">
      <alignment vertical="center"/>
    </xf>
    <xf numFmtId="177" fontId="4" fillId="2" borderId="0" xfId="0" applyNumberFormat="1" applyFont="1" applyFill="1" applyAlignment="1">
      <alignment horizontal="center" vertical="center"/>
    </xf>
    <xf numFmtId="0" fontId="0" fillId="2" borderId="4" xfId="0" applyFill="1" applyBorder="1"/>
    <xf numFmtId="0" fontId="2" fillId="2" borderId="4" xfId="0" applyFont="1" applyFill="1" applyBorder="1" applyAlignment="1">
      <alignment vertical="center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 applyProtection="1">
      <alignment horizontal="center" vertical="center" wrapText="1"/>
      <protection locked="0" hidden="1"/>
    </xf>
    <xf numFmtId="0" fontId="10" fillId="0" borderId="0" xfId="0" applyFont="1" applyAlignment="1">
      <alignment horizontal="center" vertical="center"/>
    </xf>
    <xf numFmtId="178" fontId="11" fillId="9" borderId="14" xfId="0" applyNumberFormat="1" applyFont="1" applyFill="1" applyBorder="1" applyAlignment="1">
      <alignment horizontal="center" vertical="center"/>
    </xf>
    <xf numFmtId="3" fontId="13" fillId="2" borderId="17" xfId="0" applyNumberFormat="1" applyFont="1" applyFill="1" applyBorder="1" applyAlignment="1">
      <alignment horizontal="center" vertical="center"/>
    </xf>
    <xf numFmtId="3" fontId="13" fillId="2" borderId="18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178" fontId="14" fillId="9" borderId="20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39" fontId="12" fillId="0" borderId="21" xfId="0" applyNumberFormat="1" applyFont="1" applyBorder="1" applyAlignment="1">
      <alignment horizontal="center" vertical="center"/>
    </xf>
    <xf numFmtId="3" fontId="14" fillId="4" borderId="2" xfId="0" applyNumberFormat="1" applyFont="1" applyFill="1" applyBorder="1" applyAlignment="1">
      <alignment horizontal="center" vertical="center"/>
    </xf>
    <xf numFmtId="39" fontId="16" fillId="0" borderId="14" xfId="0" applyNumberFormat="1" applyFont="1" applyBorder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39" fontId="16" fillId="0" borderId="0" xfId="0" applyNumberFormat="1" applyFont="1" applyAlignment="1">
      <alignment vertical="center"/>
    </xf>
    <xf numFmtId="178" fontId="11" fillId="4" borderId="0" xfId="0" applyNumberFormat="1" applyFont="1" applyFill="1" applyAlignment="1">
      <alignment horizontal="center" vertical="center"/>
    </xf>
    <xf numFmtId="39" fontId="12" fillId="0" borderId="22" xfId="0" applyNumberFormat="1" applyFont="1" applyBorder="1" applyAlignment="1">
      <alignment horizontal="center" vertical="center"/>
    </xf>
    <xf numFmtId="1" fontId="14" fillId="4" borderId="23" xfId="0" applyNumberFormat="1" applyFont="1" applyFill="1" applyBorder="1" applyAlignment="1">
      <alignment horizontal="center" vertical="center"/>
    </xf>
    <xf numFmtId="1" fontId="14" fillId="4" borderId="20" xfId="0" applyNumberFormat="1" applyFont="1" applyFill="1" applyBorder="1" applyAlignment="1">
      <alignment horizontal="center" vertical="center"/>
    </xf>
    <xf numFmtId="178" fontId="11" fillId="9" borderId="5" xfId="0" applyNumberFormat="1" applyFont="1" applyFill="1" applyBorder="1" applyAlignment="1">
      <alignment horizontal="center" vertical="center"/>
    </xf>
    <xf numFmtId="3" fontId="13" fillId="2" borderId="24" xfId="0" applyNumberFormat="1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78" fontId="14" fillId="9" borderId="26" xfId="0" applyNumberFormat="1" applyFont="1" applyFill="1" applyBorder="1" applyAlignment="1">
      <alignment horizontal="center" vertical="center"/>
    </xf>
    <xf numFmtId="39" fontId="12" fillId="0" borderId="27" xfId="0" applyNumberFormat="1" applyFont="1" applyBorder="1" applyAlignment="1">
      <alignment horizontal="center" vertical="center"/>
    </xf>
    <xf numFmtId="0" fontId="17" fillId="5" borderId="28" xfId="0" applyFont="1" applyFill="1" applyBorder="1" applyAlignment="1">
      <alignment horizontal="center" vertical="center" wrapText="1"/>
    </xf>
    <xf numFmtId="3" fontId="18" fillId="11" borderId="29" xfId="0" applyNumberFormat="1" applyFont="1" applyFill="1" applyBorder="1" applyAlignment="1">
      <alignment horizontal="center" vertical="center"/>
    </xf>
    <xf numFmtId="0" fontId="17" fillId="12" borderId="6" xfId="0" applyFont="1" applyFill="1" applyBorder="1" applyAlignment="1">
      <alignment horizontal="center" vertical="center"/>
    </xf>
    <xf numFmtId="0" fontId="17" fillId="12" borderId="30" xfId="0" applyFont="1" applyFill="1" applyBorder="1" applyAlignment="1">
      <alignment horizontal="center" vertical="center"/>
    </xf>
    <xf numFmtId="0" fontId="17" fillId="12" borderId="7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180" fontId="17" fillId="11" borderId="10" xfId="0" applyNumberFormat="1" applyFont="1" applyFill="1" applyBorder="1" applyAlignment="1">
      <alignment horizontal="center" vertical="center"/>
    </xf>
    <xf numFmtId="3" fontId="12" fillId="11" borderId="30" xfId="0" applyNumberFormat="1" applyFont="1" applyFill="1" applyBorder="1" applyAlignment="1">
      <alignment horizontal="center" vertical="center"/>
    </xf>
    <xf numFmtId="180" fontId="12" fillId="11" borderId="28" xfId="0" applyNumberFormat="1" applyFont="1" applyFill="1" applyBorder="1" applyAlignment="1">
      <alignment horizontal="center" vertical="center"/>
    </xf>
    <xf numFmtId="1" fontId="12" fillId="4" borderId="0" xfId="0" applyNumberFormat="1" applyFont="1" applyFill="1" applyAlignment="1">
      <alignment horizontal="center" vertical="center"/>
    </xf>
    <xf numFmtId="4" fontId="19" fillId="4" borderId="0" xfId="0" applyNumberFormat="1" applyFont="1" applyFill="1" applyAlignment="1">
      <alignment horizontal="center" vertical="center"/>
    </xf>
    <xf numFmtId="0" fontId="1" fillId="4" borderId="0" xfId="0" applyFont="1" applyFill="1"/>
    <xf numFmtId="181" fontId="20" fillId="12" borderId="0" xfId="1" applyNumberFormat="1" applyFont="1" applyFill="1" applyBorder="1" applyAlignment="1">
      <alignment horizontal="center" vertical="center"/>
    </xf>
    <xf numFmtId="181" fontId="20" fillId="12" borderId="34" xfId="1" applyNumberFormat="1" applyFont="1" applyFill="1" applyBorder="1" applyAlignment="1">
      <alignment horizontal="center" vertical="center"/>
    </xf>
    <xf numFmtId="181" fontId="20" fillId="0" borderId="0" xfId="1" applyNumberFormat="1" applyFont="1" applyFill="1" applyBorder="1" applyAlignment="1">
      <alignment vertical="center"/>
    </xf>
    <xf numFmtId="181" fontId="20" fillId="0" borderId="0" xfId="1" applyNumberFormat="1" applyFont="1" applyFill="1" applyBorder="1" applyAlignment="1">
      <alignment horizontal="center" vertical="center"/>
    </xf>
    <xf numFmtId="4" fontId="17" fillId="0" borderId="0" xfId="0" applyNumberFormat="1" applyFont="1" applyAlignment="1">
      <alignment vertical="center" wrapText="1"/>
    </xf>
    <xf numFmtId="182" fontId="17" fillId="0" borderId="0" xfId="0" applyNumberFormat="1" applyFont="1" applyAlignment="1">
      <alignment vertical="center" wrapText="1"/>
    </xf>
    <xf numFmtId="181" fontId="19" fillId="0" borderId="0" xfId="1" applyNumberFormat="1" applyFont="1" applyFill="1" applyBorder="1" applyAlignment="1">
      <alignment horizontal="center" vertical="center"/>
    </xf>
    <xf numFmtId="181" fontId="20" fillId="12" borderId="4" xfId="1" applyNumberFormat="1" applyFont="1" applyFill="1" applyBorder="1" applyAlignment="1">
      <alignment horizontal="center" vertical="center"/>
    </xf>
    <xf numFmtId="181" fontId="20" fillId="12" borderId="13" xfId="1" applyNumberFormat="1" applyFont="1" applyFill="1" applyBorder="1" applyAlignment="1">
      <alignment horizontal="center" vertical="center"/>
    </xf>
    <xf numFmtId="0" fontId="17" fillId="14" borderId="28" xfId="0" applyFont="1" applyFill="1" applyBorder="1" applyAlignment="1">
      <alignment horizontal="center" vertical="center"/>
    </xf>
    <xf numFmtId="0" fontId="21" fillId="0" borderId="33" xfId="0" applyFont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 applyAlignment="1">
      <alignment horizontal="center" vertical="center"/>
    </xf>
    <xf numFmtId="181" fontId="23" fillId="0" borderId="0" xfId="1" applyNumberFormat="1" applyFont="1" applyFill="1" applyBorder="1" applyAlignment="1">
      <alignment vertical="center"/>
    </xf>
    <xf numFmtId="0" fontId="17" fillId="4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81" fontId="17" fillId="0" borderId="0" xfId="1" applyNumberFormat="1" applyFont="1" applyFill="1" applyBorder="1" applyAlignment="1">
      <alignment vertical="center"/>
    </xf>
    <xf numFmtId="181" fontId="17" fillId="0" borderId="0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top"/>
    </xf>
    <xf numFmtId="0" fontId="21" fillId="0" borderId="0" xfId="0" applyFont="1" applyAlignment="1">
      <alignment horizontal="center" vertical="top"/>
    </xf>
    <xf numFmtId="0" fontId="24" fillId="17" borderId="28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20" fontId="17" fillId="18" borderId="28" xfId="0" applyNumberFormat="1" applyFont="1" applyFill="1" applyBorder="1" applyAlignment="1">
      <alignment horizontal="center" vertical="center"/>
    </xf>
    <xf numFmtId="20" fontId="17" fillId="0" borderId="0" xfId="0" applyNumberFormat="1" applyFont="1" applyAlignment="1">
      <alignment vertical="center"/>
    </xf>
    <xf numFmtId="183" fontId="17" fillId="17" borderId="28" xfId="0" applyNumberFormat="1" applyFont="1" applyFill="1" applyBorder="1" applyAlignment="1">
      <alignment horizontal="center" vertical="center"/>
    </xf>
    <xf numFmtId="183" fontId="17" fillId="0" borderId="33" xfId="0" applyNumberFormat="1" applyFont="1" applyBorder="1" applyAlignment="1">
      <alignment vertical="center"/>
    </xf>
    <xf numFmtId="184" fontId="25" fillId="17" borderId="28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3" fontId="0" fillId="0" borderId="0" xfId="0" applyNumberFormat="1"/>
    <xf numFmtId="3" fontId="26" fillId="0" borderId="0" xfId="0" applyNumberFormat="1" applyFont="1"/>
    <xf numFmtId="0" fontId="26" fillId="0" borderId="0" xfId="0" applyFont="1"/>
    <xf numFmtId="0" fontId="27" fillId="0" borderId="0" xfId="0" applyFont="1"/>
    <xf numFmtId="0" fontId="0" fillId="0" borderId="39" xfId="0" applyBorder="1"/>
    <xf numFmtId="179" fontId="0" fillId="0" borderId="0" xfId="0" applyNumberFormat="1" applyAlignment="1">
      <alignment horizontal="center" vertical="center"/>
    </xf>
    <xf numFmtId="20" fontId="17" fillId="0" borderId="33" xfId="0" applyNumberFormat="1" applyFont="1" applyBorder="1" applyAlignment="1">
      <alignment vertical="center"/>
    </xf>
    <xf numFmtId="185" fontId="12" fillId="17" borderId="2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2" fontId="17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/>
    <xf numFmtId="1" fontId="12" fillId="0" borderId="0" xfId="0" applyNumberFormat="1" applyFont="1" applyAlignment="1">
      <alignment horizontal="center" vertical="center"/>
    </xf>
    <xf numFmtId="182" fontId="12" fillId="0" borderId="0" xfId="0" applyNumberFormat="1" applyFont="1" applyAlignment="1">
      <alignment horizontal="center" vertical="center"/>
    </xf>
    <xf numFmtId="0" fontId="30" fillId="0" borderId="0" xfId="0" applyFont="1"/>
    <xf numFmtId="2" fontId="25" fillId="20" borderId="28" xfId="0" applyNumberFormat="1" applyFont="1" applyFill="1" applyBorder="1" applyAlignment="1">
      <alignment horizontal="center" vertical="center"/>
    </xf>
    <xf numFmtId="3" fontId="12" fillId="0" borderId="0" xfId="0" applyNumberFormat="1" applyFont="1" applyAlignment="1">
      <alignment vertical="center"/>
    </xf>
    <xf numFmtId="0" fontId="31" fillId="0" borderId="0" xfId="0" applyFont="1"/>
    <xf numFmtId="0" fontId="32" fillId="0" borderId="0" xfId="0" applyFont="1"/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181" fontId="25" fillId="20" borderId="28" xfId="0" applyNumberFormat="1" applyFont="1" applyFill="1" applyBorder="1" applyAlignment="1">
      <alignment horizontal="left" vertical="center" indent="1"/>
    </xf>
    <xf numFmtId="185" fontId="12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39" fontId="12" fillId="0" borderId="14" xfId="0" applyNumberFormat="1" applyFont="1" applyBorder="1" applyAlignment="1">
      <alignment horizontal="center" vertical="center"/>
    </xf>
    <xf numFmtId="39" fontId="12" fillId="0" borderId="20" xfId="0" applyNumberFormat="1" applyFont="1" applyBorder="1" applyAlignment="1">
      <alignment horizontal="center" vertical="center"/>
    </xf>
    <xf numFmtId="39" fontId="12" fillId="0" borderId="40" xfId="0" applyNumberFormat="1" applyFont="1" applyBorder="1" applyAlignment="1">
      <alignment horizontal="center" vertical="center"/>
    </xf>
    <xf numFmtId="186" fontId="16" fillId="0" borderId="0" xfId="0" applyNumberFormat="1" applyFont="1" applyAlignment="1">
      <alignment vertical="center"/>
    </xf>
    <xf numFmtId="182" fontId="17" fillId="0" borderId="41" xfId="0" applyNumberFormat="1" applyFont="1" applyBorder="1" applyAlignment="1">
      <alignment vertical="center" wrapText="1"/>
    </xf>
    <xf numFmtId="181" fontId="19" fillId="0" borderId="41" xfId="1" applyNumberFormat="1" applyFont="1" applyFill="1" applyBorder="1" applyAlignment="1">
      <alignment horizontal="center" vertical="center"/>
    </xf>
    <xf numFmtId="0" fontId="36" fillId="0" borderId="0" xfId="0" applyFont="1"/>
    <xf numFmtId="20" fontId="0" fillId="0" borderId="0" xfId="0" applyNumberFormat="1"/>
    <xf numFmtId="0" fontId="7" fillId="4" borderId="0" xfId="0" applyFont="1" applyFill="1" applyAlignment="1" applyProtection="1">
      <alignment horizontal="center" vertical="center" wrapText="1"/>
      <protection locked="0" hidden="1"/>
    </xf>
    <xf numFmtId="0" fontId="7" fillId="4" borderId="0" xfId="0" applyFont="1" applyFill="1" applyAlignment="1">
      <alignment horizontal="center" vertical="center"/>
    </xf>
    <xf numFmtId="3" fontId="17" fillId="13" borderId="8" xfId="0" applyNumberFormat="1" applyFont="1" applyFill="1" applyBorder="1" applyAlignment="1">
      <alignment horizontal="center" vertical="center"/>
    </xf>
    <xf numFmtId="3" fontId="17" fillId="13" borderId="31" xfId="0" applyNumberFormat="1" applyFont="1" applyFill="1" applyBorder="1" applyAlignment="1">
      <alignment horizontal="center" vertical="center"/>
    </xf>
    <xf numFmtId="3" fontId="17" fillId="13" borderId="11" xfId="0" applyNumberFormat="1" applyFont="1" applyFill="1" applyBorder="1" applyAlignment="1">
      <alignment horizontal="center" vertical="center"/>
    </xf>
    <xf numFmtId="3" fontId="17" fillId="13" borderId="35" xfId="0" applyNumberFormat="1" applyFont="1" applyFill="1" applyBorder="1" applyAlignment="1">
      <alignment horizontal="center" vertical="center"/>
    </xf>
    <xf numFmtId="3" fontId="17" fillId="13" borderId="32" xfId="0" applyNumberFormat="1" applyFont="1" applyFill="1" applyBorder="1" applyAlignment="1">
      <alignment horizontal="center" vertical="center"/>
    </xf>
    <xf numFmtId="3" fontId="17" fillId="13" borderId="36" xfId="0" applyNumberFormat="1" applyFont="1" applyFill="1" applyBorder="1" applyAlignment="1">
      <alignment horizontal="center" vertical="center"/>
    </xf>
    <xf numFmtId="3" fontId="17" fillId="13" borderId="9" xfId="0" applyNumberFormat="1" applyFont="1" applyFill="1" applyBorder="1" applyAlignment="1">
      <alignment horizontal="center" vertical="center"/>
    </xf>
    <xf numFmtId="3" fontId="17" fillId="13" borderId="13" xfId="0" applyNumberFormat="1" applyFont="1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3" fontId="17" fillId="17" borderId="6" xfId="0" applyNumberFormat="1" applyFont="1" applyFill="1" applyBorder="1" applyAlignment="1">
      <alignment horizontal="center" vertical="center"/>
    </xf>
    <xf numFmtId="3" fontId="17" fillId="17" borderId="7" xfId="0" applyNumberFormat="1" applyFont="1" applyFill="1" applyBorder="1" applyAlignment="1">
      <alignment horizontal="center" vertical="center"/>
    </xf>
    <xf numFmtId="0" fontId="17" fillId="19" borderId="6" xfId="0" applyFont="1" applyFill="1" applyBorder="1" applyAlignment="1">
      <alignment horizontal="center" vertical="center" wrapText="1"/>
    </xf>
    <xf numFmtId="0" fontId="17" fillId="19" borderId="30" xfId="0" applyFont="1" applyFill="1" applyBorder="1" applyAlignment="1">
      <alignment horizontal="center" vertical="center" wrapText="1"/>
    </xf>
    <xf numFmtId="0" fontId="17" fillId="19" borderId="7" xfId="0" applyFont="1" applyFill="1" applyBorder="1" applyAlignment="1">
      <alignment horizontal="center" vertical="center" wrapText="1"/>
    </xf>
    <xf numFmtId="0" fontId="25" fillId="16" borderId="6" xfId="0" applyFont="1" applyFill="1" applyBorder="1" applyAlignment="1">
      <alignment horizontal="center" vertical="center"/>
    </xf>
    <xf numFmtId="0" fontId="25" fillId="16" borderId="30" xfId="0" applyFont="1" applyFill="1" applyBorder="1" applyAlignment="1">
      <alignment horizontal="center" vertical="center"/>
    </xf>
    <xf numFmtId="0" fontId="25" fillId="16" borderId="7" xfId="0" applyFont="1" applyFill="1" applyBorder="1" applyAlignment="1">
      <alignment horizontal="center" vertical="center"/>
    </xf>
    <xf numFmtId="37" fontId="12" fillId="0" borderId="15" xfId="0" applyNumberFormat="1" applyFont="1" applyBorder="1" applyAlignment="1">
      <alignment horizontal="center" vertical="center"/>
    </xf>
    <xf numFmtId="37" fontId="12" fillId="0" borderId="16" xfId="0" applyNumberFormat="1" applyFont="1" applyBorder="1" applyAlignment="1">
      <alignment horizontal="center" vertical="center"/>
    </xf>
    <xf numFmtId="179" fontId="17" fillId="10" borderId="6" xfId="0" applyNumberFormat="1" applyFont="1" applyFill="1" applyBorder="1" applyAlignment="1">
      <alignment horizontal="center" vertical="center" wrapText="1"/>
    </xf>
    <xf numFmtId="179" fontId="17" fillId="10" borderId="7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19" borderId="6" xfId="0" applyFont="1" applyFill="1" applyBorder="1" applyAlignment="1">
      <alignment horizontal="center" vertical="center"/>
    </xf>
    <xf numFmtId="0" fontId="17" fillId="19" borderId="30" xfId="0" applyFont="1" applyFill="1" applyBorder="1" applyAlignment="1">
      <alignment horizontal="center" vertical="center"/>
    </xf>
    <xf numFmtId="0" fontId="17" fillId="19" borderId="7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 wrapText="1"/>
    </xf>
    <xf numFmtId="0" fontId="17" fillId="8" borderId="10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3" fontId="18" fillId="2" borderId="12" xfId="0" applyNumberFormat="1" applyFont="1" applyFill="1" applyBorder="1" applyAlignment="1">
      <alignment horizontal="center" vertical="center"/>
    </xf>
    <xf numFmtId="3" fontId="18" fillId="2" borderId="10" xfId="0" applyNumberFormat="1" applyFont="1" applyFill="1" applyBorder="1" applyAlignment="1">
      <alignment horizontal="center" vertical="center"/>
    </xf>
    <xf numFmtId="181" fontId="20" fillId="12" borderId="33" xfId="1" applyNumberFormat="1" applyFont="1" applyFill="1" applyBorder="1" applyAlignment="1">
      <alignment horizontal="center" vertical="center"/>
    </xf>
    <xf numFmtId="181" fontId="20" fillId="12" borderId="11" xfId="1" applyNumberFormat="1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7" fillId="15" borderId="6" xfId="0" applyFont="1" applyFill="1" applyBorder="1" applyAlignment="1">
      <alignment horizontal="center" vertical="center"/>
    </xf>
    <xf numFmtId="0" fontId="17" fillId="15" borderId="37" xfId="0" applyFont="1" applyFill="1" applyBorder="1" applyAlignment="1">
      <alignment horizontal="center" vertical="center"/>
    </xf>
    <xf numFmtId="0" fontId="17" fillId="15" borderId="38" xfId="0" applyFont="1" applyFill="1" applyBorder="1" applyAlignment="1">
      <alignment horizontal="center" vertical="center"/>
    </xf>
    <xf numFmtId="0" fontId="17" fillId="15" borderId="7" xfId="0" applyFont="1" applyFill="1" applyBorder="1" applyAlignment="1">
      <alignment horizontal="center" vertical="center"/>
    </xf>
    <xf numFmtId="0" fontId="17" fillId="16" borderId="6" xfId="0" applyFont="1" applyFill="1" applyBorder="1" applyAlignment="1">
      <alignment horizontal="center" vertical="center"/>
    </xf>
    <xf numFmtId="0" fontId="17" fillId="16" borderId="30" xfId="0" applyFont="1" applyFill="1" applyBorder="1" applyAlignment="1">
      <alignment horizontal="center" vertical="center"/>
    </xf>
    <xf numFmtId="0" fontId="17" fillId="16" borderId="7" xfId="0" applyFont="1" applyFill="1" applyBorder="1" applyAlignment="1">
      <alignment horizontal="center" vertical="center"/>
    </xf>
    <xf numFmtId="177" fontId="6" fillId="3" borderId="1" xfId="0" applyNumberFormat="1" applyFont="1" applyFill="1" applyBorder="1" applyAlignment="1">
      <alignment horizontal="center" vertical="center"/>
    </xf>
    <xf numFmtId="177" fontId="6" fillId="3" borderId="2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52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externalLink" Target="externalLinks/externalLink27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externalLink" Target="externalLinks/externalLink2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62" Type="http://schemas.openxmlformats.org/officeDocument/2006/relationships/externalLink" Target="externalLinks/externalLink3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externalLink" Target="externalLinks/externalLink29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/>
              <a:t>January Hourly kW Curve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Hourly kW</c:v>
          </c:tx>
          <c:marker>
            <c:symbol val="none"/>
          </c:marker>
          <c:cat>
            <c:multiLvlStrRef>
              <c:f>'1'!$AE$52:$AF$795</c:f>
              <c:multiLvlStrCache>
                <c:ptCount val="744"/>
                <c:lvl>
                  <c:pt idx="0">
                    <c:v>1:00</c:v>
                  </c:pt>
                  <c:pt idx="1">
                    <c:v>2:00</c:v>
                  </c:pt>
                  <c:pt idx="2">
                    <c:v>3:00</c:v>
                  </c:pt>
                  <c:pt idx="3">
                    <c:v>4:00</c:v>
                  </c:pt>
                  <c:pt idx="4">
                    <c:v>5:00</c:v>
                  </c:pt>
                  <c:pt idx="5">
                    <c:v>6:00</c:v>
                  </c:pt>
                  <c:pt idx="6">
                    <c:v>7:00</c:v>
                  </c:pt>
                  <c:pt idx="7">
                    <c:v>8:00</c:v>
                  </c:pt>
                  <c:pt idx="8">
                    <c:v>9:00</c:v>
                  </c:pt>
                  <c:pt idx="9">
                    <c:v>10:00</c:v>
                  </c:pt>
                  <c:pt idx="10">
                    <c:v>11:00</c:v>
                  </c:pt>
                  <c:pt idx="11">
                    <c:v>12:00</c:v>
                  </c:pt>
                  <c:pt idx="12">
                    <c:v>13:00</c:v>
                  </c:pt>
                  <c:pt idx="13">
                    <c:v>14:00</c:v>
                  </c:pt>
                  <c:pt idx="14">
                    <c:v>15:00</c:v>
                  </c:pt>
                  <c:pt idx="15">
                    <c:v>16:00</c:v>
                  </c:pt>
                  <c:pt idx="16">
                    <c:v>17:00</c:v>
                  </c:pt>
                  <c:pt idx="17">
                    <c:v>18:00</c:v>
                  </c:pt>
                  <c:pt idx="18">
                    <c:v>19:00</c:v>
                  </c:pt>
                  <c:pt idx="19">
                    <c:v>20:00</c:v>
                  </c:pt>
                  <c:pt idx="20">
                    <c:v>21:00</c:v>
                  </c:pt>
                  <c:pt idx="21">
                    <c:v>22:00</c:v>
                  </c:pt>
                  <c:pt idx="22">
                    <c:v>23:00</c:v>
                  </c:pt>
                  <c:pt idx="23">
                    <c:v>0:00</c:v>
                  </c:pt>
                  <c:pt idx="24">
                    <c:v>1:00</c:v>
                  </c:pt>
                  <c:pt idx="25">
                    <c:v>2:00</c:v>
                  </c:pt>
                  <c:pt idx="26">
                    <c:v>3:00</c:v>
                  </c:pt>
                  <c:pt idx="27">
                    <c:v>4:00</c:v>
                  </c:pt>
                  <c:pt idx="28">
                    <c:v>5:00</c:v>
                  </c:pt>
                  <c:pt idx="29">
                    <c:v>6:00</c:v>
                  </c:pt>
                  <c:pt idx="30">
                    <c:v>7:00</c:v>
                  </c:pt>
                  <c:pt idx="31">
                    <c:v>8:00</c:v>
                  </c:pt>
                  <c:pt idx="32">
                    <c:v>9:00</c:v>
                  </c:pt>
                  <c:pt idx="33">
                    <c:v>10:00</c:v>
                  </c:pt>
                  <c:pt idx="34">
                    <c:v>11:00</c:v>
                  </c:pt>
                  <c:pt idx="35">
                    <c:v>12:00</c:v>
                  </c:pt>
                  <c:pt idx="36">
                    <c:v>13:00</c:v>
                  </c:pt>
                  <c:pt idx="37">
                    <c:v>14:00</c:v>
                  </c:pt>
                  <c:pt idx="38">
                    <c:v>15:00</c:v>
                  </c:pt>
                  <c:pt idx="39">
                    <c:v>16:00</c:v>
                  </c:pt>
                  <c:pt idx="40">
                    <c:v>17:00</c:v>
                  </c:pt>
                  <c:pt idx="41">
                    <c:v>18:00</c:v>
                  </c:pt>
                  <c:pt idx="42">
                    <c:v>19:00</c:v>
                  </c:pt>
                  <c:pt idx="43">
                    <c:v>20:00</c:v>
                  </c:pt>
                  <c:pt idx="44">
                    <c:v>21:00</c:v>
                  </c:pt>
                  <c:pt idx="45">
                    <c:v>22:00</c:v>
                  </c:pt>
                  <c:pt idx="46">
                    <c:v>23:00</c:v>
                  </c:pt>
                  <c:pt idx="47">
                    <c:v>0:00</c:v>
                  </c:pt>
                  <c:pt idx="48">
                    <c:v>1:00</c:v>
                  </c:pt>
                  <c:pt idx="49">
                    <c:v>2:00</c:v>
                  </c:pt>
                  <c:pt idx="50">
                    <c:v>3:00</c:v>
                  </c:pt>
                  <c:pt idx="51">
                    <c:v>4:00</c:v>
                  </c:pt>
                  <c:pt idx="52">
                    <c:v>5:00</c:v>
                  </c:pt>
                  <c:pt idx="53">
                    <c:v>6:00</c:v>
                  </c:pt>
                  <c:pt idx="54">
                    <c:v>7:00</c:v>
                  </c:pt>
                  <c:pt idx="55">
                    <c:v>8:00</c:v>
                  </c:pt>
                  <c:pt idx="56">
                    <c:v>9:00</c:v>
                  </c:pt>
                  <c:pt idx="57">
                    <c:v>10:00</c:v>
                  </c:pt>
                  <c:pt idx="58">
                    <c:v>11:00</c:v>
                  </c:pt>
                  <c:pt idx="59">
                    <c:v>12:00</c:v>
                  </c:pt>
                  <c:pt idx="60">
                    <c:v>13:00</c:v>
                  </c:pt>
                  <c:pt idx="61">
                    <c:v>14:00</c:v>
                  </c:pt>
                  <c:pt idx="62">
                    <c:v>15:00</c:v>
                  </c:pt>
                  <c:pt idx="63">
                    <c:v>16:00</c:v>
                  </c:pt>
                  <c:pt idx="64">
                    <c:v>17:00</c:v>
                  </c:pt>
                  <c:pt idx="65">
                    <c:v>18:00</c:v>
                  </c:pt>
                  <c:pt idx="66">
                    <c:v>19:00</c:v>
                  </c:pt>
                  <c:pt idx="67">
                    <c:v>20:00</c:v>
                  </c:pt>
                  <c:pt idx="68">
                    <c:v>21:00</c:v>
                  </c:pt>
                  <c:pt idx="69">
                    <c:v>22:00</c:v>
                  </c:pt>
                  <c:pt idx="70">
                    <c:v>23:00</c:v>
                  </c:pt>
                  <c:pt idx="71">
                    <c:v>0:00</c:v>
                  </c:pt>
                  <c:pt idx="72">
                    <c:v>1:00</c:v>
                  </c:pt>
                  <c:pt idx="73">
                    <c:v>2:00</c:v>
                  </c:pt>
                  <c:pt idx="74">
                    <c:v>3:00</c:v>
                  </c:pt>
                  <c:pt idx="75">
                    <c:v>4:00</c:v>
                  </c:pt>
                  <c:pt idx="76">
                    <c:v>5:00</c:v>
                  </c:pt>
                  <c:pt idx="77">
                    <c:v>6:00</c:v>
                  </c:pt>
                  <c:pt idx="78">
                    <c:v>7:00</c:v>
                  </c:pt>
                  <c:pt idx="79">
                    <c:v>8:00</c:v>
                  </c:pt>
                  <c:pt idx="80">
                    <c:v>9:00</c:v>
                  </c:pt>
                  <c:pt idx="81">
                    <c:v>10:00</c:v>
                  </c:pt>
                  <c:pt idx="82">
                    <c:v>11:00</c:v>
                  </c:pt>
                  <c:pt idx="83">
                    <c:v>12:00</c:v>
                  </c:pt>
                  <c:pt idx="84">
                    <c:v>13:00</c:v>
                  </c:pt>
                  <c:pt idx="85">
                    <c:v>14:00</c:v>
                  </c:pt>
                  <c:pt idx="86">
                    <c:v>15:00</c:v>
                  </c:pt>
                  <c:pt idx="87">
                    <c:v>16:00</c:v>
                  </c:pt>
                  <c:pt idx="88">
                    <c:v>17:00</c:v>
                  </c:pt>
                  <c:pt idx="89">
                    <c:v>18:00</c:v>
                  </c:pt>
                  <c:pt idx="90">
                    <c:v>19:00</c:v>
                  </c:pt>
                  <c:pt idx="91">
                    <c:v>20:00</c:v>
                  </c:pt>
                  <c:pt idx="92">
                    <c:v>21:00</c:v>
                  </c:pt>
                  <c:pt idx="93">
                    <c:v>22:00</c:v>
                  </c:pt>
                  <c:pt idx="94">
                    <c:v>23:00</c:v>
                  </c:pt>
                  <c:pt idx="95">
                    <c:v>0:00</c:v>
                  </c:pt>
                  <c:pt idx="96">
                    <c:v>1:00</c:v>
                  </c:pt>
                  <c:pt idx="97">
                    <c:v>2:00</c:v>
                  </c:pt>
                  <c:pt idx="98">
                    <c:v>3:00</c:v>
                  </c:pt>
                  <c:pt idx="99">
                    <c:v>4:00</c:v>
                  </c:pt>
                  <c:pt idx="100">
                    <c:v>5:00</c:v>
                  </c:pt>
                  <c:pt idx="101">
                    <c:v>6:00</c:v>
                  </c:pt>
                  <c:pt idx="102">
                    <c:v>7:00</c:v>
                  </c:pt>
                  <c:pt idx="103">
                    <c:v>8:00</c:v>
                  </c:pt>
                  <c:pt idx="104">
                    <c:v>9:00</c:v>
                  </c:pt>
                  <c:pt idx="105">
                    <c:v>10:00</c:v>
                  </c:pt>
                  <c:pt idx="106">
                    <c:v>11:00</c:v>
                  </c:pt>
                  <c:pt idx="107">
                    <c:v>12:00</c:v>
                  </c:pt>
                  <c:pt idx="108">
                    <c:v>13:00</c:v>
                  </c:pt>
                  <c:pt idx="109">
                    <c:v>14:00</c:v>
                  </c:pt>
                  <c:pt idx="110">
                    <c:v>15:00</c:v>
                  </c:pt>
                  <c:pt idx="111">
                    <c:v>16:00</c:v>
                  </c:pt>
                  <c:pt idx="112">
                    <c:v>17:00</c:v>
                  </c:pt>
                  <c:pt idx="113">
                    <c:v>18:00</c:v>
                  </c:pt>
                  <c:pt idx="114">
                    <c:v>19:00</c:v>
                  </c:pt>
                  <c:pt idx="115">
                    <c:v>20:00</c:v>
                  </c:pt>
                  <c:pt idx="116">
                    <c:v>21:00</c:v>
                  </c:pt>
                  <c:pt idx="117">
                    <c:v>22:00</c:v>
                  </c:pt>
                  <c:pt idx="118">
                    <c:v>23:00</c:v>
                  </c:pt>
                  <c:pt idx="119">
                    <c:v>0:00</c:v>
                  </c:pt>
                  <c:pt idx="120">
                    <c:v>1:00</c:v>
                  </c:pt>
                  <c:pt idx="121">
                    <c:v>2:00</c:v>
                  </c:pt>
                  <c:pt idx="122">
                    <c:v>3:00</c:v>
                  </c:pt>
                  <c:pt idx="123">
                    <c:v>4:00</c:v>
                  </c:pt>
                  <c:pt idx="124">
                    <c:v>5:00</c:v>
                  </c:pt>
                  <c:pt idx="125">
                    <c:v>6:00</c:v>
                  </c:pt>
                  <c:pt idx="126">
                    <c:v>7:00</c:v>
                  </c:pt>
                  <c:pt idx="127">
                    <c:v>8:00</c:v>
                  </c:pt>
                  <c:pt idx="128">
                    <c:v>9:00</c:v>
                  </c:pt>
                  <c:pt idx="129">
                    <c:v>10:00</c:v>
                  </c:pt>
                  <c:pt idx="130">
                    <c:v>11:00</c:v>
                  </c:pt>
                  <c:pt idx="131">
                    <c:v>12:00</c:v>
                  </c:pt>
                  <c:pt idx="132">
                    <c:v>13:00</c:v>
                  </c:pt>
                  <c:pt idx="133">
                    <c:v>14:00</c:v>
                  </c:pt>
                  <c:pt idx="134">
                    <c:v>15:00</c:v>
                  </c:pt>
                  <c:pt idx="135">
                    <c:v>16:00</c:v>
                  </c:pt>
                  <c:pt idx="136">
                    <c:v>17:00</c:v>
                  </c:pt>
                  <c:pt idx="137">
                    <c:v>18:00</c:v>
                  </c:pt>
                  <c:pt idx="138">
                    <c:v>19:00</c:v>
                  </c:pt>
                  <c:pt idx="139">
                    <c:v>20:00</c:v>
                  </c:pt>
                  <c:pt idx="140">
                    <c:v>21:00</c:v>
                  </c:pt>
                  <c:pt idx="141">
                    <c:v>22:00</c:v>
                  </c:pt>
                  <c:pt idx="142">
                    <c:v>23:00</c:v>
                  </c:pt>
                  <c:pt idx="143">
                    <c:v>0:00</c:v>
                  </c:pt>
                  <c:pt idx="144">
                    <c:v>1:00</c:v>
                  </c:pt>
                  <c:pt idx="145">
                    <c:v>2:00</c:v>
                  </c:pt>
                  <c:pt idx="146">
                    <c:v>3:00</c:v>
                  </c:pt>
                  <c:pt idx="147">
                    <c:v>4:00</c:v>
                  </c:pt>
                  <c:pt idx="148">
                    <c:v>5:00</c:v>
                  </c:pt>
                  <c:pt idx="149">
                    <c:v>6:00</c:v>
                  </c:pt>
                  <c:pt idx="150">
                    <c:v>7:00</c:v>
                  </c:pt>
                  <c:pt idx="151">
                    <c:v>8:00</c:v>
                  </c:pt>
                  <c:pt idx="152">
                    <c:v>9:00</c:v>
                  </c:pt>
                  <c:pt idx="153">
                    <c:v>10:00</c:v>
                  </c:pt>
                  <c:pt idx="154">
                    <c:v>11:00</c:v>
                  </c:pt>
                  <c:pt idx="155">
                    <c:v>12:00</c:v>
                  </c:pt>
                  <c:pt idx="156">
                    <c:v>13:00</c:v>
                  </c:pt>
                  <c:pt idx="157">
                    <c:v>14:00</c:v>
                  </c:pt>
                  <c:pt idx="158">
                    <c:v>15:00</c:v>
                  </c:pt>
                  <c:pt idx="159">
                    <c:v>16:00</c:v>
                  </c:pt>
                  <c:pt idx="160">
                    <c:v>17:00</c:v>
                  </c:pt>
                  <c:pt idx="161">
                    <c:v>18:00</c:v>
                  </c:pt>
                  <c:pt idx="162">
                    <c:v>19:00</c:v>
                  </c:pt>
                  <c:pt idx="163">
                    <c:v>20:00</c:v>
                  </c:pt>
                  <c:pt idx="164">
                    <c:v>21:00</c:v>
                  </c:pt>
                  <c:pt idx="165">
                    <c:v>22:00</c:v>
                  </c:pt>
                  <c:pt idx="166">
                    <c:v>23:00</c:v>
                  </c:pt>
                  <c:pt idx="167">
                    <c:v>0:00</c:v>
                  </c:pt>
                  <c:pt idx="168">
                    <c:v>1:00</c:v>
                  </c:pt>
                  <c:pt idx="169">
                    <c:v>2:00</c:v>
                  </c:pt>
                  <c:pt idx="170">
                    <c:v>3:00</c:v>
                  </c:pt>
                  <c:pt idx="171">
                    <c:v>4:00</c:v>
                  </c:pt>
                  <c:pt idx="172">
                    <c:v>5:00</c:v>
                  </c:pt>
                  <c:pt idx="173">
                    <c:v>6:00</c:v>
                  </c:pt>
                  <c:pt idx="174">
                    <c:v>7:00</c:v>
                  </c:pt>
                  <c:pt idx="175">
                    <c:v>8:00</c:v>
                  </c:pt>
                  <c:pt idx="176">
                    <c:v>9:00</c:v>
                  </c:pt>
                  <c:pt idx="177">
                    <c:v>10:00</c:v>
                  </c:pt>
                  <c:pt idx="178">
                    <c:v>11:00</c:v>
                  </c:pt>
                  <c:pt idx="179">
                    <c:v>12:00</c:v>
                  </c:pt>
                  <c:pt idx="180">
                    <c:v>13:00</c:v>
                  </c:pt>
                  <c:pt idx="181">
                    <c:v>14:00</c:v>
                  </c:pt>
                  <c:pt idx="182">
                    <c:v>15:00</c:v>
                  </c:pt>
                  <c:pt idx="183">
                    <c:v>16:00</c:v>
                  </c:pt>
                  <c:pt idx="184">
                    <c:v>17:00</c:v>
                  </c:pt>
                  <c:pt idx="185">
                    <c:v>18:00</c:v>
                  </c:pt>
                  <c:pt idx="186">
                    <c:v>19:00</c:v>
                  </c:pt>
                  <c:pt idx="187">
                    <c:v>20:00</c:v>
                  </c:pt>
                  <c:pt idx="188">
                    <c:v>21:00</c:v>
                  </c:pt>
                  <c:pt idx="189">
                    <c:v>22:00</c:v>
                  </c:pt>
                  <c:pt idx="190">
                    <c:v>23:00</c:v>
                  </c:pt>
                  <c:pt idx="191">
                    <c:v>0:00</c:v>
                  </c:pt>
                  <c:pt idx="192">
                    <c:v>1:00</c:v>
                  </c:pt>
                  <c:pt idx="193">
                    <c:v>2:00</c:v>
                  </c:pt>
                  <c:pt idx="194">
                    <c:v>3:00</c:v>
                  </c:pt>
                  <c:pt idx="195">
                    <c:v>4:00</c:v>
                  </c:pt>
                  <c:pt idx="196">
                    <c:v>5:00</c:v>
                  </c:pt>
                  <c:pt idx="197">
                    <c:v>6:00</c:v>
                  </c:pt>
                  <c:pt idx="198">
                    <c:v>7:00</c:v>
                  </c:pt>
                  <c:pt idx="199">
                    <c:v>8:00</c:v>
                  </c:pt>
                  <c:pt idx="200">
                    <c:v>9:00</c:v>
                  </c:pt>
                  <c:pt idx="201">
                    <c:v>10:00</c:v>
                  </c:pt>
                  <c:pt idx="202">
                    <c:v>11:00</c:v>
                  </c:pt>
                  <c:pt idx="203">
                    <c:v>12:00</c:v>
                  </c:pt>
                  <c:pt idx="204">
                    <c:v>13:00</c:v>
                  </c:pt>
                  <c:pt idx="205">
                    <c:v>14:00</c:v>
                  </c:pt>
                  <c:pt idx="206">
                    <c:v>15:00</c:v>
                  </c:pt>
                  <c:pt idx="207">
                    <c:v>16:00</c:v>
                  </c:pt>
                  <c:pt idx="208">
                    <c:v>17:00</c:v>
                  </c:pt>
                  <c:pt idx="209">
                    <c:v>18:00</c:v>
                  </c:pt>
                  <c:pt idx="210">
                    <c:v>19:00</c:v>
                  </c:pt>
                  <c:pt idx="211">
                    <c:v>20:00</c:v>
                  </c:pt>
                  <c:pt idx="212">
                    <c:v>21:00</c:v>
                  </c:pt>
                  <c:pt idx="213">
                    <c:v>22:00</c:v>
                  </c:pt>
                  <c:pt idx="214">
                    <c:v>23:00</c:v>
                  </c:pt>
                  <c:pt idx="215">
                    <c:v>0:00</c:v>
                  </c:pt>
                  <c:pt idx="216">
                    <c:v>1:00</c:v>
                  </c:pt>
                  <c:pt idx="217">
                    <c:v>2:00</c:v>
                  </c:pt>
                  <c:pt idx="218">
                    <c:v>3:00</c:v>
                  </c:pt>
                  <c:pt idx="219">
                    <c:v>4:00</c:v>
                  </c:pt>
                  <c:pt idx="220">
                    <c:v>5:00</c:v>
                  </c:pt>
                  <c:pt idx="221">
                    <c:v>6:00</c:v>
                  </c:pt>
                  <c:pt idx="222">
                    <c:v>7:00</c:v>
                  </c:pt>
                  <c:pt idx="223">
                    <c:v>8:00</c:v>
                  </c:pt>
                  <c:pt idx="224">
                    <c:v>9:00</c:v>
                  </c:pt>
                  <c:pt idx="225">
                    <c:v>10:00</c:v>
                  </c:pt>
                  <c:pt idx="226">
                    <c:v>11:00</c:v>
                  </c:pt>
                  <c:pt idx="227">
                    <c:v>12:00</c:v>
                  </c:pt>
                  <c:pt idx="228">
                    <c:v>13:00</c:v>
                  </c:pt>
                  <c:pt idx="229">
                    <c:v>14:00</c:v>
                  </c:pt>
                  <c:pt idx="230">
                    <c:v>15:00</c:v>
                  </c:pt>
                  <c:pt idx="231">
                    <c:v>16:00</c:v>
                  </c:pt>
                  <c:pt idx="232">
                    <c:v>17:00</c:v>
                  </c:pt>
                  <c:pt idx="233">
                    <c:v>18:00</c:v>
                  </c:pt>
                  <c:pt idx="234">
                    <c:v>19:00</c:v>
                  </c:pt>
                  <c:pt idx="235">
                    <c:v>20:00</c:v>
                  </c:pt>
                  <c:pt idx="236">
                    <c:v>21:00</c:v>
                  </c:pt>
                  <c:pt idx="237">
                    <c:v>22:00</c:v>
                  </c:pt>
                  <c:pt idx="238">
                    <c:v>23:00</c:v>
                  </c:pt>
                  <c:pt idx="239">
                    <c:v>0:00</c:v>
                  </c:pt>
                  <c:pt idx="240">
                    <c:v>1:00</c:v>
                  </c:pt>
                  <c:pt idx="241">
                    <c:v>2:00</c:v>
                  </c:pt>
                  <c:pt idx="242">
                    <c:v>3:00</c:v>
                  </c:pt>
                  <c:pt idx="243">
                    <c:v>4:00</c:v>
                  </c:pt>
                  <c:pt idx="244">
                    <c:v>5:00</c:v>
                  </c:pt>
                  <c:pt idx="245">
                    <c:v>6:00</c:v>
                  </c:pt>
                  <c:pt idx="246">
                    <c:v>7:00</c:v>
                  </c:pt>
                  <c:pt idx="247">
                    <c:v>8:00</c:v>
                  </c:pt>
                  <c:pt idx="248">
                    <c:v>9:00</c:v>
                  </c:pt>
                  <c:pt idx="249">
                    <c:v>10:00</c:v>
                  </c:pt>
                  <c:pt idx="250">
                    <c:v>11:00</c:v>
                  </c:pt>
                  <c:pt idx="251">
                    <c:v>12:00</c:v>
                  </c:pt>
                  <c:pt idx="252">
                    <c:v>13:00</c:v>
                  </c:pt>
                  <c:pt idx="253">
                    <c:v>14:00</c:v>
                  </c:pt>
                  <c:pt idx="254">
                    <c:v>15:00</c:v>
                  </c:pt>
                  <c:pt idx="255">
                    <c:v>16:00</c:v>
                  </c:pt>
                  <c:pt idx="256">
                    <c:v>17:00</c:v>
                  </c:pt>
                  <c:pt idx="257">
                    <c:v>18:00</c:v>
                  </c:pt>
                  <c:pt idx="258">
                    <c:v>19:00</c:v>
                  </c:pt>
                  <c:pt idx="259">
                    <c:v>20:00</c:v>
                  </c:pt>
                  <c:pt idx="260">
                    <c:v>21:00</c:v>
                  </c:pt>
                  <c:pt idx="261">
                    <c:v>22:00</c:v>
                  </c:pt>
                  <c:pt idx="262">
                    <c:v>23:00</c:v>
                  </c:pt>
                  <c:pt idx="263">
                    <c:v>0:00</c:v>
                  </c:pt>
                  <c:pt idx="264">
                    <c:v>1:00</c:v>
                  </c:pt>
                  <c:pt idx="265">
                    <c:v>2:00</c:v>
                  </c:pt>
                  <c:pt idx="266">
                    <c:v>3:00</c:v>
                  </c:pt>
                  <c:pt idx="267">
                    <c:v>4:00</c:v>
                  </c:pt>
                  <c:pt idx="268">
                    <c:v>5:00</c:v>
                  </c:pt>
                  <c:pt idx="269">
                    <c:v>6:00</c:v>
                  </c:pt>
                  <c:pt idx="270">
                    <c:v>7:00</c:v>
                  </c:pt>
                  <c:pt idx="271">
                    <c:v>8:00</c:v>
                  </c:pt>
                  <c:pt idx="272">
                    <c:v>9:00</c:v>
                  </c:pt>
                  <c:pt idx="273">
                    <c:v>10:00</c:v>
                  </c:pt>
                  <c:pt idx="274">
                    <c:v>11:00</c:v>
                  </c:pt>
                  <c:pt idx="275">
                    <c:v>12:00</c:v>
                  </c:pt>
                  <c:pt idx="276">
                    <c:v>13:00</c:v>
                  </c:pt>
                  <c:pt idx="277">
                    <c:v>14:00</c:v>
                  </c:pt>
                  <c:pt idx="278">
                    <c:v>15:00</c:v>
                  </c:pt>
                  <c:pt idx="279">
                    <c:v>16:00</c:v>
                  </c:pt>
                  <c:pt idx="280">
                    <c:v>17:00</c:v>
                  </c:pt>
                  <c:pt idx="281">
                    <c:v>18:00</c:v>
                  </c:pt>
                  <c:pt idx="282">
                    <c:v>19:00</c:v>
                  </c:pt>
                  <c:pt idx="283">
                    <c:v>20:00</c:v>
                  </c:pt>
                  <c:pt idx="284">
                    <c:v>21:00</c:v>
                  </c:pt>
                  <c:pt idx="285">
                    <c:v>22:00</c:v>
                  </c:pt>
                  <c:pt idx="286">
                    <c:v>23:00</c:v>
                  </c:pt>
                  <c:pt idx="287">
                    <c:v>0:00</c:v>
                  </c:pt>
                  <c:pt idx="288">
                    <c:v>1:00</c:v>
                  </c:pt>
                  <c:pt idx="289">
                    <c:v>2:00</c:v>
                  </c:pt>
                  <c:pt idx="290">
                    <c:v>3:00</c:v>
                  </c:pt>
                  <c:pt idx="291">
                    <c:v>4:00</c:v>
                  </c:pt>
                  <c:pt idx="292">
                    <c:v>5:00</c:v>
                  </c:pt>
                  <c:pt idx="293">
                    <c:v>6:00</c:v>
                  </c:pt>
                  <c:pt idx="294">
                    <c:v>7:00</c:v>
                  </c:pt>
                  <c:pt idx="295">
                    <c:v>8:00</c:v>
                  </c:pt>
                  <c:pt idx="296">
                    <c:v>9:00</c:v>
                  </c:pt>
                  <c:pt idx="297">
                    <c:v>10:00</c:v>
                  </c:pt>
                  <c:pt idx="298">
                    <c:v>11:00</c:v>
                  </c:pt>
                  <c:pt idx="299">
                    <c:v>12:00</c:v>
                  </c:pt>
                  <c:pt idx="300">
                    <c:v>13:00</c:v>
                  </c:pt>
                  <c:pt idx="301">
                    <c:v>14:00</c:v>
                  </c:pt>
                  <c:pt idx="302">
                    <c:v>15:00</c:v>
                  </c:pt>
                  <c:pt idx="303">
                    <c:v>16:00</c:v>
                  </c:pt>
                  <c:pt idx="304">
                    <c:v>17:00</c:v>
                  </c:pt>
                  <c:pt idx="305">
                    <c:v>18:00</c:v>
                  </c:pt>
                  <c:pt idx="306">
                    <c:v>19:00</c:v>
                  </c:pt>
                  <c:pt idx="307">
                    <c:v>20:00</c:v>
                  </c:pt>
                  <c:pt idx="308">
                    <c:v>21:00</c:v>
                  </c:pt>
                  <c:pt idx="309">
                    <c:v>22:00</c:v>
                  </c:pt>
                  <c:pt idx="310">
                    <c:v>23:00</c:v>
                  </c:pt>
                  <c:pt idx="311">
                    <c:v>0:00</c:v>
                  </c:pt>
                  <c:pt idx="312">
                    <c:v>1:00</c:v>
                  </c:pt>
                  <c:pt idx="313">
                    <c:v>2:00</c:v>
                  </c:pt>
                  <c:pt idx="314">
                    <c:v>3:00</c:v>
                  </c:pt>
                  <c:pt idx="315">
                    <c:v>4:00</c:v>
                  </c:pt>
                  <c:pt idx="316">
                    <c:v>5:00</c:v>
                  </c:pt>
                  <c:pt idx="317">
                    <c:v>6:00</c:v>
                  </c:pt>
                  <c:pt idx="318">
                    <c:v>7:00</c:v>
                  </c:pt>
                  <c:pt idx="319">
                    <c:v>8:00</c:v>
                  </c:pt>
                  <c:pt idx="320">
                    <c:v>9:00</c:v>
                  </c:pt>
                  <c:pt idx="321">
                    <c:v>10:00</c:v>
                  </c:pt>
                  <c:pt idx="322">
                    <c:v>11:00</c:v>
                  </c:pt>
                  <c:pt idx="323">
                    <c:v>12:00</c:v>
                  </c:pt>
                  <c:pt idx="324">
                    <c:v>13:00</c:v>
                  </c:pt>
                  <c:pt idx="325">
                    <c:v>14:00</c:v>
                  </c:pt>
                  <c:pt idx="326">
                    <c:v>15:00</c:v>
                  </c:pt>
                  <c:pt idx="327">
                    <c:v>16:00</c:v>
                  </c:pt>
                  <c:pt idx="328">
                    <c:v>17:00</c:v>
                  </c:pt>
                  <c:pt idx="329">
                    <c:v>18:00</c:v>
                  </c:pt>
                  <c:pt idx="330">
                    <c:v>19:00</c:v>
                  </c:pt>
                  <c:pt idx="331">
                    <c:v>20:00</c:v>
                  </c:pt>
                  <c:pt idx="332">
                    <c:v>21:00</c:v>
                  </c:pt>
                  <c:pt idx="333">
                    <c:v>22:00</c:v>
                  </c:pt>
                  <c:pt idx="334">
                    <c:v>23:00</c:v>
                  </c:pt>
                  <c:pt idx="335">
                    <c:v>0:00</c:v>
                  </c:pt>
                  <c:pt idx="336">
                    <c:v>1:00</c:v>
                  </c:pt>
                  <c:pt idx="337">
                    <c:v>2:00</c:v>
                  </c:pt>
                  <c:pt idx="338">
                    <c:v>3:00</c:v>
                  </c:pt>
                  <c:pt idx="339">
                    <c:v>4:00</c:v>
                  </c:pt>
                  <c:pt idx="340">
                    <c:v>5:00</c:v>
                  </c:pt>
                  <c:pt idx="341">
                    <c:v>6:00</c:v>
                  </c:pt>
                  <c:pt idx="342">
                    <c:v>7:00</c:v>
                  </c:pt>
                  <c:pt idx="343">
                    <c:v>8:00</c:v>
                  </c:pt>
                  <c:pt idx="344">
                    <c:v>9:00</c:v>
                  </c:pt>
                  <c:pt idx="345">
                    <c:v>10:00</c:v>
                  </c:pt>
                  <c:pt idx="346">
                    <c:v>11:00</c:v>
                  </c:pt>
                  <c:pt idx="347">
                    <c:v>12:00</c:v>
                  </c:pt>
                  <c:pt idx="348">
                    <c:v>13:00</c:v>
                  </c:pt>
                  <c:pt idx="349">
                    <c:v>14:00</c:v>
                  </c:pt>
                  <c:pt idx="350">
                    <c:v>15:00</c:v>
                  </c:pt>
                  <c:pt idx="351">
                    <c:v>16:00</c:v>
                  </c:pt>
                  <c:pt idx="352">
                    <c:v>17:00</c:v>
                  </c:pt>
                  <c:pt idx="353">
                    <c:v>18:00</c:v>
                  </c:pt>
                  <c:pt idx="354">
                    <c:v>19:00</c:v>
                  </c:pt>
                  <c:pt idx="355">
                    <c:v>20:00</c:v>
                  </c:pt>
                  <c:pt idx="356">
                    <c:v>21:00</c:v>
                  </c:pt>
                  <c:pt idx="357">
                    <c:v>22:00</c:v>
                  </c:pt>
                  <c:pt idx="358">
                    <c:v>23:00</c:v>
                  </c:pt>
                  <c:pt idx="359">
                    <c:v>0:00</c:v>
                  </c:pt>
                  <c:pt idx="360">
                    <c:v>1:00</c:v>
                  </c:pt>
                  <c:pt idx="361">
                    <c:v>2:00</c:v>
                  </c:pt>
                  <c:pt idx="362">
                    <c:v>3:00</c:v>
                  </c:pt>
                  <c:pt idx="363">
                    <c:v>4:00</c:v>
                  </c:pt>
                  <c:pt idx="364">
                    <c:v>5:00</c:v>
                  </c:pt>
                  <c:pt idx="365">
                    <c:v>6:00</c:v>
                  </c:pt>
                  <c:pt idx="366">
                    <c:v>7:00</c:v>
                  </c:pt>
                  <c:pt idx="367">
                    <c:v>8:00</c:v>
                  </c:pt>
                  <c:pt idx="368">
                    <c:v>9:00</c:v>
                  </c:pt>
                  <c:pt idx="369">
                    <c:v>10:00</c:v>
                  </c:pt>
                  <c:pt idx="370">
                    <c:v>11:00</c:v>
                  </c:pt>
                  <c:pt idx="371">
                    <c:v>12:00</c:v>
                  </c:pt>
                  <c:pt idx="372">
                    <c:v>13:00</c:v>
                  </c:pt>
                  <c:pt idx="373">
                    <c:v>14:00</c:v>
                  </c:pt>
                  <c:pt idx="374">
                    <c:v>15:00</c:v>
                  </c:pt>
                  <c:pt idx="375">
                    <c:v>16:00</c:v>
                  </c:pt>
                  <c:pt idx="376">
                    <c:v>17:00</c:v>
                  </c:pt>
                  <c:pt idx="377">
                    <c:v>18:00</c:v>
                  </c:pt>
                  <c:pt idx="378">
                    <c:v>19:00</c:v>
                  </c:pt>
                  <c:pt idx="379">
                    <c:v>20:00</c:v>
                  </c:pt>
                  <c:pt idx="380">
                    <c:v>21:00</c:v>
                  </c:pt>
                  <c:pt idx="381">
                    <c:v>22:00</c:v>
                  </c:pt>
                  <c:pt idx="382">
                    <c:v>23:00</c:v>
                  </c:pt>
                  <c:pt idx="383">
                    <c:v>0:00</c:v>
                  </c:pt>
                  <c:pt idx="384">
                    <c:v>1:00</c:v>
                  </c:pt>
                  <c:pt idx="385">
                    <c:v>2:00</c:v>
                  </c:pt>
                  <c:pt idx="386">
                    <c:v>3:00</c:v>
                  </c:pt>
                  <c:pt idx="387">
                    <c:v>4:00</c:v>
                  </c:pt>
                  <c:pt idx="388">
                    <c:v>5:00</c:v>
                  </c:pt>
                  <c:pt idx="389">
                    <c:v>6:00</c:v>
                  </c:pt>
                  <c:pt idx="390">
                    <c:v>7:00</c:v>
                  </c:pt>
                  <c:pt idx="391">
                    <c:v>8:00</c:v>
                  </c:pt>
                  <c:pt idx="392">
                    <c:v>9:00</c:v>
                  </c:pt>
                  <c:pt idx="393">
                    <c:v>10:00</c:v>
                  </c:pt>
                  <c:pt idx="394">
                    <c:v>11:00</c:v>
                  </c:pt>
                  <c:pt idx="395">
                    <c:v>12:00</c:v>
                  </c:pt>
                  <c:pt idx="396">
                    <c:v>13:00</c:v>
                  </c:pt>
                  <c:pt idx="397">
                    <c:v>14:00</c:v>
                  </c:pt>
                  <c:pt idx="398">
                    <c:v>15:00</c:v>
                  </c:pt>
                  <c:pt idx="399">
                    <c:v>16:00</c:v>
                  </c:pt>
                  <c:pt idx="400">
                    <c:v>17:00</c:v>
                  </c:pt>
                  <c:pt idx="401">
                    <c:v>18:00</c:v>
                  </c:pt>
                  <c:pt idx="402">
                    <c:v>19:00</c:v>
                  </c:pt>
                  <c:pt idx="403">
                    <c:v>20:00</c:v>
                  </c:pt>
                  <c:pt idx="404">
                    <c:v>21:00</c:v>
                  </c:pt>
                  <c:pt idx="405">
                    <c:v>22:00</c:v>
                  </c:pt>
                  <c:pt idx="406">
                    <c:v>23:00</c:v>
                  </c:pt>
                  <c:pt idx="407">
                    <c:v>0:00</c:v>
                  </c:pt>
                  <c:pt idx="408">
                    <c:v>1:00</c:v>
                  </c:pt>
                  <c:pt idx="409">
                    <c:v>2:00</c:v>
                  </c:pt>
                  <c:pt idx="410">
                    <c:v>3:00</c:v>
                  </c:pt>
                  <c:pt idx="411">
                    <c:v>4:00</c:v>
                  </c:pt>
                  <c:pt idx="412">
                    <c:v>5:00</c:v>
                  </c:pt>
                  <c:pt idx="413">
                    <c:v>6:00</c:v>
                  </c:pt>
                  <c:pt idx="414">
                    <c:v>7:00</c:v>
                  </c:pt>
                  <c:pt idx="415">
                    <c:v>8:00</c:v>
                  </c:pt>
                  <c:pt idx="416">
                    <c:v>9:00</c:v>
                  </c:pt>
                  <c:pt idx="417">
                    <c:v>10:00</c:v>
                  </c:pt>
                  <c:pt idx="418">
                    <c:v>11:00</c:v>
                  </c:pt>
                  <c:pt idx="419">
                    <c:v>12:00</c:v>
                  </c:pt>
                  <c:pt idx="420">
                    <c:v>13:00</c:v>
                  </c:pt>
                  <c:pt idx="421">
                    <c:v>14:00</c:v>
                  </c:pt>
                  <c:pt idx="422">
                    <c:v>15:00</c:v>
                  </c:pt>
                  <c:pt idx="423">
                    <c:v>16:00</c:v>
                  </c:pt>
                  <c:pt idx="424">
                    <c:v>17:00</c:v>
                  </c:pt>
                  <c:pt idx="425">
                    <c:v>18:00</c:v>
                  </c:pt>
                  <c:pt idx="426">
                    <c:v>19:00</c:v>
                  </c:pt>
                  <c:pt idx="427">
                    <c:v>20:00</c:v>
                  </c:pt>
                  <c:pt idx="428">
                    <c:v>21:00</c:v>
                  </c:pt>
                  <c:pt idx="429">
                    <c:v>22:00</c:v>
                  </c:pt>
                  <c:pt idx="430">
                    <c:v>23:00</c:v>
                  </c:pt>
                  <c:pt idx="431">
                    <c:v>0:00</c:v>
                  </c:pt>
                  <c:pt idx="432">
                    <c:v>1:00</c:v>
                  </c:pt>
                  <c:pt idx="433">
                    <c:v>2:00</c:v>
                  </c:pt>
                  <c:pt idx="434">
                    <c:v>3:00</c:v>
                  </c:pt>
                  <c:pt idx="435">
                    <c:v>4:00</c:v>
                  </c:pt>
                  <c:pt idx="436">
                    <c:v>5:00</c:v>
                  </c:pt>
                  <c:pt idx="437">
                    <c:v>6:00</c:v>
                  </c:pt>
                  <c:pt idx="438">
                    <c:v>7:00</c:v>
                  </c:pt>
                  <c:pt idx="439">
                    <c:v>8:00</c:v>
                  </c:pt>
                  <c:pt idx="440">
                    <c:v>9:00</c:v>
                  </c:pt>
                  <c:pt idx="441">
                    <c:v>10:00</c:v>
                  </c:pt>
                  <c:pt idx="442">
                    <c:v>11:00</c:v>
                  </c:pt>
                  <c:pt idx="443">
                    <c:v>12:00</c:v>
                  </c:pt>
                  <c:pt idx="444">
                    <c:v>13:00</c:v>
                  </c:pt>
                  <c:pt idx="445">
                    <c:v>14:00</c:v>
                  </c:pt>
                  <c:pt idx="446">
                    <c:v>15:00</c:v>
                  </c:pt>
                  <c:pt idx="447">
                    <c:v>16:00</c:v>
                  </c:pt>
                  <c:pt idx="448">
                    <c:v>17:00</c:v>
                  </c:pt>
                  <c:pt idx="449">
                    <c:v>18:00</c:v>
                  </c:pt>
                  <c:pt idx="450">
                    <c:v>19:00</c:v>
                  </c:pt>
                  <c:pt idx="451">
                    <c:v>20:00</c:v>
                  </c:pt>
                  <c:pt idx="452">
                    <c:v>21:00</c:v>
                  </c:pt>
                  <c:pt idx="453">
                    <c:v>22:00</c:v>
                  </c:pt>
                  <c:pt idx="454">
                    <c:v>23:00</c:v>
                  </c:pt>
                  <c:pt idx="455">
                    <c:v>0:00</c:v>
                  </c:pt>
                  <c:pt idx="456">
                    <c:v>1:00</c:v>
                  </c:pt>
                  <c:pt idx="457">
                    <c:v>2:00</c:v>
                  </c:pt>
                  <c:pt idx="458">
                    <c:v>3:00</c:v>
                  </c:pt>
                  <c:pt idx="459">
                    <c:v>4:00</c:v>
                  </c:pt>
                  <c:pt idx="460">
                    <c:v>5:00</c:v>
                  </c:pt>
                  <c:pt idx="461">
                    <c:v>6:00</c:v>
                  </c:pt>
                  <c:pt idx="462">
                    <c:v>7:00</c:v>
                  </c:pt>
                  <c:pt idx="463">
                    <c:v>8:00</c:v>
                  </c:pt>
                  <c:pt idx="464">
                    <c:v>9:00</c:v>
                  </c:pt>
                  <c:pt idx="465">
                    <c:v>10:00</c:v>
                  </c:pt>
                  <c:pt idx="466">
                    <c:v>11:00</c:v>
                  </c:pt>
                  <c:pt idx="467">
                    <c:v>12:00</c:v>
                  </c:pt>
                  <c:pt idx="468">
                    <c:v>13:00</c:v>
                  </c:pt>
                  <c:pt idx="469">
                    <c:v>14:00</c:v>
                  </c:pt>
                  <c:pt idx="470">
                    <c:v>15:00</c:v>
                  </c:pt>
                  <c:pt idx="471">
                    <c:v>16:00</c:v>
                  </c:pt>
                  <c:pt idx="472">
                    <c:v>17:00</c:v>
                  </c:pt>
                  <c:pt idx="473">
                    <c:v>18:00</c:v>
                  </c:pt>
                  <c:pt idx="474">
                    <c:v>19:00</c:v>
                  </c:pt>
                  <c:pt idx="475">
                    <c:v>20:00</c:v>
                  </c:pt>
                  <c:pt idx="476">
                    <c:v>21:00</c:v>
                  </c:pt>
                  <c:pt idx="477">
                    <c:v>22:00</c:v>
                  </c:pt>
                  <c:pt idx="478">
                    <c:v>23:00</c:v>
                  </c:pt>
                  <c:pt idx="479">
                    <c:v>0:00</c:v>
                  </c:pt>
                  <c:pt idx="480">
                    <c:v>1:00</c:v>
                  </c:pt>
                  <c:pt idx="481">
                    <c:v>2:00</c:v>
                  </c:pt>
                  <c:pt idx="482">
                    <c:v>3:00</c:v>
                  </c:pt>
                  <c:pt idx="483">
                    <c:v>4:00</c:v>
                  </c:pt>
                  <c:pt idx="484">
                    <c:v>5:00</c:v>
                  </c:pt>
                  <c:pt idx="485">
                    <c:v>6:00</c:v>
                  </c:pt>
                  <c:pt idx="486">
                    <c:v>7:00</c:v>
                  </c:pt>
                  <c:pt idx="487">
                    <c:v>8:00</c:v>
                  </c:pt>
                  <c:pt idx="488">
                    <c:v>9:00</c:v>
                  </c:pt>
                  <c:pt idx="489">
                    <c:v>10:00</c:v>
                  </c:pt>
                  <c:pt idx="490">
                    <c:v>11:00</c:v>
                  </c:pt>
                  <c:pt idx="491">
                    <c:v>12:00</c:v>
                  </c:pt>
                  <c:pt idx="492">
                    <c:v>13:00</c:v>
                  </c:pt>
                  <c:pt idx="493">
                    <c:v>14:00</c:v>
                  </c:pt>
                  <c:pt idx="494">
                    <c:v>15:00</c:v>
                  </c:pt>
                  <c:pt idx="495">
                    <c:v>16:00</c:v>
                  </c:pt>
                  <c:pt idx="496">
                    <c:v>17:00</c:v>
                  </c:pt>
                  <c:pt idx="497">
                    <c:v>18:00</c:v>
                  </c:pt>
                  <c:pt idx="498">
                    <c:v>19:00</c:v>
                  </c:pt>
                  <c:pt idx="499">
                    <c:v>20:00</c:v>
                  </c:pt>
                  <c:pt idx="500">
                    <c:v>21:00</c:v>
                  </c:pt>
                  <c:pt idx="501">
                    <c:v>22:00</c:v>
                  </c:pt>
                  <c:pt idx="502">
                    <c:v>23:00</c:v>
                  </c:pt>
                  <c:pt idx="503">
                    <c:v>0:00</c:v>
                  </c:pt>
                  <c:pt idx="504">
                    <c:v>1:00</c:v>
                  </c:pt>
                  <c:pt idx="505">
                    <c:v>2:00</c:v>
                  </c:pt>
                  <c:pt idx="506">
                    <c:v>3:00</c:v>
                  </c:pt>
                  <c:pt idx="507">
                    <c:v>4:00</c:v>
                  </c:pt>
                  <c:pt idx="508">
                    <c:v>5:00</c:v>
                  </c:pt>
                  <c:pt idx="509">
                    <c:v>6:00</c:v>
                  </c:pt>
                  <c:pt idx="510">
                    <c:v>7:00</c:v>
                  </c:pt>
                  <c:pt idx="511">
                    <c:v>8:00</c:v>
                  </c:pt>
                  <c:pt idx="512">
                    <c:v>9:00</c:v>
                  </c:pt>
                  <c:pt idx="513">
                    <c:v>10:00</c:v>
                  </c:pt>
                  <c:pt idx="514">
                    <c:v>11:00</c:v>
                  </c:pt>
                  <c:pt idx="515">
                    <c:v>12:00</c:v>
                  </c:pt>
                  <c:pt idx="516">
                    <c:v>13:00</c:v>
                  </c:pt>
                  <c:pt idx="517">
                    <c:v>14:00</c:v>
                  </c:pt>
                  <c:pt idx="518">
                    <c:v>15:00</c:v>
                  </c:pt>
                  <c:pt idx="519">
                    <c:v>16:00</c:v>
                  </c:pt>
                  <c:pt idx="520">
                    <c:v>17:00</c:v>
                  </c:pt>
                  <c:pt idx="521">
                    <c:v>18:00</c:v>
                  </c:pt>
                  <c:pt idx="522">
                    <c:v>19:00</c:v>
                  </c:pt>
                  <c:pt idx="523">
                    <c:v>20:00</c:v>
                  </c:pt>
                  <c:pt idx="524">
                    <c:v>21:00</c:v>
                  </c:pt>
                  <c:pt idx="525">
                    <c:v>22:00</c:v>
                  </c:pt>
                  <c:pt idx="526">
                    <c:v>23:00</c:v>
                  </c:pt>
                  <c:pt idx="527">
                    <c:v>0:00</c:v>
                  </c:pt>
                  <c:pt idx="528">
                    <c:v>1:00</c:v>
                  </c:pt>
                  <c:pt idx="529">
                    <c:v>2:00</c:v>
                  </c:pt>
                  <c:pt idx="530">
                    <c:v>3:00</c:v>
                  </c:pt>
                  <c:pt idx="531">
                    <c:v>4:00</c:v>
                  </c:pt>
                  <c:pt idx="532">
                    <c:v>5:00</c:v>
                  </c:pt>
                  <c:pt idx="533">
                    <c:v>6:00</c:v>
                  </c:pt>
                  <c:pt idx="534">
                    <c:v>7:00</c:v>
                  </c:pt>
                  <c:pt idx="535">
                    <c:v>8:00</c:v>
                  </c:pt>
                  <c:pt idx="536">
                    <c:v>9:00</c:v>
                  </c:pt>
                  <c:pt idx="537">
                    <c:v>10:00</c:v>
                  </c:pt>
                  <c:pt idx="538">
                    <c:v>11:00</c:v>
                  </c:pt>
                  <c:pt idx="539">
                    <c:v>12:00</c:v>
                  </c:pt>
                  <c:pt idx="540">
                    <c:v>13:00</c:v>
                  </c:pt>
                  <c:pt idx="541">
                    <c:v>14:00</c:v>
                  </c:pt>
                  <c:pt idx="542">
                    <c:v>15:00</c:v>
                  </c:pt>
                  <c:pt idx="543">
                    <c:v>16:00</c:v>
                  </c:pt>
                  <c:pt idx="544">
                    <c:v>17:00</c:v>
                  </c:pt>
                  <c:pt idx="545">
                    <c:v>18:00</c:v>
                  </c:pt>
                  <c:pt idx="546">
                    <c:v>19:00</c:v>
                  </c:pt>
                  <c:pt idx="547">
                    <c:v>20:00</c:v>
                  </c:pt>
                  <c:pt idx="548">
                    <c:v>21:00</c:v>
                  </c:pt>
                  <c:pt idx="549">
                    <c:v>22:00</c:v>
                  </c:pt>
                  <c:pt idx="550">
                    <c:v>23:00</c:v>
                  </c:pt>
                  <c:pt idx="551">
                    <c:v>0:00</c:v>
                  </c:pt>
                  <c:pt idx="552">
                    <c:v>1:00</c:v>
                  </c:pt>
                  <c:pt idx="553">
                    <c:v>2:00</c:v>
                  </c:pt>
                  <c:pt idx="554">
                    <c:v>3:00</c:v>
                  </c:pt>
                  <c:pt idx="555">
                    <c:v>4:00</c:v>
                  </c:pt>
                  <c:pt idx="556">
                    <c:v>5:00</c:v>
                  </c:pt>
                  <c:pt idx="557">
                    <c:v>6:00</c:v>
                  </c:pt>
                  <c:pt idx="558">
                    <c:v>7:00</c:v>
                  </c:pt>
                  <c:pt idx="559">
                    <c:v>8:00</c:v>
                  </c:pt>
                  <c:pt idx="560">
                    <c:v>9:00</c:v>
                  </c:pt>
                  <c:pt idx="561">
                    <c:v>10:00</c:v>
                  </c:pt>
                  <c:pt idx="562">
                    <c:v>11:00</c:v>
                  </c:pt>
                  <c:pt idx="563">
                    <c:v>12:00</c:v>
                  </c:pt>
                  <c:pt idx="564">
                    <c:v>13:00</c:v>
                  </c:pt>
                  <c:pt idx="565">
                    <c:v>14:00</c:v>
                  </c:pt>
                  <c:pt idx="566">
                    <c:v>15:00</c:v>
                  </c:pt>
                  <c:pt idx="567">
                    <c:v>16:00</c:v>
                  </c:pt>
                  <c:pt idx="568">
                    <c:v>17:00</c:v>
                  </c:pt>
                  <c:pt idx="569">
                    <c:v>18:00</c:v>
                  </c:pt>
                  <c:pt idx="570">
                    <c:v>19:00</c:v>
                  </c:pt>
                  <c:pt idx="571">
                    <c:v>20:00</c:v>
                  </c:pt>
                  <c:pt idx="572">
                    <c:v>21:00</c:v>
                  </c:pt>
                  <c:pt idx="573">
                    <c:v>22:00</c:v>
                  </c:pt>
                  <c:pt idx="574">
                    <c:v>23:00</c:v>
                  </c:pt>
                  <c:pt idx="575">
                    <c:v>0:00</c:v>
                  </c:pt>
                  <c:pt idx="576">
                    <c:v>1:00</c:v>
                  </c:pt>
                  <c:pt idx="577">
                    <c:v>2:00</c:v>
                  </c:pt>
                  <c:pt idx="578">
                    <c:v>3:00</c:v>
                  </c:pt>
                  <c:pt idx="579">
                    <c:v>4:00</c:v>
                  </c:pt>
                  <c:pt idx="580">
                    <c:v>5:00</c:v>
                  </c:pt>
                  <c:pt idx="581">
                    <c:v>6:00</c:v>
                  </c:pt>
                  <c:pt idx="582">
                    <c:v>7:00</c:v>
                  </c:pt>
                  <c:pt idx="583">
                    <c:v>8:00</c:v>
                  </c:pt>
                  <c:pt idx="584">
                    <c:v>9:00</c:v>
                  </c:pt>
                  <c:pt idx="585">
                    <c:v>10:00</c:v>
                  </c:pt>
                  <c:pt idx="586">
                    <c:v>11:00</c:v>
                  </c:pt>
                  <c:pt idx="587">
                    <c:v>12:00</c:v>
                  </c:pt>
                  <c:pt idx="588">
                    <c:v>13:00</c:v>
                  </c:pt>
                  <c:pt idx="589">
                    <c:v>14:00</c:v>
                  </c:pt>
                  <c:pt idx="590">
                    <c:v>15:00</c:v>
                  </c:pt>
                  <c:pt idx="591">
                    <c:v>16:00</c:v>
                  </c:pt>
                  <c:pt idx="592">
                    <c:v>17:00</c:v>
                  </c:pt>
                  <c:pt idx="593">
                    <c:v>18:00</c:v>
                  </c:pt>
                  <c:pt idx="594">
                    <c:v>19:00</c:v>
                  </c:pt>
                  <c:pt idx="595">
                    <c:v>20:00</c:v>
                  </c:pt>
                  <c:pt idx="596">
                    <c:v>21:00</c:v>
                  </c:pt>
                  <c:pt idx="597">
                    <c:v>22:00</c:v>
                  </c:pt>
                  <c:pt idx="598">
                    <c:v>23:00</c:v>
                  </c:pt>
                  <c:pt idx="599">
                    <c:v>0:00</c:v>
                  </c:pt>
                  <c:pt idx="600">
                    <c:v>1:00</c:v>
                  </c:pt>
                  <c:pt idx="601">
                    <c:v>2:00</c:v>
                  </c:pt>
                  <c:pt idx="602">
                    <c:v>3:00</c:v>
                  </c:pt>
                  <c:pt idx="603">
                    <c:v>4:00</c:v>
                  </c:pt>
                  <c:pt idx="604">
                    <c:v>5:00</c:v>
                  </c:pt>
                  <c:pt idx="605">
                    <c:v>6:00</c:v>
                  </c:pt>
                  <c:pt idx="606">
                    <c:v>7:00</c:v>
                  </c:pt>
                  <c:pt idx="607">
                    <c:v>8:00</c:v>
                  </c:pt>
                  <c:pt idx="608">
                    <c:v>9:00</c:v>
                  </c:pt>
                  <c:pt idx="609">
                    <c:v>10:00</c:v>
                  </c:pt>
                  <c:pt idx="610">
                    <c:v>11:00</c:v>
                  </c:pt>
                  <c:pt idx="611">
                    <c:v>12:00</c:v>
                  </c:pt>
                  <c:pt idx="612">
                    <c:v>13:00</c:v>
                  </c:pt>
                  <c:pt idx="613">
                    <c:v>14:00</c:v>
                  </c:pt>
                  <c:pt idx="614">
                    <c:v>15:00</c:v>
                  </c:pt>
                  <c:pt idx="615">
                    <c:v>16:00</c:v>
                  </c:pt>
                  <c:pt idx="616">
                    <c:v>17:00</c:v>
                  </c:pt>
                  <c:pt idx="617">
                    <c:v>18:00</c:v>
                  </c:pt>
                  <c:pt idx="618">
                    <c:v>19:00</c:v>
                  </c:pt>
                  <c:pt idx="619">
                    <c:v>20:00</c:v>
                  </c:pt>
                  <c:pt idx="620">
                    <c:v>21:00</c:v>
                  </c:pt>
                  <c:pt idx="621">
                    <c:v>22:00</c:v>
                  </c:pt>
                  <c:pt idx="622">
                    <c:v>23:00</c:v>
                  </c:pt>
                  <c:pt idx="623">
                    <c:v>0:00</c:v>
                  </c:pt>
                  <c:pt idx="624">
                    <c:v>1:00</c:v>
                  </c:pt>
                  <c:pt idx="625">
                    <c:v>2:00</c:v>
                  </c:pt>
                  <c:pt idx="626">
                    <c:v>3:00</c:v>
                  </c:pt>
                  <c:pt idx="627">
                    <c:v>4:00</c:v>
                  </c:pt>
                  <c:pt idx="628">
                    <c:v>5:00</c:v>
                  </c:pt>
                  <c:pt idx="629">
                    <c:v>6:00</c:v>
                  </c:pt>
                  <c:pt idx="630">
                    <c:v>7:00</c:v>
                  </c:pt>
                  <c:pt idx="631">
                    <c:v>8:00</c:v>
                  </c:pt>
                  <c:pt idx="632">
                    <c:v>9:00</c:v>
                  </c:pt>
                  <c:pt idx="633">
                    <c:v>10:00</c:v>
                  </c:pt>
                  <c:pt idx="634">
                    <c:v>11:00</c:v>
                  </c:pt>
                  <c:pt idx="635">
                    <c:v>12:00</c:v>
                  </c:pt>
                  <c:pt idx="636">
                    <c:v>13:00</c:v>
                  </c:pt>
                  <c:pt idx="637">
                    <c:v>14:00</c:v>
                  </c:pt>
                  <c:pt idx="638">
                    <c:v>15:00</c:v>
                  </c:pt>
                  <c:pt idx="639">
                    <c:v>16:00</c:v>
                  </c:pt>
                  <c:pt idx="640">
                    <c:v>17:00</c:v>
                  </c:pt>
                  <c:pt idx="641">
                    <c:v>18:00</c:v>
                  </c:pt>
                  <c:pt idx="642">
                    <c:v>19:00</c:v>
                  </c:pt>
                  <c:pt idx="643">
                    <c:v>20:00</c:v>
                  </c:pt>
                  <c:pt idx="644">
                    <c:v>21:00</c:v>
                  </c:pt>
                  <c:pt idx="645">
                    <c:v>22:00</c:v>
                  </c:pt>
                  <c:pt idx="646">
                    <c:v>23:00</c:v>
                  </c:pt>
                  <c:pt idx="647">
                    <c:v>0:00</c:v>
                  </c:pt>
                  <c:pt idx="648">
                    <c:v>1:00</c:v>
                  </c:pt>
                  <c:pt idx="649">
                    <c:v>2:00</c:v>
                  </c:pt>
                  <c:pt idx="650">
                    <c:v>3:00</c:v>
                  </c:pt>
                  <c:pt idx="651">
                    <c:v>4:00</c:v>
                  </c:pt>
                  <c:pt idx="652">
                    <c:v>5:00</c:v>
                  </c:pt>
                  <c:pt idx="653">
                    <c:v>6:00</c:v>
                  </c:pt>
                  <c:pt idx="654">
                    <c:v>7:00</c:v>
                  </c:pt>
                  <c:pt idx="655">
                    <c:v>8:00</c:v>
                  </c:pt>
                  <c:pt idx="656">
                    <c:v>9:00</c:v>
                  </c:pt>
                  <c:pt idx="657">
                    <c:v>10:00</c:v>
                  </c:pt>
                  <c:pt idx="658">
                    <c:v>11:00</c:v>
                  </c:pt>
                  <c:pt idx="659">
                    <c:v>12:00</c:v>
                  </c:pt>
                  <c:pt idx="660">
                    <c:v>13:00</c:v>
                  </c:pt>
                  <c:pt idx="661">
                    <c:v>14:00</c:v>
                  </c:pt>
                  <c:pt idx="662">
                    <c:v>15:00</c:v>
                  </c:pt>
                  <c:pt idx="663">
                    <c:v>16:00</c:v>
                  </c:pt>
                  <c:pt idx="664">
                    <c:v>17:00</c:v>
                  </c:pt>
                  <c:pt idx="665">
                    <c:v>18:00</c:v>
                  </c:pt>
                  <c:pt idx="666">
                    <c:v>19:00</c:v>
                  </c:pt>
                  <c:pt idx="667">
                    <c:v>20:00</c:v>
                  </c:pt>
                  <c:pt idx="668">
                    <c:v>21:00</c:v>
                  </c:pt>
                  <c:pt idx="669">
                    <c:v>22:00</c:v>
                  </c:pt>
                  <c:pt idx="670">
                    <c:v>23:00</c:v>
                  </c:pt>
                  <c:pt idx="671">
                    <c:v>0:00</c:v>
                  </c:pt>
                  <c:pt idx="672">
                    <c:v>1:00</c:v>
                  </c:pt>
                  <c:pt idx="673">
                    <c:v>2:00</c:v>
                  </c:pt>
                  <c:pt idx="674">
                    <c:v>3:00</c:v>
                  </c:pt>
                  <c:pt idx="675">
                    <c:v>4:00</c:v>
                  </c:pt>
                  <c:pt idx="676">
                    <c:v>5:00</c:v>
                  </c:pt>
                  <c:pt idx="677">
                    <c:v>6:00</c:v>
                  </c:pt>
                  <c:pt idx="678">
                    <c:v>7:00</c:v>
                  </c:pt>
                  <c:pt idx="679">
                    <c:v>8:00</c:v>
                  </c:pt>
                  <c:pt idx="680">
                    <c:v>9:00</c:v>
                  </c:pt>
                  <c:pt idx="681">
                    <c:v>10:00</c:v>
                  </c:pt>
                  <c:pt idx="682">
                    <c:v>11:00</c:v>
                  </c:pt>
                  <c:pt idx="683">
                    <c:v>12:00</c:v>
                  </c:pt>
                  <c:pt idx="684">
                    <c:v>13:00</c:v>
                  </c:pt>
                  <c:pt idx="685">
                    <c:v>14:00</c:v>
                  </c:pt>
                  <c:pt idx="686">
                    <c:v>15:00</c:v>
                  </c:pt>
                  <c:pt idx="687">
                    <c:v>16:00</c:v>
                  </c:pt>
                  <c:pt idx="688">
                    <c:v>17:00</c:v>
                  </c:pt>
                  <c:pt idx="689">
                    <c:v>18:00</c:v>
                  </c:pt>
                  <c:pt idx="690">
                    <c:v>19:00</c:v>
                  </c:pt>
                  <c:pt idx="691">
                    <c:v>20:00</c:v>
                  </c:pt>
                  <c:pt idx="692">
                    <c:v>21:00</c:v>
                  </c:pt>
                  <c:pt idx="693">
                    <c:v>22:00</c:v>
                  </c:pt>
                  <c:pt idx="694">
                    <c:v>23:00</c:v>
                  </c:pt>
                  <c:pt idx="695">
                    <c:v>0:00</c:v>
                  </c:pt>
                  <c:pt idx="696">
                    <c:v>1:00</c:v>
                  </c:pt>
                  <c:pt idx="697">
                    <c:v>2:00</c:v>
                  </c:pt>
                  <c:pt idx="698">
                    <c:v>3:00</c:v>
                  </c:pt>
                  <c:pt idx="699">
                    <c:v>4:00</c:v>
                  </c:pt>
                  <c:pt idx="700">
                    <c:v>5:00</c:v>
                  </c:pt>
                  <c:pt idx="701">
                    <c:v>6:00</c:v>
                  </c:pt>
                  <c:pt idx="702">
                    <c:v>7:00</c:v>
                  </c:pt>
                  <c:pt idx="703">
                    <c:v>8:00</c:v>
                  </c:pt>
                  <c:pt idx="704">
                    <c:v>9:00</c:v>
                  </c:pt>
                  <c:pt idx="705">
                    <c:v>10:00</c:v>
                  </c:pt>
                  <c:pt idx="706">
                    <c:v>11:00</c:v>
                  </c:pt>
                  <c:pt idx="707">
                    <c:v>12:00</c:v>
                  </c:pt>
                  <c:pt idx="708">
                    <c:v>13:00</c:v>
                  </c:pt>
                  <c:pt idx="709">
                    <c:v>14:00</c:v>
                  </c:pt>
                  <c:pt idx="710">
                    <c:v>15:00</c:v>
                  </c:pt>
                  <c:pt idx="711">
                    <c:v>16:00</c:v>
                  </c:pt>
                  <c:pt idx="712">
                    <c:v>17:00</c:v>
                  </c:pt>
                  <c:pt idx="713">
                    <c:v>18:00</c:v>
                  </c:pt>
                  <c:pt idx="714">
                    <c:v>19:00</c:v>
                  </c:pt>
                  <c:pt idx="715">
                    <c:v>20:00</c:v>
                  </c:pt>
                  <c:pt idx="716">
                    <c:v>21:00</c:v>
                  </c:pt>
                  <c:pt idx="717">
                    <c:v>22:00</c:v>
                  </c:pt>
                  <c:pt idx="718">
                    <c:v>23:00</c:v>
                  </c:pt>
                  <c:pt idx="719">
                    <c:v>0:00</c:v>
                  </c:pt>
                  <c:pt idx="720">
                    <c:v>1:00</c:v>
                  </c:pt>
                  <c:pt idx="721">
                    <c:v>2:00</c:v>
                  </c:pt>
                  <c:pt idx="722">
                    <c:v>3:00</c:v>
                  </c:pt>
                  <c:pt idx="723">
                    <c:v>4:00</c:v>
                  </c:pt>
                  <c:pt idx="724">
                    <c:v>5:00</c:v>
                  </c:pt>
                  <c:pt idx="725">
                    <c:v>6:00</c:v>
                  </c:pt>
                  <c:pt idx="726">
                    <c:v>7:00</c:v>
                  </c:pt>
                  <c:pt idx="727">
                    <c:v>8:00</c:v>
                  </c:pt>
                  <c:pt idx="728">
                    <c:v>9:00</c:v>
                  </c:pt>
                  <c:pt idx="729">
                    <c:v>10:00</c:v>
                  </c:pt>
                  <c:pt idx="730">
                    <c:v>11:00</c:v>
                  </c:pt>
                  <c:pt idx="731">
                    <c:v>12:00</c:v>
                  </c:pt>
                  <c:pt idx="732">
                    <c:v>13:00</c:v>
                  </c:pt>
                  <c:pt idx="733">
                    <c:v>14:00</c:v>
                  </c:pt>
                  <c:pt idx="734">
                    <c:v>15:00</c:v>
                  </c:pt>
                  <c:pt idx="735">
                    <c:v>16:00</c:v>
                  </c:pt>
                  <c:pt idx="736">
                    <c:v>17:00</c:v>
                  </c:pt>
                  <c:pt idx="737">
                    <c:v>18:00</c:v>
                  </c:pt>
                  <c:pt idx="738">
                    <c:v>19:00</c:v>
                  </c:pt>
                  <c:pt idx="739">
                    <c:v>20:00</c:v>
                  </c:pt>
                  <c:pt idx="740">
                    <c:v>21:00</c:v>
                  </c:pt>
                  <c:pt idx="741">
                    <c:v>22:00</c:v>
                  </c:pt>
                  <c:pt idx="742">
                    <c:v>23:00</c:v>
                  </c:pt>
                  <c:pt idx="743">
                    <c:v>0:00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1</c:v>
                  </c:pt>
                  <c:pt idx="15">
                    <c:v>1</c:v>
                  </c:pt>
                  <c:pt idx="16">
                    <c:v>1</c:v>
                  </c:pt>
                  <c:pt idx="17">
                    <c:v>1</c:v>
                  </c:pt>
                  <c:pt idx="18">
                    <c:v>1</c:v>
                  </c:pt>
                  <c:pt idx="19">
                    <c:v>1</c:v>
                  </c:pt>
                  <c:pt idx="20">
                    <c:v>1</c:v>
                  </c:pt>
                  <c:pt idx="21">
                    <c:v>1</c:v>
                  </c:pt>
                  <c:pt idx="22">
                    <c:v>1</c:v>
                  </c:pt>
                  <c:pt idx="23">
                    <c:v>1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2</c:v>
                  </c:pt>
                  <c:pt idx="37">
                    <c:v>2</c:v>
                  </c:pt>
                  <c:pt idx="38">
                    <c:v>2</c:v>
                  </c:pt>
                  <c:pt idx="39">
                    <c:v>2</c:v>
                  </c:pt>
                  <c:pt idx="40">
                    <c:v>2</c:v>
                  </c:pt>
                  <c:pt idx="41">
                    <c:v>2</c:v>
                  </c:pt>
                  <c:pt idx="42">
                    <c:v>2</c:v>
                  </c:pt>
                  <c:pt idx="43">
                    <c:v>2</c:v>
                  </c:pt>
                  <c:pt idx="44">
                    <c:v>2</c:v>
                  </c:pt>
                  <c:pt idx="45">
                    <c:v>2</c:v>
                  </c:pt>
                  <c:pt idx="46">
                    <c:v>2</c:v>
                  </c:pt>
                  <c:pt idx="47">
                    <c:v>2</c:v>
                  </c:pt>
                  <c:pt idx="48">
                    <c:v>3</c:v>
                  </c:pt>
                  <c:pt idx="49">
                    <c:v>3</c:v>
                  </c:pt>
                  <c:pt idx="50">
                    <c:v>3</c:v>
                  </c:pt>
                  <c:pt idx="51">
                    <c:v>3</c:v>
                  </c:pt>
                  <c:pt idx="52">
                    <c:v>3</c:v>
                  </c:pt>
                  <c:pt idx="53">
                    <c:v>3</c:v>
                  </c:pt>
                  <c:pt idx="54">
                    <c:v>3</c:v>
                  </c:pt>
                  <c:pt idx="55">
                    <c:v>3</c:v>
                  </c:pt>
                  <c:pt idx="56">
                    <c:v>3</c:v>
                  </c:pt>
                  <c:pt idx="57">
                    <c:v>3</c:v>
                  </c:pt>
                  <c:pt idx="58">
                    <c:v>3</c:v>
                  </c:pt>
                  <c:pt idx="59">
                    <c:v>3</c:v>
                  </c:pt>
                  <c:pt idx="60">
                    <c:v>3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3</c:v>
                  </c:pt>
                  <c:pt idx="65">
                    <c:v>3</c:v>
                  </c:pt>
                  <c:pt idx="66">
                    <c:v>3</c:v>
                  </c:pt>
                  <c:pt idx="67">
                    <c:v>3</c:v>
                  </c:pt>
                  <c:pt idx="68">
                    <c:v>3</c:v>
                  </c:pt>
                  <c:pt idx="69">
                    <c:v>3</c:v>
                  </c:pt>
                  <c:pt idx="70">
                    <c:v>3</c:v>
                  </c:pt>
                  <c:pt idx="71">
                    <c:v>3</c:v>
                  </c:pt>
                  <c:pt idx="72">
                    <c:v>4</c:v>
                  </c:pt>
                  <c:pt idx="73">
                    <c:v>4</c:v>
                  </c:pt>
                  <c:pt idx="74">
                    <c:v>4</c:v>
                  </c:pt>
                  <c:pt idx="75">
                    <c:v>4</c:v>
                  </c:pt>
                  <c:pt idx="76">
                    <c:v>4</c:v>
                  </c:pt>
                  <c:pt idx="77">
                    <c:v>4</c:v>
                  </c:pt>
                  <c:pt idx="78">
                    <c:v>4</c:v>
                  </c:pt>
                  <c:pt idx="79">
                    <c:v>4</c:v>
                  </c:pt>
                  <c:pt idx="80">
                    <c:v>4</c:v>
                  </c:pt>
                  <c:pt idx="81">
                    <c:v>4</c:v>
                  </c:pt>
                  <c:pt idx="82">
                    <c:v>4</c:v>
                  </c:pt>
                  <c:pt idx="83">
                    <c:v>4</c:v>
                  </c:pt>
                  <c:pt idx="84">
                    <c:v>4</c:v>
                  </c:pt>
                  <c:pt idx="85">
                    <c:v>4</c:v>
                  </c:pt>
                  <c:pt idx="86">
                    <c:v>4</c:v>
                  </c:pt>
                  <c:pt idx="87">
                    <c:v>4</c:v>
                  </c:pt>
                  <c:pt idx="88">
                    <c:v>4</c:v>
                  </c:pt>
                  <c:pt idx="89">
                    <c:v>4</c:v>
                  </c:pt>
                  <c:pt idx="90">
                    <c:v>4</c:v>
                  </c:pt>
                  <c:pt idx="91">
                    <c:v>4</c:v>
                  </c:pt>
                  <c:pt idx="92">
                    <c:v>4</c:v>
                  </c:pt>
                  <c:pt idx="93">
                    <c:v>4</c:v>
                  </c:pt>
                  <c:pt idx="94">
                    <c:v>4</c:v>
                  </c:pt>
                  <c:pt idx="95">
                    <c:v>4</c:v>
                  </c:pt>
                  <c:pt idx="96">
                    <c:v>5</c:v>
                  </c:pt>
                  <c:pt idx="97">
                    <c:v>5</c:v>
                  </c:pt>
                  <c:pt idx="98">
                    <c:v>5</c:v>
                  </c:pt>
                  <c:pt idx="99">
                    <c:v>5</c:v>
                  </c:pt>
                  <c:pt idx="100">
                    <c:v>5</c:v>
                  </c:pt>
                  <c:pt idx="101">
                    <c:v>5</c:v>
                  </c:pt>
                  <c:pt idx="102">
                    <c:v>5</c:v>
                  </c:pt>
                  <c:pt idx="103">
                    <c:v>5</c:v>
                  </c:pt>
                  <c:pt idx="104">
                    <c:v>5</c:v>
                  </c:pt>
                  <c:pt idx="105">
                    <c:v>5</c:v>
                  </c:pt>
                  <c:pt idx="106">
                    <c:v>5</c:v>
                  </c:pt>
                  <c:pt idx="107">
                    <c:v>5</c:v>
                  </c:pt>
                  <c:pt idx="108">
                    <c:v>5</c:v>
                  </c:pt>
                  <c:pt idx="109">
                    <c:v>5</c:v>
                  </c:pt>
                  <c:pt idx="110">
                    <c:v>5</c:v>
                  </c:pt>
                  <c:pt idx="111">
                    <c:v>5</c:v>
                  </c:pt>
                  <c:pt idx="112">
                    <c:v>5</c:v>
                  </c:pt>
                  <c:pt idx="113">
                    <c:v>5</c:v>
                  </c:pt>
                  <c:pt idx="114">
                    <c:v>5</c:v>
                  </c:pt>
                  <c:pt idx="115">
                    <c:v>5</c:v>
                  </c:pt>
                  <c:pt idx="116">
                    <c:v>5</c:v>
                  </c:pt>
                  <c:pt idx="117">
                    <c:v>5</c:v>
                  </c:pt>
                  <c:pt idx="118">
                    <c:v>5</c:v>
                  </c:pt>
                  <c:pt idx="119">
                    <c:v>5</c:v>
                  </c:pt>
                  <c:pt idx="120">
                    <c:v>6</c:v>
                  </c:pt>
                  <c:pt idx="121">
                    <c:v>6</c:v>
                  </c:pt>
                  <c:pt idx="122">
                    <c:v>6</c:v>
                  </c:pt>
                  <c:pt idx="123">
                    <c:v>6</c:v>
                  </c:pt>
                  <c:pt idx="124">
                    <c:v>6</c:v>
                  </c:pt>
                  <c:pt idx="125">
                    <c:v>6</c:v>
                  </c:pt>
                  <c:pt idx="126">
                    <c:v>6</c:v>
                  </c:pt>
                  <c:pt idx="127">
                    <c:v>6</c:v>
                  </c:pt>
                  <c:pt idx="128">
                    <c:v>6</c:v>
                  </c:pt>
                  <c:pt idx="129">
                    <c:v>6</c:v>
                  </c:pt>
                  <c:pt idx="130">
                    <c:v>6</c:v>
                  </c:pt>
                  <c:pt idx="131">
                    <c:v>6</c:v>
                  </c:pt>
                  <c:pt idx="132">
                    <c:v>6</c:v>
                  </c:pt>
                  <c:pt idx="133">
                    <c:v>6</c:v>
                  </c:pt>
                  <c:pt idx="134">
                    <c:v>6</c:v>
                  </c:pt>
                  <c:pt idx="135">
                    <c:v>6</c:v>
                  </c:pt>
                  <c:pt idx="136">
                    <c:v>6</c:v>
                  </c:pt>
                  <c:pt idx="137">
                    <c:v>6</c:v>
                  </c:pt>
                  <c:pt idx="138">
                    <c:v>6</c:v>
                  </c:pt>
                  <c:pt idx="139">
                    <c:v>6</c:v>
                  </c:pt>
                  <c:pt idx="140">
                    <c:v>6</c:v>
                  </c:pt>
                  <c:pt idx="141">
                    <c:v>6</c:v>
                  </c:pt>
                  <c:pt idx="142">
                    <c:v>6</c:v>
                  </c:pt>
                  <c:pt idx="143">
                    <c:v>6</c:v>
                  </c:pt>
                  <c:pt idx="144">
                    <c:v>7</c:v>
                  </c:pt>
                  <c:pt idx="145">
                    <c:v>7</c:v>
                  </c:pt>
                  <c:pt idx="146">
                    <c:v>7</c:v>
                  </c:pt>
                  <c:pt idx="147">
                    <c:v>7</c:v>
                  </c:pt>
                  <c:pt idx="148">
                    <c:v>7</c:v>
                  </c:pt>
                  <c:pt idx="149">
                    <c:v>7</c:v>
                  </c:pt>
                  <c:pt idx="150">
                    <c:v>7</c:v>
                  </c:pt>
                  <c:pt idx="151">
                    <c:v>7</c:v>
                  </c:pt>
                  <c:pt idx="152">
                    <c:v>7</c:v>
                  </c:pt>
                  <c:pt idx="153">
                    <c:v>7</c:v>
                  </c:pt>
                  <c:pt idx="154">
                    <c:v>7</c:v>
                  </c:pt>
                  <c:pt idx="155">
                    <c:v>7</c:v>
                  </c:pt>
                  <c:pt idx="156">
                    <c:v>7</c:v>
                  </c:pt>
                  <c:pt idx="157">
                    <c:v>7</c:v>
                  </c:pt>
                  <c:pt idx="158">
                    <c:v>7</c:v>
                  </c:pt>
                  <c:pt idx="159">
                    <c:v>7</c:v>
                  </c:pt>
                  <c:pt idx="160">
                    <c:v>7</c:v>
                  </c:pt>
                  <c:pt idx="161">
                    <c:v>7</c:v>
                  </c:pt>
                  <c:pt idx="162">
                    <c:v>7</c:v>
                  </c:pt>
                  <c:pt idx="163">
                    <c:v>7</c:v>
                  </c:pt>
                  <c:pt idx="164">
                    <c:v>7</c:v>
                  </c:pt>
                  <c:pt idx="165">
                    <c:v>7</c:v>
                  </c:pt>
                  <c:pt idx="166">
                    <c:v>7</c:v>
                  </c:pt>
                  <c:pt idx="167">
                    <c:v>7</c:v>
                  </c:pt>
                  <c:pt idx="168">
                    <c:v>8</c:v>
                  </c:pt>
                  <c:pt idx="169">
                    <c:v>8</c:v>
                  </c:pt>
                  <c:pt idx="170">
                    <c:v>8</c:v>
                  </c:pt>
                  <c:pt idx="171">
                    <c:v>8</c:v>
                  </c:pt>
                  <c:pt idx="172">
                    <c:v>8</c:v>
                  </c:pt>
                  <c:pt idx="173">
                    <c:v>8</c:v>
                  </c:pt>
                  <c:pt idx="174">
                    <c:v>8</c:v>
                  </c:pt>
                  <c:pt idx="175">
                    <c:v>8</c:v>
                  </c:pt>
                  <c:pt idx="176">
                    <c:v>8</c:v>
                  </c:pt>
                  <c:pt idx="177">
                    <c:v>8</c:v>
                  </c:pt>
                  <c:pt idx="178">
                    <c:v>8</c:v>
                  </c:pt>
                  <c:pt idx="179">
                    <c:v>8</c:v>
                  </c:pt>
                  <c:pt idx="180">
                    <c:v>8</c:v>
                  </c:pt>
                  <c:pt idx="181">
                    <c:v>8</c:v>
                  </c:pt>
                  <c:pt idx="182">
                    <c:v>8</c:v>
                  </c:pt>
                  <c:pt idx="183">
                    <c:v>8</c:v>
                  </c:pt>
                  <c:pt idx="184">
                    <c:v>8</c:v>
                  </c:pt>
                  <c:pt idx="185">
                    <c:v>8</c:v>
                  </c:pt>
                  <c:pt idx="186">
                    <c:v>8</c:v>
                  </c:pt>
                  <c:pt idx="187">
                    <c:v>8</c:v>
                  </c:pt>
                  <c:pt idx="188">
                    <c:v>8</c:v>
                  </c:pt>
                  <c:pt idx="189">
                    <c:v>8</c:v>
                  </c:pt>
                  <c:pt idx="190">
                    <c:v>8</c:v>
                  </c:pt>
                  <c:pt idx="191">
                    <c:v>8</c:v>
                  </c:pt>
                  <c:pt idx="192">
                    <c:v>9</c:v>
                  </c:pt>
                  <c:pt idx="193">
                    <c:v>9</c:v>
                  </c:pt>
                  <c:pt idx="194">
                    <c:v>9</c:v>
                  </c:pt>
                  <c:pt idx="195">
                    <c:v>9</c:v>
                  </c:pt>
                  <c:pt idx="196">
                    <c:v>9</c:v>
                  </c:pt>
                  <c:pt idx="197">
                    <c:v>9</c:v>
                  </c:pt>
                  <c:pt idx="198">
                    <c:v>9</c:v>
                  </c:pt>
                  <c:pt idx="199">
                    <c:v>9</c:v>
                  </c:pt>
                  <c:pt idx="200">
                    <c:v>9</c:v>
                  </c:pt>
                  <c:pt idx="201">
                    <c:v>9</c:v>
                  </c:pt>
                  <c:pt idx="202">
                    <c:v>9</c:v>
                  </c:pt>
                  <c:pt idx="203">
                    <c:v>9</c:v>
                  </c:pt>
                  <c:pt idx="204">
                    <c:v>9</c:v>
                  </c:pt>
                  <c:pt idx="205">
                    <c:v>9</c:v>
                  </c:pt>
                  <c:pt idx="206">
                    <c:v>9</c:v>
                  </c:pt>
                  <c:pt idx="207">
                    <c:v>9</c:v>
                  </c:pt>
                  <c:pt idx="208">
                    <c:v>9</c:v>
                  </c:pt>
                  <c:pt idx="209">
                    <c:v>9</c:v>
                  </c:pt>
                  <c:pt idx="210">
                    <c:v>9</c:v>
                  </c:pt>
                  <c:pt idx="211">
                    <c:v>9</c:v>
                  </c:pt>
                  <c:pt idx="212">
                    <c:v>9</c:v>
                  </c:pt>
                  <c:pt idx="213">
                    <c:v>9</c:v>
                  </c:pt>
                  <c:pt idx="214">
                    <c:v>9</c:v>
                  </c:pt>
                  <c:pt idx="215">
                    <c:v>9</c:v>
                  </c:pt>
                  <c:pt idx="216">
                    <c:v>10</c:v>
                  </c:pt>
                  <c:pt idx="217">
                    <c:v>10</c:v>
                  </c:pt>
                  <c:pt idx="218">
                    <c:v>10</c:v>
                  </c:pt>
                  <c:pt idx="219">
                    <c:v>10</c:v>
                  </c:pt>
                  <c:pt idx="220">
                    <c:v>10</c:v>
                  </c:pt>
                  <c:pt idx="221">
                    <c:v>10</c:v>
                  </c:pt>
                  <c:pt idx="222">
                    <c:v>10</c:v>
                  </c:pt>
                  <c:pt idx="223">
                    <c:v>10</c:v>
                  </c:pt>
                  <c:pt idx="224">
                    <c:v>10</c:v>
                  </c:pt>
                  <c:pt idx="225">
                    <c:v>10</c:v>
                  </c:pt>
                  <c:pt idx="226">
                    <c:v>10</c:v>
                  </c:pt>
                  <c:pt idx="227">
                    <c:v>10</c:v>
                  </c:pt>
                  <c:pt idx="228">
                    <c:v>10</c:v>
                  </c:pt>
                  <c:pt idx="229">
                    <c:v>10</c:v>
                  </c:pt>
                  <c:pt idx="230">
                    <c:v>10</c:v>
                  </c:pt>
                  <c:pt idx="231">
                    <c:v>10</c:v>
                  </c:pt>
                  <c:pt idx="232">
                    <c:v>10</c:v>
                  </c:pt>
                  <c:pt idx="233">
                    <c:v>10</c:v>
                  </c:pt>
                  <c:pt idx="234">
                    <c:v>10</c:v>
                  </c:pt>
                  <c:pt idx="235">
                    <c:v>10</c:v>
                  </c:pt>
                  <c:pt idx="236">
                    <c:v>10</c:v>
                  </c:pt>
                  <c:pt idx="237">
                    <c:v>10</c:v>
                  </c:pt>
                  <c:pt idx="238">
                    <c:v>10</c:v>
                  </c:pt>
                  <c:pt idx="239">
                    <c:v>10</c:v>
                  </c:pt>
                  <c:pt idx="240">
                    <c:v>11</c:v>
                  </c:pt>
                  <c:pt idx="241">
                    <c:v>11</c:v>
                  </c:pt>
                  <c:pt idx="242">
                    <c:v>11</c:v>
                  </c:pt>
                  <c:pt idx="243">
                    <c:v>11</c:v>
                  </c:pt>
                  <c:pt idx="244">
                    <c:v>11</c:v>
                  </c:pt>
                  <c:pt idx="245">
                    <c:v>11</c:v>
                  </c:pt>
                  <c:pt idx="246">
                    <c:v>11</c:v>
                  </c:pt>
                  <c:pt idx="247">
                    <c:v>11</c:v>
                  </c:pt>
                  <c:pt idx="248">
                    <c:v>11</c:v>
                  </c:pt>
                  <c:pt idx="249">
                    <c:v>11</c:v>
                  </c:pt>
                  <c:pt idx="250">
                    <c:v>11</c:v>
                  </c:pt>
                  <c:pt idx="251">
                    <c:v>11</c:v>
                  </c:pt>
                  <c:pt idx="252">
                    <c:v>11</c:v>
                  </c:pt>
                  <c:pt idx="253">
                    <c:v>11</c:v>
                  </c:pt>
                  <c:pt idx="254">
                    <c:v>11</c:v>
                  </c:pt>
                  <c:pt idx="255">
                    <c:v>11</c:v>
                  </c:pt>
                  <c:pt idx="256">
                    <c:v>11</c:v>
                  </c:pt>
                  <c:pt idx="257">
                    <c:v>11</c:v>
                  </c:pt>
                  <c:pt idx="258">
                    <c:v>11</c:v>
                  </c:pt>
                  <c:pt idx="259">
                    <c:v>11</c:v>
                  </c:pt>
                  <c:pt idx="260">
                    <c:v>11</c:v>
                  </c:pt>
                  <c:pt idx="261">
                    <c:v>11</c:v>
                  </c:pt>
                  <c:pt idx="262">
                    <c:v>11</c:v>
                  </c:pt>
                  <c:pt idx="263">
                    <c:v>11</c:v>
                  </c:pt>
                  <c:pt idx="264">
                    <c:v>12</c:v>
                  </c:pt>
                  <c:pt idx="265">
                    <c:v>12</c:v>
                  </c:pt>
                  <c:pt idx="266">
                    <c:v>12</c:v>
                  </c:pt>
                  <c:pt idx="267">
                    <c:v>12</c:v>
                  </c:pt>
                  <c:pt idx="268">
                    <c:v>12</c:v>
                  </c:pt>
                  <c:pt idx="269">
                    <c:v>12</c:v>
                  </c:pt>
                  <c:pt idx="270">
                    <c:v>12</c:v>
                  </c:pt>
                  <c:pt idx="271">
                    <c:v>12</c:v>
                  </c:pt>
                  <c:pt idx="272">
                    <c:v>12</c:v>
                  </c:pt>
                  <c:pt idx="273">
                    <c:v>12</c:v>
                  </c:pt>
                  <c:pt idx="274">
                    <c:v>12</c:v>
                  </c:pt>
                  <c:pt idx="275">
                    <c:v>12</c:v>
                  </c:pt>
                  <c:pt idx="276">
                    <c:v>12</c:v>
                  </c:pt>
                  <c:pt idx="277">
                    <c:v>12</c:v>
                  </c:pt>
                  <c:pt idx="278">
                    <c:v>12</c:v>
                  </c:pt>
                  <c:pt idx="279">
                    <c:v>12</c:v>
                  </c:pt>
                  <c:pt idx="280">
                    <c:v>12</c:v>
                  </c:pt>
                  <c:pt idx="281">
                    <c:v>12</c:v>
                  </c:pt>
                  <c:pt idx="282">
                    <c:v>12</c:v>
                  </c:pt>
                  <c:pt idx="283">
                    <c:v>12</c:v>
                  </c:pt>
                  <c:pt idx="284">
                    <c:v>12</c:v>
                  </c:pt>
                  <c:pt idx="285">
                    <c:v>12</c:v>
                  </c:pt>
                  <c:pt idx="286">
                    <c:v>12</c:v>
                  </c:pt>
                  <c:pt idx="287">
                    <c:v>12</c:v>
                  </c:pt>
                  <c:pt idx="288">
                    <c:v>13</c:v>
                  </c:pt>
                  <c:pt idx="289">
                    <c:v>13</c:v>
                  </c:pt>
                  <c:pt idx="290">
                    <c:v>13</c:v>
                  </c:pt>
                  <c:pt idx="291">
                    <c:v>13</c:v>
                  </c:pt>
                  <c:pt idx="292">
                    <c:v>13</c:v>
                  </c:pt>
                  <c:pt idx="293">
                    <c:v>13</c:v>
                  </c:pt>
                  <c:pt idx="294">
                    <c:v>13</c:v>
                  </c:pt>
                  <c:pt idx="295">
                    <c:v>13</c:v>
                  </c:pt>
                  <c:pt idx="296">
                    <c:v>13</c:v>
                  </c:pt>
                  <c:pt idx="297">
                    <c:v>13</c:v>
                  </c:pt>
                  <c:pt idx="298">
                    <c:v>13</c:v>
                  </c:pt>
                  <c:pt idx="299">
                    <c:v>13</c:v>
                  </c:pt>
                  <c:pt idx="300">
                    <c:v>13</c:v>
                  </c:pt>
                  <c:pt idx="301">
                    <c:v>13</c:v>
                  </c:pt>
                  <c:pt idx="302">
                    <c:v>13</c:v>
                  </c:pt>
                  <c:pt idx="303">
                    <c:v>13</c:v>
                  </c:pt>
                  <c:pt idx="304">
                    <c:v>13</c:v>
                  </c:pt>
                  <c:pt idx="305">
                    <c:v>13</c:v>
                  </c:pt>
                  <c:pt idx="306">
                    <c:v>13</c:v>
                  </c:pt>
                  <c:pt idx="307">
                    <c:v>13</c:v>
                  </c:pt>
                  <c:pt idx="308">
                    <c:v>13</c:v>
                  </c:pt>
                  <c:pt idx="309">
                    <c:v>13</c:v>
                  </c:pt>
                  <c:pt idx="310">
                    <c:v>13</c:v>
                  </c:pt>
                  <c:pt idx="311">
                    <c:v>13</c:v>
                  </c:pt>
                  <c:pt idx="312">
                    <c:v>14</c:v>
                  </c:pt>
                  <c:pt idx="313">
                    <c:v>14</c:v>
                  </c:pt>
                  <c:pt idx="314">
                    <c:v>14</c:v>
                  </c:pt>
                  <c:pt idx="315">
                    <c:v>14</c:v>
                  </c:pt>
                  <c:pt idx="316">
                    <c:v>14</c:v>
                  </c:pt>
                  <c:pt idx="317">
                    <c:v>14</c:v>
                  </c:pt>
                  <c:pt idx="318">
                    <c:v>14</c:v>
                  </c:pt>
                  <c:pt idx="319">
                    <c:v>14</c:v>
                  </c:pt>
                  <c:pt idx="320">
                    <c:v>14</c:v>
                  </c:pt>
                  <c:pt idx="321">
                    <c:v>14</c:v>
                  </c:pt>
                  <c:pt idx="322">
                    <c:v>14</c:v>
                  </c:pt>
                  <c:pt idx="323">
                    <c:v>14</c:v>
                  </c:pt>
                  <c:pt idx="324">
                    <c:v>14</c:v>
                  </c:pt>
                  <c:pt idx="325">
                    <c:v>14</c:v>
                  </c:pt>
                  <c:pt idx="326">
                    <c:v>14</c:v>
                  </c:pt>
                  <c:pt idx="327">
                    <c:v>14</c:v>
                  </c:pt>
                  <c:pt idx="328">
                    <c:v>14</c:v>
                  </c:pt>
                  <c:pt idx="329">
                    <c:v>14</c:v>
                  </c:pt>
                  <c:pt idx="330">
                    <c:v>14</c:v>
                  </c:pt>
                  <c:pt idx="331">
                    <c:v>14</c:v>
                  </c:pt>
                  <c:pt idx="332">
                    <c:v>14</c:v>
                  </c:pt>
                  <c:pt idx="333">
                    <c:v>14</c:v>
                  </c:pt>
                  <c:pt idx="334">
                    <c:v>14</c:v>
                  </c:pt>
                  <c:pt idx="335">
                    <c:v>14</c:v>
                  </c:pt>
                  <c:pt idx="336">
                    <c:v>15</c:v>
                  </c:pt>
                  <c:pt idx="337">
                    <c:v>15</c:v>
                  </c:pt>
                  <c:pt idx="338">
                    <c:v>15</c:v>
                  </c:pt>
                  <c:pt idx="339">
                    <c:v>15</c:v>
                  </c:pt>
                  <c:pt idx="340">
                    <c:v>15</c:v>
                  </c:pt>
                  <c:pt idx="341">
                    <c:v>15</c:v>
                  </c:pt>
                  <c:pt idx="342">
                    <c:v>15</c:v>
                  </c:pt>
                  <c:pt idx="343">
                    <c:v>15</c:v>
                  </c:pt>
                  <c:pt idx="344">
                    <c:v>15</c:v>
                  </c:pt>
                  <c:pt idx="345">
                    <c:v>15</c:v>
                  </c:pt>
                  <c:pt idx="346">
                    <c:v>15</c:v>
                  </c:pt>
                  <c:pt idx="347">
                    <c:v>15</c:v>
                  </c:pt>
                  <c:pt idx="348">
                    <c:v>15</c:v>
                  </c:pt>
                  <c:pt idx="349">
                    <c:v>15</c:v>
                  </c:pt>
                  <c:pt idx="350">
                    <c:v>15</c:v>
                  </c:pt>
                  <c:pt idx="351">
                    <c:v>15</c:v>
                  </c:pt>
                  <c:pt idx="352">
                    <c:v>15</c:v>
                  </c:pt>
                  <c:pt idx="353">
                    <c:v>15</c:v>
                  </c:pt>
                  <c:pt idx="354">
                    <c:v>15</c:v>
                  </c:pt>
                  <c:pt idx="355">
                    <c:v>15</c:v>
                  </c:pt>
                  <c:pt idx="356">
                    <c:v>15</c:v>
                  </c:pt>
                  <c:pt idx="357">
                    <c:v>15</c:v>
                  </c:pt>
                  <c:pt idx="358">
                    <c:v>15</c:v>
                  </c:pt>
                  <c:pt idx="359">
                    <c:v>15</c:v>
                  </c:pt>
                  <c:pt idx="360">
                    <c:v>16</c:v>
                  </c:pt>
                  <c:pt idx="361">
                    <c:v>16</c:v>
                  </c:pt>
                  <c:pt idx="362">
                    <c:v>16</c:v>
                  </c:pt>
                  <c:pt idx="363">
                    <c:v>16</c:v>
                  </c:pt>
                  <c:pt idx="364">
                    <c:v>16</c:v>
                  </c:pt>
                  <c:pt idx="365">
                    <c:v>16</c:v>
                  </c:pt>
                  <c:pt idx="366">
                    <c:v>16</c:v>
                  </c:pt>
                  <c:pt idx="367">
                    <c:v>16</c:v>
                  </c:pt>
                  <c:pt idx="368">
                    <c:v>16</c:v>
                  </c:pt>
                  <c:pt idx="369">
                    <c:v>16</c:v>
                  </c:pt>
                  <c:pt idx="370">
                    <c:v>16</c:v>
                  </c:pt>
                  <c:pt idx="371">
                    <c:v>16</c:v>
                  </c:pt>
                  <c:pt idx="372">
                    <c:v>16</c:v>
                  </c:pt>
                  <c:pt idx="373">
                    <c:v>16</c:v>
                  </c:pt>
                  <c:pt idx="374">
                    <c:v>16</c:v>
                  </c:pt>
                  <c:pt idx="375">
                    <c:v>16</c:v>
                  </c:pt>
                  <c:pt idx="376">
                    <c:v>16</c:v>
                  </c:pt>
                  <c:pt idx="377">
                    <c:v>16</c:v>
                  </c:pt>
                  <c:pt idx="378">
                    <c:v>16</c:v>
                  </c:pt>
                  <c:pt idx="379">
                    <c:v>16</c:v>
                  </c:pt>
                  <c:pt idx="380">
                    <c:v>16</c:v>
                  </c:pt>
                  <c:pt idx="381">
                    <c:v>16</c:v>
                  </c:pt>
                  <c:pt idx="382">
                    <c:v>16</c:v>
                  </c:pt>
                  <c:pt idx="383">
                    <c:v>16</c:v>
                  </c:pt>
                  <c:pt idx="384">
                    <c:v>17</c:v>
                  </c:pt>
                  <c:pt idx="385">
                    <c:v>17</c:v>
                  </c:pt>
                  <c:pt idx="386">
                    <c:v>17</c:v>
                  </c:pt>
                  <c:pt idx="387">
                    <c:v>17</c:v>
                  </c:pt>
                  <c:pt idx="388">
                    <c:v>17</c:v>
                  </c:pt>
                  <c:pt idx="389">
                    <c:v>17</c:v>
                  </c:pt>
                  <c:pt idx="390">
                    <c:v>17</c:v>
                  </c:pt>
                  <c:pt idx="391">
                    <c:v>17</c:v>
                  </c:pt>
                  <c:pt idx="392">
                    <c:v>17</c:v>
                  </c:pt>
                  <c:pt idx="393">
                    <c:v>17</c:v>
                  </c:pt>
                  <c:pt idx="394">
                    <c:v>17</c:v>
                  </c:pt>
                  <c:pt idx="395">
                    <c:v>17</c:v>
                  </c:pt>
                  <c:pt idx="396">
                    <c:v>17</c:v>
                  </c:pt>
                  <c:pt idx="397">
                    <c:v>17</c:v>
                  </c:pt>
                  <c:pt idx="398">
                    <c:v>17</c:v>
                  </c:pt>
                  <c:pt idx="399">
                    <c:v>17</c:v>
                  </c:pt>
                  <c:pt idx="400">
                    <c:v>17</c:v>
                  </c:pt>
                  <c:pt idx="401">
                    <c:v>17</c:v>
                  </c:pt>
                  <c:pt idx="402">
                    <c:v>17</c:v>
                  </c:pt>
                  <c:pt idx="403">
                    <c:v>17</c:v>
                  </c:pt>
                  <c:pt idx="404">
                    <c:v>17</c:v>
                  </c:pt>
                  <c:pt idx="405">
                    <c:v>17</c:v>
                  </c:pt>
                  <c:pt idx="406">
                    <c:v>17</c:v>
                  </c:pt>
                  <c:pt idx="407">
                    <c:v>17</c:v>
                  </c:pt>
                  <c:pt idx="408">
                    <c:v>18</c:v>
                  </c:pt>
                  <c:pt idx="409">
                    <c:v>18</c:v>
                  </c:pt>
                  <c:pt idx="410">
                    <c:v>18</c:v>
                  </c:pt>
                  <c:pt idx="411">
                    <c:v>18</c:v>
                  </c:pt>
                  <c:pt idx="412">
                    <c:v>18</c:v>
                  </c:pt>
                  <c:pt idx="413">
                    <c:v>18</c:v>
                  </c:pt>
                  <c:pt idx="414">
                    <c:v>18</c:v>
                  </c:pt>
                  <c:pt idx="415">
                    <c:v>18</c:v>
                  </c:pt>
                  <c:pt idx="416">
                    <c:v>18</c:v>
                  </c:pt>
                  <c:pt idx="417">
                    <c:v>18</c:v>
                  </c:pt>
                  <c:pt idx="418">
                    <c:v>18</c:v>
                  </c:pt>
                  <c:pt idx="419">
                    <c:v>18</c:v>
                  </c:pt>
                  <c:pt idx="420">
                    <c:v>18</c:v>
                  </c:pt>
                  <c:pt idx="421">
                    <c:v>18</c:v>
                  </c:pt>
                  <c:pt idx="422">
                    <c:v>18</c:v>
                  </c:pt>
                  <c:pt idx="423">
                    <c:v>18</c:v>
                  </c:pt>
                  <c:pt idx="424">
                    <c:v>18</c:v>
                  </c:pt>
                  <c:pt idx="425">
                    <c:v>18</c:v>
                  </c:pt>
                  <c:pt idx="426">
                    <c:v>18</c:v>
                  </c:pt>
                  <c:pt idx="427">
                    <c:v>18</c:v>
                  </c:pt>
                  <c:pt idx="428">
                    <c:v>18</c:v>
                  </c:pt>
                  <c:pt idx="429">
                    <c:v>18</c:v>
                  </c:pt>
                  <c:pt idx="430">
                    <c:v>18</c:v>
                  </c:pt>
                  <c:pt idx="431">
                    <c:v>18</c:v>
                  </c:pt>
                  <c:pt idx="432">
                    <c:v>19</c:v>
                  </c:pt>
                  <c:pt idx="433">
                    <c:v>19</c:v>
                  </c:pt>
                  <c:pt idx="434">
                    <c:v>19</c:v>
                  </c:pt>
                  <c:pt idx="435">
                    <c:v>19</c:v>
                  </c:pt>
                  <c:pt idx="436">
                    <c:v>19</c:v>
                  </c:pt>
                  <c:pt idx="437">
                    <c:v>19</c:v>
                  </c:pt>
                  <c:pt idx="438">
                    <c:v>19</c:v>
                  </c:pt>
                  <c:pt idx="439">
                    <c:v>19</c:v>
                  </c:pt>
                  <c:pt idx="440">
                    <c:v>19</c:v>
                  </c:pt>
                  <c:pt idx="441">
                    <c:v>19</c:v>
                  </c:pt>
                  <c:pt idx="442">
                    <c:v>19</c:v>
                  </c:pt>
                  <c:pt idx="443">
                    <c:v>19</c:v>
                  </c:pt>
                  <c:pt idx="444">
                    <c:v>19</c:v>
                  </c:pt>
                  <c:pt idx="445">
                    <c:v>19</c:v>
                  </c:pt>
                  <c:pt idx="446">
                    <c:v>19</c:v>
                  </c:pt>
                  <c:pt idx="447">
                    <c:v>19</c:v>
                  </c:pt>
                  <c:pt idx="448">
                    <c:v>19</c:v>
                  </c:pt>
                  <c:pt idx="449">
                    <c:v>19</c:v>
                  </c:pt>
                  <c:pt idx="450">
                    <c:v>19</c:v>
                  </c:pt>
                  <c:pt idx="451">
                    <c:v>19</c:v>
                  </c:pt>
                  <c:pt idx="452">
                    <c:v>19</c:v>
                  </c:pt>
                  <c:pt idx="453">
                    <c:v>19</c:v>
                  </c:pt>
                  <c:pt idx="454">
                    <c:v>19</c:v>
                  </c:pt>
                  <c:pt idx="455">
                    <c:v>19</c:v>
                  </c:pt>
                  <c:pt idx="456">
                    <c:v>20</c:v>
                  </c:pt>
                  <c:pt idx="457">
                    <c:v>20</c:v>
                  </c:pt>
                  <c:pt idx="458">
                    <c:v>20</c:v>
                  </c:pt>
                  <c:pt idx="459">
                    <c:v>20</c:v>
                  </c:pt>
                  <c:pt idx="460">
                    <c:v>20</c:v>
                  </c:pt>
                  <c:pt idx="461">
                    <c:v>20</c:v>
                  </c:pt>
                  <c:pt idx="462">
                    <c:v>20</c:v>
                  </c:pt>
                  <c:pt idx="463">
                    <c:v>20</c:v>
                  </c:pt>
                  <c:pt idx="464">
                    <c:v>20</c:v>
                  </c:pt>
                  <c:pt idx="465">
                    <c:v>20</c:v>
                  </c:pt>
                  <c:pt idx="466">
                    <c:v>20</c:v>
                  </c:pt>
                  <c:pt idx="467">
                    <c:v>20</c:v>
                  </c:pt>
                  <c:pt idx="468">
                    <c:v>20</c:v>
                  </c:pt>
                  <c:pt idx="469">
                    <c:v>20</c:v>
                  </c:pt>
                  <c:pt idx="470">
                    <c:v>20</c:v>
                  </c:pt>
                  <c:pt idx="471">
                    <c:v>20</c:v>
                  </c:pt>
                  <c:pt idx="472">
                    <c:v>20</c:v>
                  </c:pt>
                  <c:pt idx="473">
                    <c:v>20</c:v>
                  </c:pt>
                  <c:pt idx="474">
                    <c:v>20</c:v>
                  </c:pt>
                  <c:pt idx="475">
                    <c:v>20</c:v>
                  </c:pt>
                  <c:pt idx="476">
                    <c:v>20</c:v>
                  </c:pt>
                  <c:pt idx="477">
                    <c:v>20</c:v>
                  </c:pt>
                  <c:pt idx="478">
                    <c:v>20</c:v>
                  </c:pt>
                  <c:pt idx="479">
                    <c:v>20</c:v>
                  </c:pt>
                  <c:pt idx="480">
                    <c:v>21</c:v>
                  </c:pt>
                  <c:pt idx="481">
                    <c:v>21</c:v>
                  </c:pt>
                  <c:pt idx="482">
                    <c:v>21</c:v>
                  </c:pt>
                  <c:pt idx="483">
                    <c:v>21</c:v>
                  </c:pt>
                  <c:pt idx="484">
                    <c:v>21</c:v>
                  </c:pt>
                  <c:pt idx="485">
                    <c:v>21</c:v>
                  </c:pt>
                  <c:pt idx="486">
                    <c:v>21</c:v>
                  </c:pt>
                  <c:pt idx="487">
                    <c:v>21</c:v>
                  </c:pt>
                  <c:pt idx="488">
                    <c:v>21</c:v>
                  </c:pt>
                  <c:pt idx="489">
                    <c:v>21</c:v>
                  </c:pt>
                  <c:pt idx="490">
                    <c:v>21</c:v>
                  </c:pt>
                  <c:pt idx="491">
                    <c:v>21</c:v>
                  </c:pt>
                  <c:pt idx="492">
                    <c:v>21</c:v>
                  </c:pt>
                  <c:pt idx="493">
                    <c:v>21</c:v>
                  </c:pt>
                  <c:pt idx="494">
                    <c:v>21</c:v>
                  </c:pt>
                  <c:pt idx="495">
                    <c:v>21</c:v>
                  </c:pt>
                  <c:pt idx="496">
                    <c:v>21</c:v>
                  </c:pt>
                  <c:pt idx="497">
                    <c:v>21</c:v>
                  </c:pt>
                  <c:pt idx="498">
                    <c:v>21</c:v>
                  </c:pt>
                  <c:pt idx="499">
                    <c:v>21</c:v>
                  </c:pt>
                  <c:pt idx="500">
                    <c:v>21</c:v>
                  </c:pt>
                  <c:pt idx="501">
                    <c:v>21</c:v>
                  </c:pt>
                  <c:pt idx="502">
                    <c:v>21</c:v>
                  </c:pt>
                  <c:pt idx="503">
                    <c:v>21</c:v>
                  </c:pt>
                  <c:pt idx="504">
                    <c:v>22</c:v>
                  </c:pt>
                  <c:pt idx="505">
                    <c:v>22</c:v>
                  </c:pt>
                  <c:pt idx="506">
                    <c:v>22</c:v>
                  </c:pt>
                  <c:pt idx="507">
                    <c:v>22</c:v>
                  </c:pt>
                  <c:pt idx="508">
                    <c:v>22</c:v>
                  </c:pt>
                  <c:pt idx="509">
                    <c:v>22</c:v>
                  </c:pt>
                  <c:pt idx="510">
                    <c:v>22</c:v>
                  </c:pt>
                  <c:pt idx="511">
                    <c:v>22</c:v>
                  </c:pt>
                  <c:pt idx="512">
                    <c:v>22</c:v>
                  </c:pt>
                  <c:pt idx="513">
                    <c:v>22</c:v>
                  </c:pt>
                  <c:pt idx="514">
                    <c:v>22</c:v>
                  </c:pt>
                  <c:pt idx="515">
                    <c:v>22</c:v>
                  </c:pt>
                  <c:pt idx="516">
                    <c:v>22</c:v>
                  </c:pt>
                  <c:pt idx="517">
                    <c:v>22</c:v>
                  </c:pt>
                  <c:pt idx="518">
                    <c:v>22</c:v>
                  </c:pt>
                  <c:pt idx="519">
                    <c:v>22</c:v>
                  </c:pt>
                  <c:pt idx="520">
                    <c:v>22</c:v>
                  </c:pt>
                  <c:pt idx="521">
                    <c:v>22</c:v>
                  </c:pt>
                  <c:pt idx="522">
                    <c:v>22</c:v>
                  </c:pt>
                  <c:pt idx="523">
                    <c:v>22</c:v>
                  </c:pt>
                  <c:pt idx="524">
                    <c:v>22</c:v>
                  </c:pt>
                  <c:pt idx="525">
                    <c:v>22</c:v>
                  </c:pt>
                  <c:pt idx="526">
                    <c:v>22</c:v>
                  </c:pt>
                  <c:pt idx="527">
                    <c:v>22</c:v>
                  </c:pt>
                  <c:pt idx="528">
                    <c:v>23</c:v>
                  </c:pt>
                  <c:pt idx="529">
                    <c:v>23</c:v>
                  </c:pt>
                  <c:pt idx="530">
                    <c:v>23</c:v>
                  </c:pt>
                  <c:pt idx="531">
                    <c:v>23</c:v>
                  </c:pt>
                  <c:pt idx="532">
                    <c:v>23</c:v>
                  </c:pt>
                  <c:pt idx="533">
                    <c:v>23</c:v>
                  </c:pt>
                  <c:pt idx="534">
                    <c:v>23</c:v>
                  </c:pt>
                  <c:pt idx="535">
                    <c:v>23</c:v>
                  </c:pt>
                  <c:pt idx="536">
                    <c:v>23</c:v>
                  </c:pt>
                  <c:pt idx="537">
                    <c:v>23</c:v>
                  </c:pt>
                  <c:pt idx="538">
                    <c:v>23</c:v>
                  </c:pt>
                  <c:pt idx="539">
                    <c:v>23</c:v>
                  </c:pt>
                  <c:pt idx="540">
                    <c:v>23</c:v>
                  </c:pt>
                  <c:pt idx="541">
                    <c:v>23</c:v>
                  </c:pt>
                  <c:pt idx="542">
                    <c:v>23</c:v>
                  </c:pt>
                  <c:pt idx="543">
                    <c:v>23</c:v>
                  </c:pt>
                  <c:pt idx="544">
                    <c:v>23</c:v>
                  </c:pt>
                  <c:pt idx="545">
                    <c:v>23</c:v>
                  </c:pt>
                  <c:pt idx="546">
                    <c:v>23</c:v>
                  </c:pt>
                  <c:pt idx="547">
                    <c:v>23</c:v>
                  </c:pt>
                  <c:pt idx="548">
                    <c:v>23</c:v>
                  </c:pt>
                  <c:pt idx="549">
                    <c:v>23</c:v>
                  </c:pt>
                  <c:pt idx="550">
                    <c:v>23</c:v>
                  </c:pt>
                  <c:pt idx="551">
                    <c:v>23</c:v>
                  </c:pt>
                  <c:pt idx="552">
                    <c:v>24</c:v>
                  </c:pt>
                  <c:pt idx="553">
                    <c:v>24</c:v>
                  </c:pt>
                  <c:pt idx="554">
                    <c:v>24</c:v>
                  </c:pt>
                  <c:pt idx="555">
                    <c:v>24</c:v>
                  </c:pt>
                  <c:pt idx="556">
                    <c:v>24</c:v>
                  </c:pt>
                  <c:pt idx="557">
                    <c:v>24</c:v>
                  </c:pt>
                  <c:pt idx="558">
                    <c:v>24</c:v>
                  </c:pt>
                  <c:pt idx="559">
                    <c:v>24</c:v>
                  </c:pt>
                  <c:pt idx="560">
                    <c:v>24</c:v>
                  </c:pt>
                  <c:pt idx="561">
                    <c:v>24</c:v>
                  </c:pt>
                  <c:pt idx="562">
                    <c:v>24</c:v>
                  </c:pt>
                  <c:pt idx="563">
                    <c:v>24</c:v>
                  </c:pt>
                  <c:pt idx="564">
                    <c:v>24</c:v>
                  </c:pt>
                  <c:pt idx="565">
                    <c:v>24</c:v>
                  </c:pt>
                  <c:pt idx="566">
                    <c:v>24</c:v>
                  </c:pt>
                  <c:pt idx="567">
                    <c:v>24</c:v>
                  </c:pt>
                  <c:pt idx="568">
                    <c:v>24</c:v>
                  </c:pt>
                  <c:pt idx="569">
                    <c:v>24</c:v>
                  </c:pt>
                  <c:pt idx="570">
                    <c:v>24</c:v>
                  </c:pt>
                  <c:pt idx="571">
                    <c:v>24</c:v>
                  </c:pt>
                  <c:pt idx="572">
                    <c:v>24</c:v>
                  </c:pt>
                  <c:pt idx="573">
                    <c:v>24</c:v>
                  </c:pt>
                  <c:pt idx="574">
                    <c:v>24</c:v>
                  </c:pt>
                  <c:pt idx="575">
                    <c:v>24</c:v>
                  </c:pt>
                  <c:pt idx="576">
                    <c:v>25</c:v>
                  </c:pt>
                  <c:pt idx="577">
                    <c:v>25</c:v>
                  </c:pt>
                  <c:pt idx="578">
                    <c:v>25</c:v>
                  </c:pt>
                  <c:pt idx="579">
                    <c:v>25</c:v>
                  </c:pt>
                  <c:pt idx="580">
                    <c:v>25</c:v>
                  </c:pt>
                  <c:pt idx="581">
                    <c:v>25</c:v>
                  </c:pt>
                  <c:pt idx="582">
                    <c:v>25</c:v>
                  </c:pt>
                  <c:pt idx="583">
                    <c:v>25</c:v>
                  </c:pt>
                  <c:pt idx="584">
                    <c:v>25</c:v>
                  </c:pt>
                  <c:pt idx="585">
                    <c:v>25</c:v>
                  </c:pt>
                  <c:pt idx="586">
                    <c:v>25</c:v>
                  </c:pt>
                  <c:pt idx="587">
                    <c:v>25</c:v>
                  </c:pt>
                  <c:pt idx="588">
                    <c:v>25</c:v>
                  </c:pt>
                  <c:pt idx="589">
                    <c:v>25</c:v>
                  </c:pt>
                  <c:pt idx="590">
                    <c:v>25</c:v>
                  </c:pt>
                  <c:pt idx="591">
                    <c:v>25</c:v>
                  </c:pt>
                  <c:pt idx="592">
                    <c:v>25</c:v>
                  </c:pt>
                  <c:pt idx="593">
                    <c:v>25</c:v>
                  </c:pt>
                  <c:pt idx="594">
                    <c:v>25</c:v>
                  </c:pt>
                  <c:pt idx="595">
                    <c:v>25</c:v>
                  </c:pt>
                  <c:pt idx="596">
                    <c:v>25</c:v>
                  </c:pt>
                  <c:pt idx="597">
                    <c:v>25</c:v>
                  </c:pt>
                  <c:pt idx="598">
                    <c:v>25</c:v>
                  </c:pt>
                  <c:pt idx="599">
                    <c:v>25</c:v>
                  </c:pt>
                  <c:pt idx="600">
                    <c:v>26</c:v>
                  </c:pt>
                  <c:pt idx="601">
                    <c:v>26</c:v>
                  </c:pt>
                  <c:pt idx="602">
                    <c:v>26</c:v>
                  </c:pt>
                  <c:pt idx="603">
                    <c:v>26</c:v>
                  </c:pt>
                  <c:pt idx="604">
                    <c:v>26</c:v>
                  </c:pt>
                  <c:pt idx="605">
                    <c:v>26</c:v>
                  </c:pt>
                  <c:pt idx="606">
                    <c:v>26</c:v>
                  </c:pt>
                  <c:pt idx="607">
                    <c:v>26</c:v>
                  </c:pt>
                  <c:pt idx="608">
                    <c:v>26</c:v>
                  </c:pt>
                  <c:pt idx="609">
                    <c:v>26</c:v>
                  </c:pt>
                  <c:pt idx="610">
                    <c:v>26</c:v>
                  </c:pt>
                  <c:pt idx="611">
                    <c:v>26</c:v>
                  </c:pt>
                  <c:pt idx="612">
                    <c:v>26</c:v>
                  </c:pt>
                  <c:pt idx="613">
                    <c:v>26</c:v>
                  </c:pt>
                  <c:pt idx="614">
                    <c:v>26</c:v>
                  </c:pt>
                  <c:pt idx="615">
                    <c:v>26</c:v>
                  </c:pt>
                  <c:pt idx="616">
                    <c:v>26</c:v>
                  </c:pt>
                  <c:pt idx="617">
                    <c:v>26</c:v>
                  </c:pt>
                  <c:pt idx="618">
                    <c:v>26</c:v>
                  </c:pt>
                  <c:pt idx="619">
                    <c:v>26</c:v>
                  </c:pt>
                  <c:pt idx="620">
                    <c:v>26</c:v>
                  </c:pt>
                  <c:pt idx="621">
                    <c:v>26</c:v>
                  </c:pt>
                  <c:pt idx="622">
                    <c:v>26</c:v>
                  </c:pt>
                  <c:pt idx="623">
                    <c:v>26</c:v>
                  </c:pt>
                  <c:pt idx="624">
                    <c:v>27</c:v>
                  </c:pt>
                  <c:pt idx="625">
                    <c:v>27</c:v>
                  </c:pt>
                  <c:pt idx="626">
                    <c:v>27</c:v>
                  </c:pt>
                  <c:pt idx="627">
                    <c:v>27</c:v>
                  </c:pt>
                  <c:pt idx="628">
                    <c:v>27</c:v>
                  </c:pt>
                  <c:pt idx="629">
                    <c:v>27</c:v>
                  </c:pt>
                  <c:pt idx="630">
                    <c:v>27</c:v>
                  </c:pt>
                  <c:pt idx="631">
                    <c:v>27</c:v>
                  </c:pt>
                  <c:pt idx="632">
                    <c:v>27</c:v>
                  </c:pt>
                  <c:pt idx="633">
                    <c:v>27</c:v>
                  </c:pt>
                  <c:pt idx="634">
                    <c:v>27</c:v>
                  </c:pt>
                  <c:pt idx="635">
                    <c:v>27</c:v>
                  </c:pt>
                  <c:pt idx="636">
                    <c:v>27</c:v>
                  </c:pt>
                  <c:pt idx="637">
                    <c:v>27</c:v>
                  </c:pt>
                  <c:pt idx="638">
                    <c:v>27</c:v>
                  </c:pt>
                  <c:pt idx="639">
                    <c:v>27</c:v>
                  </c:pt>
                  <c:pt idx="640">
                    <c:v>27</c:v>
                  </c:pt>
                  <c:pt idx="641">
                    <c:v>27</c:v>
                  </c:pt>
                  <c:pt idx="642">
                    <c:v>27</c:v>
                  </c:pt>
                  <c:pt idx="643">
                    <c:v>27</c:v>
                  </c:pt>
                  <c:pt idx="644">
                    <c:v>27</c:v>
                  </c:pt>
                  <c:pt idx="645">
                    <c:v>27</c:v>
                  </c:pt>
                  <c:pt idx="646">
                    <c:v>27</c:v>
                  </c:pt>
                  <c:pt idx="647">
                    <c:v>27</c:v>
                  </c:pt>
                  <c:pt idx="648">
                    <c:v>28</c:v>
                  </c:pt>
                  <c:pt idx="649">
                    <c:v>28</c:v>
                  </c:pt>
                  <c:pt idx="650">
                    <c:v>28</c:v>
                  </c:pt>
                  <c:pt idx="651">
                    <c:v>28</c:v>
                  </c:pt>
                  <c:pt idx="652">
                    <c:v>28</c:v>
                  </c:pt>
                  <c:pt idx="653">
                    <c:v>28</c:v>
                  </c:pt>
                  <c:pt idx="654">
                    <c:v>28</c:v>
                  </c:pt>
                  <c:pt idx="655">
                    <c:v>28</c:v>
                  </c:pt>
                  <c:pt idx="656">
                    <c:v>28</c:v>
                  </c:pt>
                  <c:pt idx="657">
                    <c:v>28</c:v>
                  </c:pt>
                  <c:pt idx="658">
                    <c:v>28</c:v>
                  </c:pt>
                  <c:pt idx="659">
                    <c:v>28</c:v>
                  </c:pt>
                  <c:pt idx="660">
                    <c:v>28</c:v>
                  </c:pt>
                  <c:pt idx="661">
                    <c:v>28</c:v>
                  </c:pt>
                  <c:pt idx="662">
                    <c:v>28</c:v>
                  </c:pt>
                  <c:pt idx="663">
                    <c:v>28</c:v>
                  </c:pt>
                  <c:pt idx="664">
                    <c:v>28</c:v>
                  </c:pt>
                  <c:pt idx="665">
                    <c:v>28</c:v>
                  </c:pt>
                  <c:pt idx="666">
                    <c:v>28</c:v>
                  </c:pt>
                  <c:pt idx="667">
                    <c:v>28</c:v>
                  </c:pt>
                  <c:pt idx="668">
                    <c:v>28</c:v>
                  </c:pt>
                  <c:pt idx="669">
                    <c:v>28</c:v>
                  </c:pt>
                  <c:pt idx="670">
                    <c:v>28</c:v>
                  </c:pt>
                  <c:pt idx="671">
                    <c:v>28</c:v>
                  </c:pt>
                  <c:pt idx="672">
                    <c:v>29</c:v>
                  </c:pt>
                  <c:pt idx="673">
                    <c:v>29</c:v>
                  </c:pt>
                  <c:pt idx="674">
                    <c:v>29</c:v>
                  </c:pt>
                  <c:pt idx="675">
                    <c:v>29</c:v>
                  </c:pt>
                  <c:pt idx="676">
                    <c:v>29</c:v>
                  </c:pt>
                  <c:pt idx="677">
                    <c:v>29</c:v>
                  </c:pt>
                  <c:pt idx="678">
                    <c:v>29</c:v>
                  </c:pt>
                  <c:pt idx="679">
                    <c:v>29</c:v>
                  </c:pt>
                  <c:pt idx="680">
                    <c:v>29</c:v>
                  </c:pt>
                  <c:pt idx="681">
                    <c:v>29</c:v>
                  </c:pt>
                  <c:pt idx="682">
                    <c:v>29</c:v>
                  </c:pt>
                  <c:pt idx="683">
                    <c:v>29</c:v>
                  </c:pt>
                  <c:pt idx="684">
                    <c:v>29</c:v>
                  </c:pt>
                  <c:pt idx="685">
                    <c:v>29</c:v>
                  </c:pt>
                  <c:pt idx="686">
                    <c:v>29</c:v>
                  </c:pt>
                  <c:pt idx="687">
                    <c:v>29</c:v>
                  </c:pt>
                  <c:pt idx="688">
                    <c:v>29</c:v>
                  </c:pt>
                  <c:pt idx="689">
                    <c:v>29</c:v>
                  </c:pt>
                  <c:pt idx="690">
                    <c:v>29</c:v>
                  </c:pt>
                  <c:pt idx="691">
                    <c:v>29</c:v>
                  </c:pt>
                  <c:pt idx="692">
                    <c:v>29</c:v>
                  </c:pt>
                  <c:pt idx="693">
                    <c:v>29</c:v>
                  </c:pt>
                  <c:pt idx="694">
                    <c:v>29</c:v>
                  </c:pt>
                  <c:pt idx="695">
                    <c:v>29</c:v>
                  </c:pt>
                  <c:pt idx="696">
                    <c:v>30</c:v>
                  </c:pt>
                  <c:pt idx="697">
                    <c:v>30</c:v>
                  </c:pt>
                  <c:pt idx="698">
                    <c:v>30</c:v>
                  </c:pt>
                  <c:pt idx="699">
                    <c:v>30</c:v>
                  </c:pt>
                  <c:pt idx="700">
                    <c:v>30</c:v>
                  </c:pt>
                  <c:pt idx="701">
                    <c:v>30</c:v>
                  </c:pt>
                  <c:pt idx="702">
                    <c:v>30</c:v>
                  </c:pt>
                  <c:pt idx="703">
                    <c:v>30</c:v>
                  </c:pt>
                  <c:pt idx="704">
                    <c:v>30</c:v>
                  </c:pt>
                  <c:pt idx="705">
                    <c:v>30</c:v>
                  </c:pt>
                  <c:pt idx="706">
                    <c:v>30</c:v>
                  </c:pt>
                  <c:pt idx="707">
                    <c:v>30</c:v>
                  </c:pt>
                  <c:pt idx="708">
                    <c:v>30</c:v>
                  </c:pt>
                  <c:pt idx="709">
                    <c:v>30</c:v>
                  </c:pt>
                  <c:pt idx="710">
                    <c:v>30</c:v>
                  </c:pt>
                  <c:pt idx="711">
                    <c:v>30</c:v>
                  </c:pt>
                  <c:pt idx="712">
                    <c:v>30</c:v>
                  </c:pt>
                  <c:pt idx="713">
                    <c:v>30</c:v>
                  </c:pt>
                  <c:pt idx="714">
                    <c:v>30</c:v>
                  </c:pt>
                  <c:pt idx="715">
                    <c:v>30</c:v>
                  </c:pt>
                  <c:pt idx="716">
                    <c:v>30</c:v>
                  </c:pt>
                  <c:pt idx="717">
                    <c:v>30</c:v>
                  </c:pt>
                  <c:pt idx="718">
                    <c:v>30</c:v>
                  </c:pt>
                  <c:pt idx="719">
                    <c:v>30</c:v>
                  </c:pt>
                  <c:pt idx="720">
                    <c:v>31</c:v>
                  </c:pt>
                  <c:pt idx="721">
                    <c:v>31</c:v>
                  </c:pt>
                  <c:pt idx="722">
                    <c:v>31</c:v>
                  </c:pt>
                  <c:pt idx="723">
                    <c:v>31</c:v>
                  </c:pt>
                  <c:pt idx="724">
                    <c:v>31</c:v>
                  </c:pt>
                  <c:pt idx="725">
                    <c:v>31</c:v>
                  </c:pt>
                  <c:pt idx="726">
                    <c:v>31</c:v>
                  </c:pt>
                  <c:pt idx="727">
                    <c:v>31</c:v>
                  </c:pt>
                  <c:pt idx="728">
                    <c:v>31</c:v>
                  </c:pt>
                  <c:pt idx="729">
                    <c:v>31</c:v>
                  </c:pt>
                  <c:pt idx="730">
                    <c:v>31</c:v>
                  </c:pt>
                  <c:pt idx="731">
                    <c:v>31</c:v>
                  </c:pt>
                  <c:pt idx="732">
                    <c:v>31</c:v>
                  </c:pt>
                  <c:pt idx="733">
                    <c:v>31</c:v>
                  </c:pt>
                  <c:pt idx="734">
                    <c:v>31</c:v>
                  </c:pt>
                  <c:pt idx="735">
                    <c:v>31</c:v>
                  </c:pt>
                  <c:pt idx="736">
                    <c:v>31</c:v>
                  </c:pt>
                  <c:pt idx="737">
                    <c:v>31</c:v>
                  </c:pt>
                  <c:pt idx="738">
                    <c:v>31</c:v>
                  </c:pt>
                  <c:pt idx="739">
                    <c:v>31</c:v>
                  </c:pt>
                  <c:pt idx="740">
                    <c:v>31</c:v>
                  </c:pt>
                  <c:pt idx="741">
                    <c:v>31</c:v>
                  </c:pt>
                  <c:pt idx="742">
                    <c:v>31</c:v>
                  </c:pt>
                  <c:pt idx="743">
                    <c:v>31</c:v>
                  </c:pt>
                </c:lvl>
              </c:multiLvlStrCache>
            </c:multiLvlStrRef>
          </c:cat>
          <c:val>
            <c:numRef>
              <c:f>'1'!$AG$52:$AG$795</c:f>
              <c:numCache>
                <c:formatCode>General</c:formatCode>
                <c:ptCount val="744"/>
                <c:pt idx="0">
                  <c:v>608</c:v>
                </c:pt>
                <c:pt idx="1">
                  <c:v>546</c:v>
                </c:pt>
                <c:pt idx="2">
                  <c:v>527</c:v>
                </c:pt>
                <c:pt idx="3">
                  <c:v>523</c:v>
                </c:pt>
                <c:pt idx="4">
                  <c:v>553</c:v>
                </c:pt>
                <c:pt idx="5">
                  <c:v>556</c:v>
                </c:pt>
                <c:pt idx="6">
                  <c:v>557</c:v>
                </c:pt>
                <c:pt idx="7">
                  <c:v>553</c:v>
                </c:pt>
                <c:pt idx="8">
                  <c:v>532</c:v>
                </c:pt>
                <c:pt idx="9">
                  <c:v>484</c:v>
                </c:pt>
                <c:pt idx="10">
                  <c:v>485</c:v>
                </c:pt>
                <c:pt idx="11">
                  <c:v>500</c:v>
                </c:pt>
                <c:pt idx="12">
                  <c:v>498</c:v>
                </c:pt>
                <c:pt idx="13">
                  <c:v>489</c:v>
                </c:pt>
                <c:pt idx="14">
                  <c:v>484</c:v>
                </c:pt>
                <c:pt idx="15">
                  <c:v>503</c:v>
                </c:pt>
                <c:pt idx="16">
                  <c:v>533</c:v>
                </c:pt>
                <c:pt idx="17">
                  <c:v>544</c:v>
                </c:pt>
                <c:pt idx="18">
                  <c:v>674</c:v>
                </c:pt>
                <c:pt idx="19">
                  <c:v>704</c:v>
                </c:pt>
                <c:pt idx="20">
                  <c:v>680</c:v>
                </c:pt>
                <c:pt idx="21">
                  <c:v>628</c:v>
                </c:pt>
                <c:pt idx="22">
                  <c:v>610</c:v>
                </c:pt>
                <c:pt idx="23">
                  <c:v>570</c:v>
                </c:pt>
                <c:pt idx="24">
                  <c:v>542</c:v>
                </c:pt>
                <c:pt idx="25">
                  <c:v>537</c:v>
                </c:pt>
                <c:pt idx="26">
                  <c:v>504</c:v>
                </c:pt>
                <c:pt idx="27">
                  <c:v>531</c:v>
                </c:pt>
                <c:pt idx="28">
                  <c:v>511</c:v>
                </c:pt>
                <c:pt idx="29">
                  <c:v>536</c:v>
                </c:pt>
                <c:pt idx="30">
                  <c:v>547</c:v>
                </c:pt>
                <c:pt idx="31">
                  <c:v>543</c:v>
                </c:pt>
                <c:pt idx="32">
                  <c:v>550</c:v>
                </c:pt>
                <c:pt idx="33">
                  <c:v>553</c:v>
                </c:pt>
                <c:pt idx="34">
                  <c:v>534</c:v>
                </c:pt>
                <c:pt idx="35">
                  <c:v>514</c:v>
                </c:pt>
                <c:pt idx="36">
                  <c:v>513</c:v>
                </c:pt>
                <c:pt idx="37">
                  <c:v>497</c:v>
                </c:pt>
                <c:pt idx="38">
                  <c:v>541</c:v>
                </c:pt>
                <c:pt idx="39">
                  <c:v>484</c:v>
                </c:pt>
                <c:pt idx="40">
                  <c:v>514</c:v>
                </c:pt>
                <c:pt idx="41">
                  <c:v>548</c:v>
                </c:pt>
                <c:pt idx="42">
                  <c:v>696</c:v>
                </c:pt>
                <c:pt idx="43">
                  <c:v>723</c:v>
                </c:pt>
                <c:pt idx="44">
                  <c:v>655</c:v>
                </c:pt>
                <c:pt idx="45">
                  <c:v>611</c:v>
                </c:pt>
                <c:pt idx="46">
                  <c:v>591</c:v>
                </c:pt>
                <c:pt idx="47">
                  <c:v>557</c:v>
                </c:pt>
                <c:pt idx="48">
                  <c:v>536</c:v>
                </c:pt>
                <c:pt idx="49">
                  <c:v>536</c:v>
                </c:pt>
                <c:pt idx="50">
                  <c:v>450</c:v>
                </c:pt>
                <c:pt idx="51">
                  <c:v>440</c:v>
                </c:pt>
                <c:pt idx="52">
                  <c:v>444</c:v>
                </c:pt>
                <c:pt idx="53">
                  <c:v>448</c:v>
                </c:pt>
                <c:pt idx="54">
                  <c:v>466</c:v>
                </c:pt>
                <c:pt idx="55">
                  <c:v>453</c:v>
                </c:pt>
                <c:pt idx="56">
                  <c:v>449</c:v>
                </c:pt>
                <c:pt idx="57">
                  <c:v>455</c:v>
                </c:pt>
                <c:pt idx="58">
                  <c:v>538</c:v>
                </c:pt>
                <c:pt idx="59">
                  <c:v>525</c:v>
                </c:pt>
                <c:pt idx="60">
                  <c:v>487</c:v>
                </c:pt>
                <c:pt idx="61">
                  <c:v>500</c:v>
                </c:pt>
                <c:pt idx="62">
                  <c:v>469</c:v>
                </c:pt>
                <c:pt idx="63">
                  <c:v>457</c:v>
                </c:pt>
                <c:pt idx="64">
                  <c:v>479</c:v>
                </c:pt>
                <c:pt idx="65">
                  <c:v>532</c:v>
                </c:pt>
                <c:pt idx="66">
                  <c:v>684</c:v>
                </c:pt>
                <c:pt idx="67">
                  <c:v>701</c:v>
                </c:pt>
                <c:pt idx="68">
                  <c:v>656</c:v>
                </c:pt>
                <c:pt idx="69">
                  <c:v>626</c:v>
                </c:pt>
                <c:pt idx="70">
                  <c:v>578</c:v>
                </c:pt>
                <c:pt idx="71">
                  <c:v>552</c:v>
                </c:pt>
                <c:pt idx="72">
                  <c:v>517</c:v>
                </c:pt>
                <c:pt idx="73">
                  <c:v>515</c:v>
                </c:pt>
                <c:pt idx="74">
                  <c:v>511</c:v>
                </c:pt>
                <c:pt idx="75">
                  <c:v>507</c:v>
                </c:pt>
                <c:pt idx="76">
                  <c:v>502</c:v>
                </c:pt>
                <c:pt idx="77">
                  <c:v>489</c:v>
                </c:pt>
                <c:pt idx="78">
                  <c:v>494</c:v>
                </c:pt>
                <c:pt idx="79">
                  <c:v>482</c:v>
                </c:pt>
                <c:pt idx="80">
                  <c:v>472</c:v>
                </c:pt>
                <c:pt idx="81">
                  <c:v>501</c:v>
                </c:pt>
                <c:pt idx="82">
                  <c:v>500</c:v>
                </c:pt>
                <c:pt idx="83">
                  <c:v>482</c:v>
                </c:pt>
                <c:pt idx="84">
                  <c:v>448</c:v>
                </c:pt>
                <c:pt idx="85">
                  <c:v>462</c:v>
                </c:pt>
                <c:pt idx="86">
                  <c:v>448</c:v>
                </c:pt>
                <c:pt idx="87">
                  <c:v>455</c:v>
                </c:pt>
                <c:pt idx="88">
                  <c:v>465</c:v>
                </c:pt>
                <c:pt idx="89">
                  <c:v>531</c:v>
                </c:pt>
                <c:pt idx="90">
                  <c:v>699</c:v>
                </c:pt>
                <c:pt idx="91">
                  <c:v>740</c:v>
                </c:pt>
                <c:pt idx="92">
                  <c:v>666</c:v>
                </c:pt>
                <c:pt idx="93">
                  <c:v>526</c:v>
                </c:pt>
                <c:pt idx="94">
                  <c:v>569</c:v>
                </c:pt>
                <c:pt idx="95">
                  <c:v>557</c:v>
                </c:pt>
                <c:pt idx="96">
                  <c:v>536</c:v>
                </c:pt>
                <c:pt idx="97">
                  <c:v>511</c:v>
                </c:pt>
                <c:pt idx="98">
                  <c:v>516</c:v>
                </c:pt>
                <c:pt idx="99">
                  <c:v>492</c:v>
                </c:pt>
                <c:pt idx="100">
                  <c:v>504</c:v>
                </c:pt>
                <c:pt idx="101">
                  <c:v>536</c:v>
                </c:pt>
                <c:pt idx="102">
                  <c:v>546</c:v>
                </c:pt>
                <c:pt idx="103">
                  <c:v>515</c:v>
                </c:pt>
                <c:pt idx="104">
                  <c:v>503</c:v>
                </c:pt>
                <c:pt idx="105">
                  <c:v>481</c:v>
                </c:pt>
                <c:pt idx="106">
                  <c:v>496</c:v>
                </c:pt>
                <c:pt idx="107">
                  <c:v>485</c:v>
                </c:pt>
                <c:pt idx="108">
                  <c:v>582</c:v>
                </c:pt>
                <c:pt idx="109">
                  <c:v>463</c:v>
                </c:pt>
                <c:pt idx="110">
                  <c:v>455</c:v>
                </c:pt>
                <c:pt idx="111">
                  <c:v>445</c:v>
                </c:pt>
                <c:pt idx="112">
                  <c:v>470</c:v>
                </c:pt>
                <c:pt idx="113">
                  <c:v>506</c:v>
                </c:pt>
                <c:pt idx="114">
                  <c:v>654</c:v>
                </c:pt>
                <c:pt idx="115">
                  <c:v>698</c:v>
                </c:pt>
                <c:pt idx="116">
                  <c:v>570</c:v>
                </c:pt>
                <c:pt idx="117">
                  <c:v>552</c:v>
                </c:pt>
                <c:pt idx="118">
                  <c:v>502</c:v>
                </c:pt>
                <c:pt idx="119">
                  <c:v>474</c:v>
                </c:pt>
                <c:pt idx="120">
                  <c:v>460</c:v>
                </c:pt>
                <c:pt idx="121">
                  <c:v>442</c:v>
                </c:pt>
                <c:pt idx="122">
                  <c:v>438</c:v>
                </c:pt>
                <c:pt idx="123">
                  <c:v>433</c:v>
                </c:pt>
                <c:pt idx="124">
                  <c:v>436</c:v>
                </c:pt>
                <c:pt idx="125">
                  <c:v>406</c:v>
                </c:pt>
                <c:pt idx="126">
                  <c:v>433</c:v>
                </c:pt>
                <c:pt idx="127">
                  <c:v>430</c:v>
                </c:pt>
                <c:pt idx="128">
                  <c:v>418</c:v>
                </c:pt>
                <c:pt idx="129">
                  <c:v>415</c:v>
                </c:pt>
                <c:pt idx="130">
                  <c:v>394</c:v>
                </c:pt>
                <c:pt idx="131">
                  <c:v>435</c:v>
                </c:pt>
                <c:pt idx="132">
                  <c:v>445</c:v>
                </c:pt>
                <c:pt idx="133">
                  <c:v>422</c:v>
                </c:pt>
                <c:pt idx="134">
                  <c:v>417</c:v>
                </c:pt>
                <c:pt idx="135">
                  <c:v>409</c:v>
                </c:pt>
                <c:pt idx="136">
                  <c:v>469</c:v>
                </c:pt>
                <c:pt idx="137">
                  <c:v>486</c:v>
                </c:pt>
                <c:pt idx="138">
                  <c:v>669</c:v>
                </c:pt>
                <c:pt idx="139">
                  <c:v>696</c:v>
                </c:pt>
                <c:pt idx="140">
                  <c:v>668</c:v>
                </c:pt>
                <c:pt idx="141">
                  <c:v>605</c:v>
                </c:pt>
                <c:pt idx="142">
                  <c:v>557</c:v>
                </c:pt>
                <c:pt idx="143">
                  <c:v>539</c:v>
                </c:pt>
                <c:pt idx="144">
                  <c:v>515</c:v>
                </c:pt>
                <c:pt idx="145">
                  <c:v>494</c:v>
                </c:pt>
                <c:pt idx="146">
                  <c:v>492</c:v>
                </c:pt>
                <c:pt idx="147">
                  <c:v>526</c:v>
                </c:pt>
                <c:pt idx="148">
                  <c:v>518</c:v>
                </c:pt>
                <c:pt idx="149">
                  <c:v>467</c:v>
                </c:pt>
                <c:pt idx="150">
                  <c:v>423</c:v>
                </c:pt>
                <c:pt idx="151">
                  <c:v>539</c:v>
                </c:pt>
                <c:pt idx="152">
                  <c:v>540</c:v>
                </c:pt>
                <c:pt idx="153">
                  <c:v>522</c:v>
                </c:pt>
                <c:pt idx="154">
                  <c:v>483</c:v>
                </c:pt>
                <c:pt idx="155">
                  <c:v>465</c:v>
                </c:pt>
                <c:pt idx="156">
                  <c:v>448</c:v>
                </c:pt>
                <c:pt idx="157">
                  <c:v>433</c:v>
                </c:pt>
                <c:pt idx="158">
                  <c:v>416</c:v>
                </c:pt>
                <c:pt idx="159">
                  <c:v>436</c:v>
                </c:pt>
                <c:pt idx="160">
                  <c:v>470</c:v>
                </c:pt>
                <c:pt idx="161">
                  <c:v>490</c:v>
                </c:pt>
                <c:pt idx="162">
                  <c:v>618</c:v>
                </c:pt>
                <c:pt idx="163">
                  <c:v>691</c:v>
                </c:pt>
                <c:pt idx="164">
                  <c:v>654</c:v>
                </c:pt>
                <c:pt idx="165">
                  <c:v>520</c:v>
                </c:pt>
                <c:pt idx="166">
                  <c:v>604</c:v>
                </c:pt>
                <c:pt idx="167">
                  <c:v>547</c:v>
                </c:pt>
                <c:pt idx="168">
                  <c:v>518</c:v>
                </c:pt>
                <c:pt idx="169">
                  <c:v>549</c:v>
                </c:pt>
                <c:pt idx="170">
                  <c:v>483</c:v>
                </c:pt>
                <c:pt idx="171">
                  <c:v>480</c:v>
                </c:pt>
                <c:pt idx="172">
                  <c:v>477</c:v>
                </c:pt>
                <c:pt idx="173">
                  <c:v>505</c:v>
                </c:pt>
                <c:pt idx="174">
                  <c:v>548</c:v>
                </c:pt>
                <c:pt idx="175">
                  <c:v>508</c:v>
                </c:pt>
                <c:pt idx="176">
                  <c:v>494</c:v>
                </c:pt>
                <c:pt idx="177">
                  <c:v>474</c:v>
                </c:pt>
                <c:pt idx="178">
                  <c:v>477</c:v>
                </c:pt>
                <c:pt idx="179">
                  <c:v>465</c:v>
                </c:pt>
                <c:pt idx="180">
                  <c:v>447</c:v>
                </c:pt>
                <c:pt idx="181">
                  <c:v>433</c:v>
                </c:pt>
                <c:pt idx="182">
                  <c:v>419</c:v>
                </c:pt>
                <c:pt idx="183">
                  <c:v>429</c:v>
                </c:pt>
                <c:pt idx="184">
                  <c:v>448</c:v>
                </c:pt>
                <c:pt idx="185">
                  <c:v>477</c:v>
                </c:pt>
                <c:pt idx="186">
                  <c:v>623</c:v>
                </c:pt>
                <c:pt idx="187">
                  <c:v>705</c:v>
                </c:pt>
                <c:pt idx="188">
                  <c:v>662</c:v>
                </c:pt>
                <c:pt idx="189">
                  <c:v>631</c:v>
                </c:pt>
                <c:pt idx="190">
                  <c:v>582</c:v>
                </c:pt>
                <c:pt idx="191">
                  <c:v>555</c:v>
                </c:pt>
                <c:pt idx="192">
                  <c:v>517</c:v>
                </c:pt>
                <c:pt idx="193">
                  <c:v>225</c:v>
                </c:pt>
                <c:pt idx="194">
                  <c:v>220</c:v>
                </c:pt>
                <c:pt idx="195">
                  <c:v>217</c:v>
                </c:pt>
                <c:pt idx="196">
                  <c:v>222</c:v>
                </c:pt>
                <c:pt idx="197">
                  <c:v>566</c:v>
                </c:pt>
                <c:pt idx="198">
                  <c:v>587</c:v>
                </c:pt>
                <c:pt idx="199">
                  <c:v>532</c:v>
                </c:pt>
                <c:pt idx="200">
                  <c:v>497</c:v>
                </c:pt>
                <c:pt idx="201">
                  <c:v>469</c:v>
                </c:pt>
                <c:pt idx="202">
                  <c:v>463</c:v>
                </c:pt>
                <c:pt idx="203">
                  <c:v>458</c:v>
                </c:pt>
                <c:pt idx="204">
                  <c:v>433</c:v>
                </c:pt>
                <c:pt idx="205">
                  <c:v>414</c:v>
                </c:pt>
                <c:pt idx="206">
                  <c:v>405</c:v>
                </c:pt>
                <c:pt idx="207">
                  <c:v>410</c:v>
                </c:pt>
                <c:pt idx="208">
                  <c:v>418</c:v>
                </c:pt>
                <c:pt idx="209">
                  <c:v>443</c:v>
                </c:pt>
                <c:pt idx="210">
                  <c:v>640</c:v>
                </c:pt>
                <c:pt idx="211">
                  <c:v>681</c:v>
                </c:pt>
                <c:pt idx="212">
                  <c:v>673</c:v>
                </c:pt>
                <c:pt idx="213">
                  <c:v>615</c:v>
                </c:pt>
                <c:pt idx="214">
                  <c:v>559</c:v>
                </c:pt>
                <c:pt idx="215">
                  <c:v>535</c:v>
                </c:pt>
                <c:pt idx="216">
                  <c:v>514</c:v>
                </c:pt>
                <c:pt idx="217">
                  <c:v>498</c:v>
                </c:pt>
                <c:pt idx="218">
                  <c:v>494</c:v>
                </c:pt>
                <c:pt idx="219">
                  <c:v>517</c:v>
                </c:pt>
                <c:pt idx="220">
                  <c:v>578</c:v>
                </c:pt>
                <c:pt idx="221">
                  <c:v>523</c:v>
                </c:pt>
                <c:pt idx="222">
                  <c:v>540</c:v>
                </c:pt>
                <c:pt idx="223">
                  <c:v>517</c:v>
                </c:pt>
                <c:pt idx="224">
                  <c:v>493</c:v>
                </c:pt>
                <c:pt idx="225">
                  <c:v>684</c:v>
                </c:pt>
                <c:pt idx="226">
                  <c:v>456</c:v>
                </c:pt>
                <c:pt idx="227">
                  <c:v>443</c:v>
                </c:pt>
                <c:pt idx="228">
                  <c:v>446</c:v>
                </c:pt>
                <c:pt idx="229">
                  <c:v>435</c:v>
                </c:pt>
                <c:pt idx="230">
                  <c:v>421</c:v>
                </c:pt>
                <c:pt idx="231">
                  <c:v>427</c:v>
                </c:pt>
                <c:pt idx="232">
                  <c:v>443</c:v>
                </c:pt>
                <c:pt idx="233">
                  <c:v>460</c:v>
                </c:pt>
                <c:pt idx="234">
                  <c:v>644</c:v>
                </c:pt>
                <c:pt idx="235">
                  <c:v>708</c:v>
                </c:pt>
                <c:pt idx="236">
                  <c:v>656</c:v>
                </c:pt>
                <c:pt idx="237">
                  <c:v>618</c:v>
                </c:pt>
                <c:pt idx="238">
                  <c:v>564</c:v>
                </c:pt>
                <c:pt idx="239">
                  <c:v>534</c:v>
                </c:pt>
                <c:pt idx="240">
                  <c:v>513</c:v>
                </c:pt>
                <c:pt idx="241">
                  <c:v>501</c:v>
                </c:pt>
                <c:pt idx="242">
                  <c:v>490</c:v>
                </c:pt>
                <c:pt idx="243">
                  <c:v>492</c:v>
                </c:pt>
                <c:pt idx="244">
                  <c:v>498</c:v>
                </c:pt>
                <c:pt idx="245">
                  <c:v>232</c:v>
                </c:pt>
                <c:pt idx="246">
                  <c:v>244</c:v>
                </c:pt>
                <c:pt idx="247">
                  <c:v>432</c:v>
                </c:pt>
                <c:pt idx="248">
                  <c:v>536</c:v>
                </c:pt>
                <c:pt idx="249">
                  <c:v>521</c:v>
                </c:pt>
                <c:pt idx="250">
                  <c:v>476</c:v>
                </c:pt>
                <c:pt idx="251">
                  <c:v>490</c:v>
                </c:pt>
                <c:pt idx="252">
                  <c:v>469</c:v>
                </c:pt>
                <c:pt idx="253">
                  <c:v>450</c:v>
                </c:pt>
                <c:pt idx="254">
                  <c:v>442</c:v>
                </c:pt>
                <c:pt idx="255">
                  <c:v>435</c:v>
                </c:pt>
                <c:pt idx="256">
                  <c:v>439</c:v>
                </c:pt>
                <c:pt idx="257">
                  <c:v>497</c:v>
                </c:pt>
                <c:pt idx="258">
                  <c:v>618</c:v>
                </c:pt>
                <c:pt idx="259">
                  <c:v>730</c:v>
                </c:pt>
                <c:pt idx="260">
                  <c:v>684</c:v>
                </c:pt>
                <c:pt idx="261">
                  <c:v>626</c:v>
                </c:pt>
                <c:pt idx="262">
                  <c:v>586</c:v>
                </c:pt>
                <c:pt idx="263">
                  <c:v>547</c:v>
                </c:pt>
                <c:pt idx="264">
                  <c:v>496</c:v>
                </c:pt>
                <c:pt idx="265">
                  <c:v>474</c:v>
                </c:pt>
                <c:pt idx="266">
                  <c:v>490</c:v>
                </c:pt>
                <c:pt idx="267">
                  <c:v>488</c:v>
                </c:pt>
                <c:pt idx="268">
                  <c:v>488</c:v>
                </c:pt>
                <c:pt idx="269">
                  <c:v>514</c:v>
                </c:pt>
                <c:pt idx="270">
                  <c:v>544.27499999999998</c:v>
                </c:pt>
                <c:pt idx="271">
                  <c:v>233</c:v>
                </c:pt>
                <c:pt idx="272">
                  <c:v>393</c:v>
                </c:pt>
                <c:pt idx="273">
                  <c:v>443</c:v>
                </c:pt>
                <c:pt idx="274">
                  <c:v>440</c:v>
                </c:pt>
                <c:pt idx="275">
                  <c:v>432</c:v>
                </c:pt>
                <c:pt idx="276">
                  <c:v>495</c:v>
                </c:pt>
                <c:pt idx="277">
                  <c:v>394</c:v>
                </c:pt>
                <c:pt idx="278">
                  <c:v>376</c:v>
                </c:pt>
                <c:pt idx="279">
                  <c:v>382</c:v>
                </c:pt>
                <c:pt idx="280">
                  <c:v>389</c:v>
                </c:pt>
                <c:pt idx="281">
                  <c:v>422</c:v>
                </c:pt>
                <c:pt idx="282">
                  <c:v>578</c:v>
                </c:pt>
                <c:pt idx="283">
                  <c:v>612</c:v>
                </c:pt>
                <c:pt idx="284">
                  <c:v>570</c:v>
                </c:pt>
                <c:pt idx="285">
                  <c:v>526</c:v>
                </c:pt>
                <c:pt idx="286">
                  <c:v>485</c:v>
                </c:pt>
                <c:pt idx="287">
                  <c:v>459</c:v>
                </c:pt>
                <c:pt idx="288">
                  <c:v>514</c:v>
                </c:pt>
                <c:pt idx="289">
                  <c:v>504</c:v>
                </c:pt>
                <c:pt idx="290">
                  <c:v>485</c:v>
                </c:pt>
                <c:pt idx="291">
                  <c:v>488</c:v>
                </c:pt>
                <c:pt idx="292">
                  <c:v>491</c:v>
                </c:pt>
                <c:pt idx="293">
                  <c:v>531</c:v>
                </c:pt>
                <c:pt idx="294">
                  <c:v>553</c:v>
                </c:pt>
                <c:pt idx="295">
                  <c:v>538</c:v>
                </c:pt>
                <c:pt idx="296">
                  <c:v>521</c:v>
                </c:pt>
                <c:pt idx="297">
                  <c:v>512</c:v>
                </c:pt>
                <c:pt idx="298">
                  <c:v>463</c:v>
                </c:pt>
                <c:pt idx="299">
                  <c:v>465</c:v>
                </c:pt>
                <c:pt idx="300">
                  <c:v>444</c:v>
                </c:pt>
                <c:pt idx="301">
                  <c:v>432</c:v>
                </c:pt>
                <c:pt idx="302">
                  <c:v>423</c:v>
                </c:pt>
                <c:pt idx="303">
                  <c:v>416</c:v>
                </c:pt>
                <c:pt idx="304">
                  <c:v>441</c:v>
                </c:pt>
                <c:pt idx="305">
                  <c:v>523</c:v>
                </c:pt>
                <c:pt idx="306">
                  <c:v>687</c:v>
                </c:pt>
                <c:pt idx="307">
                  <c:v>673</c:v>
                </c:pt>
                <c:pt idx="308">
                  <c:v>593</c:v>
                </c:pt>
                <c:pt idx="309">
                  <c:v>598</c:v>
                </c:pt>
                <c:pt idx="310">
                  <c:v>567</c:v>
                </c:pt>
                <c:pt idx="311">
                  <c:v>519</c:v>
                </c:pt>
                <c:pt idx="312">
                  <c:v>509</c:v>
                </c:pt>
                <c:pt idx="313">
                  <c:v>485</c:v>
                </c:pt>
                <c:pt idx="314">
                  <c:v>478</c:v>
                </c:pt>
                <c:pt idx="315">
                  <c:v>479</c:v>
                </c:pt>
                <c:pt idx="316">
                  <c:v>469</c:v>
                </c:pt>
                <c:pt idx="317">
                  <c:v>486</c:v>
                </c:pt>
                <c:pt idx="318">
                  <c:v>540</c:v>
                </c:pt>
                <c:pt idx="319">
                  <c:v>555</c:v>
                </c:pt>
                <c:pt idx="320">
                  <c:v>549</c:v>
                </c:pt>
                <c:pt idx="321">
                  <c:v>495</c:v>
                </c:pt>
                <c:pt idx="322">
                  <c:v>488</c:v>
                </c:pt>
                <c:pt idx="323">
                  <c:v>472</c:v>
                </c:pt>
                <c:pt idx="324">
                  <c:v>441</c:v>
                </c:pt>
                <c:pt idx="325">
                  <c:v>425</c:v>
                </c:pt>
                <c:pt idx="326">
                  <c:v>433</c:v>
                </c:pt>
                <c:pt idx="327">
                  <c:v>414</c:v>
                </c:pt>
                <c:pt idx="328">
                  <c:v>440</c:v>
                </c:pt>
                <c:pt idx="329">
                  <c:v>491</c:v>
                </c:pt>
                <c:pt idx="330">
                  <c:v>646</c:v>
                </c:pt>
                <c:pt idx="331">
                  <c:v>687</c:v>
                </c:pt>
                <c:pt idx="332">
                  <c:v>687</c:v>
                </c:pt>
                <c:pt idx="333">
                  <c:v>603</c:v>
                </c:pt>
                <c:pt idx="334">
                  <c:v>552</c:v>
                </c:pt>
                <c:pt idx="335">
                  <c:v>554</c:v>
                </c:pt>
                <c:pt idx="336">
                  <c:v>497</c:v>
                </c:pt>
                <c:pt idx="337">
                  <c:v>489</c:v>
                </c:pt>
                <c:pt idx="338">
                  <c:v>216</c:v>
                </c:pt>
                <c:pt idx="339">
                  <c:v>210</c:v>
                </c:pt>
                <c:pt idx="340">
                  <c:v>218</c:v>
                </c:pt>
                <c:pt idx="341">
                  <c:v>227</c:v>
                </c:pt>
                <c:pt idx="342">
                  <c:v>262</c:v>
                </c:pt>
                <c:pt idx="343">
                  <c:v>219</c:v>
                </c:pt>
                <c:pt idx="344">
                  <c:v>578</c:v>
                </c:pt>
                <c:pt idx="345">
                  <c:v>498</c:v>
                </c:pt>
                <c:pt idx="346">
                  <c:v>497</c:v>
                </c:pt>
                <c:pt idx="347">
                  <c:v>465</c:v>
                </c:pt>
                <c:pt idx="348">
                  <c:v>438</c:v>
                </c:pt>
                <c:pt idx="349">
                  <c:v>426</c:v>
                </c:pt>
                <c:pt idx="350">
                  <c:v>409</c:v>
                </c:pt>
                <c:pt idx="351">
                  <c:v>410</c:v>
                </c:pt>
                <c:pt idx="352">
                  <c:v>422</c:v>
                </c:pt>
                <c:pt idx="353">
                  <c:v>459</c:v>
                </c:pt>
                <c:pt idx="354">
                  <c:v>657</c:v>
                </c:pt>
                <c:pt idx="355">
                  <c:v>671</c:v>
                </c:pt>
                <c:pt idx="356">
                  <c:v>628</c:v>
                </c:pt>
                <c:pt idx="357">
                  <c:v>582</c:v>
                </c:pt>
                <c:pt idx="358">
                  <c:v>554</c:v>
                </c:pt>
                <c:pt idx="359">
                  <c:v>508</c:v>
                </c:pt>
                <c:pt idx="360">
                  <c:v>489</c:v>
                </c:pt>
                <c:pt idx="361">
                  <c:v>480</c:v>
                </c:pt>
                <c:pt idx="362">
                  <c:v>468</c:v>
                </c:pt>
                <c:pt idx="363">
                  <c:v>448</c:v>
                </c:pt>
                <c:pt idx="364">
                  <c:v>428</c:v>
                </c:pt>
                <c:pt idx="365">
                  <c:v>451</c:v>
                </c:pt>
                <c:pt idx="366">
                  <c:v>511</c:v>
                </c:pt>
                <c:pt idx="367">
                  <c:v>499</c:v>
                </c:pt>
                <c:pt idx="368">
                  <c:v>465</c:v>
                </c:pt>
                <c:pt idx="369">
                  <c:v>457</c:v>
                </c:pt>
                <c:pt idx="370">
                  <c:v>396</c:v>
                </c:pt>
                <c:pt idx="371">
                  <c:v>209</c:v>
                </c:pt>
                <c:pt idx="372">
                  <c:v>371</c:v>
                </c:pt>
                <c:pt idx="373">
                  <c:v>162</c:v>
                </c:pt>
                <c:pt idx="374">
                  <c:v>331</c:v>
                </c:pt>
                <c:pt idx="375">
                  <c:v>331</c:v>
                </c:pt>
                <c:pt idx="376">
                  <c:v>437</c:v>
                </c:pt>
                <c:pt idx="377">
                  <c:v>577</c:v>
                </c:pt>
                <c:pt idx="378">
                  <c:v>656</c:v>
                </c:pt>
                <c:pt idx="379">
                  <c:v>611</c:v>
                </c:pt>
                <c:pt idx="380">
                  <c:v>595</c:v>
                </c:pt>
                <c:pt idx="381">
                  <c:v>539</c:v>
                </c:pt>
                <c:pt idx="382">
                  <c:v>486</c:v>
                </c:pt>
                <c:pt idx="383">
                  <c:v>220</c:v>
                </c:pt>
                <c:pt idx="384">
                  <c:v>201</c:v>
                </c:pt>
                <c:pt idx="385">
                  <c:v>444</c:v>
                </c:pt>
                <c:pt idx="386">
                  <c:v>436</c:v>
                </c:pt>
                <c:pt idx="387">
                  <c:v>432</c:v>
                </c:pt>
                <c:pt idx="388">
                  <c:v>440</c:v>
                </c:pt>
                <c:pt idx="389">
                  <c:v>468</c:v>
                </c:pt>
                <c:pt idx="390">
                  <c:v>521</c:v>
                </c:pt>
                <c:pt idx="391">
                  <c:v>519</c:v>
                </c:pt>
                <c:pt idx="392">
                  <c:v>466</c:v>
                </c:pt>
                <c:pt idx="393">
                  <c:v>461</c:v>
                </c:pt>
                <c:pt idx="394">
                  <c:v>458</c:v>
                </c:pt>
                <c:pt idx="395">
                  <c:v>348</c:v>
                </c:pt>
                <c:pt idx="396">
                  <c:v>433</c:v>
                </c:pt>
                <c:pt idx="397">
                  <c:v>428</c:v>
                </c:pt>
                <c:pt idx="398">
                  <c:v>424</c:v>
                </c:pt>
                <c:pt idx="399">
                  <c:v>422</c:v>
                </c:pt>
                <c:pt idx="400">
                  <c:v>399</c:v>
                </c:pt>
                <c:pt idx="401">
                  <c:v>430</c:v>
                </c:pt>
                <c:pt idx="402">
                  <c:v>551</c:v>
                </c:pt>
                <c:pt idx="403">
                  <c:v>647</c:v>
                </c:pt>
                <c:pt idx="404">
                  <c:v>527</c:v>
                </c:pt>
                <c:pt idx="405">
                  <c:v>540</c:v>
                </c:pt>
                <c:pt idx="406">
                  <c:v>520</c:v>
                </c:pt>
                <c:pt idx="407">
                  <c:v>474</c:v>
                </c:pt>
                <c:pt idx="408">
                  <c:v>362</c:v>
                </c:pt>
                <c:pt idx="409">
                  <c:v>343</c:v>
                </c:pt>
                <c:pt idx="410">
                  <c:v>452</c:v>
                </c:pt>
                <c:pt idx="411">
                  <c:v>330</c:v>
                </c:pt>
                <c:pt idx="412">
                  <c:v>339</c:v>
                </c:pt>
                <c:pt idx="413">
                  <c:v>364</c:v>
                </c:pt>
                <c:pt idx="414">
                  <c:v>388</c:v>
                </c:pt>
                <c:pt idx="415">
                  <c:v>363</c:v>
                </c:pt>
                <c:pt idx="416">
                  <c:v>471</c:v>
                </c:pt>
                <c:pt idx="417">
                  <c:v>438</c:v>
                </c:pt>
                <c:pt idx="418">
                  <c:v>435</c:v>
                </c:pt>
                <c:pt idx="419">
                  <c:v>432</c:v>
                </c:pt>
                <c:pt idx="420">
                  <c:v>409</c:v>
                </c:pt>
                <c:pt idx="421">
                  <c:v>402</c:v>
                </c:pt>
                <c:pt idx="422">
                  <c:v>411</c:v>
                </c:pt>
                <c:pt idx="423">
                  <c:v>406</c:v>
                </c:pt>
                <c:pt idx="424">
                  <c:v>424</c:v>
                </c:pt>
                <c:pt idx="425">
                  <c:v>461</c:v>
                </c:pt>
                <c:pt idx="426">
                  <c:v>594</c:v>
                </c:pt>
                <c:pt idx="427">
                  <c:v>618</c:v>
                </c:pt>
                <c:pt idx="428">
                  <c:v>469</c:v>
                </c:pt>
                <c:pt idx="429">
                  <c:v>440</c:v>
                </c:pt>
                <c:pt idx="430">
                  <c:v>603</c:v>
                </c:pt>
                <c:pt idx="431">
                  <c:v>502</c:v>
                </c:pt>
                <c:pt idx="432">
                  <c:v>467</c:v>
                </c:pt>
                <c:pt idx="433">
                  <c:v>450</c:v>
                </c:pt>
                <c:pt idx="434">
                  <c:v>442</c:v>
                </c:pt>
                <c:pt idx="435">
                  <c:v>438</c:v>
                </c:pt>
                <c:pt idx="436">
                  <c:v>198</c:v>
                </c:pt>
                <c:pt idx="437">
                  <c:v>487</c:v>
                </c:pt>
                <c:pt idx="438">
                  <c:v>521</c:v>
                </c:pt>
                <c:pt idx="439">
                  <c:v>456</c:v>
                </c:pt>
                <c:pt idx="440">
                  <c:v>464</c:v>
                </c:pt>
                <c:pt idx="441">
                  <c:v>351</c:v>
                </c:pt>
                <c:pt idx="442">
                  <c:v>338</c:v>
                </c:pt>
                <c:pt idx="443">
                  <c:v>513</c:v>
                </c:pt>
                <c:pt idx="444">
                  <c:v>455</c:v>
                </c:pt>
                <c:pt idx="445">
                  <c:v>422</c:v>
                </c:pt>
                <c:pt idx="446">
                  <c:v>416</c:v>
                </c:pt>
                <c:pt idx="447">
                  <c:v>406</c:v>
                </c:pt>
                <c:pt idx="448">
                  <c:v>447</c:v>
                </c:pt>
                <c:pt idx="449">
                  <c:v>476</c:v>
                </c:pt>
                <c:pt idx="450">
                  <c:v>609</c:v>
                </c:pt>
                <c:pt idx="451">
                  <c:v>696</c:v>
                </c:pt>
                <c:pt idx="452">
                  <c:v>621</c:v>
                </c:pt>
                <c:pt idx="453">
                  <c:v>590</c:v>
                </c:pt>
                <c:pt idx="454">
                  <c:v>527</c:v>
                </c:pt>
                <c:pt idx="455">
                  <c:v>478</c:v>
                </c:pt>
                <c:pt idx="456">
                  <c:v>480</c:v>
                </c:pt>
                <c:pt idx="457">
                  <c:v>480</c:v>
                </c:pt>
                <c:pt idx="458">
                  <c:v>477</c:v>
                </c:pt>
                <c:pt idx="459">
                  <c:v>460</c:v>
                </c:pt>
                <c:pt idx="460">
                  <c:v>459</c:v>
                </c:pt>
                <c:pt idx="461">
                  <c:v>503</c:v>
                </c:pt>
                <c:pt idx="462">
                  <c:v>546</c:v>
                </c:pt>
                <c:pt idx="463">
                  <c:v>510</c:v>
                </c:pt>
                <c:pt idx="464">
                  <c:v>481</c:v>
                </c:pt>
                <c:pt idx="465">
                  <c:v>479</c:v>
                </c:pt>
                <c:pt idx="466">
                  <c:v>466</c:v>
                </c:pt>
                <c:pt idx="467">
                  <c:v>462</c:v>
                </c:pt>
                <c:pt idx="468">
                  <c:v>461</c:v>
                </c:pt>
                <c:pt idx="469">
                  <c:v>434</c:v>
                </c:pt>
                <c:pt idx="470">
                  <c:v>421</c:v>
                </c:pt>
                <c:pt idx="471">
                  <c:v>415</c:v>
                </c:pt>
                <c:pt idx="472">
                  <c:v>431</c:v>
                </c:pt>
                <c:pt idx="473">
                  <c:v>449</c:v>
                </c:pt>
                <c:pt idx="474">
                  <c:v>627</c:v>
                </c:pt>
                <c:pt idx="475">
                  <c:v>695</c:v>
                </c:pt>
                <c:pt idx="476">
                  <c:v>643</c:v>
                </c:pt>
                <c:pt idx="477">
                  <c:v>473</c:v>
                </c:pt>
                <c:pt idx="478">
                  <c:v>518</c:v>
                </c:pt>
                <c:pt idx="479">
                  <c:v>471</c:v>
                </c:pt>
                <c:pt idx="480">
                  <c:v>199</c:v>
                </c:pt>
                <c:pt idx="481">
                  <c:v>495</c:v>
                </c:pt>
                <c:pt idx="482">
                  <c:v>455</c:v>
                </c:pt>
                <c:pt idx="483">
                  <c:v>399</c:v>
                </c:pt>
                <c:pt idx="484">
                  <c:v>352</c:v>
                </c:pt>
                <c:pt idx="485">
                  <c:v>361</c:v>
                </c:pt>
                <c:pt idx="486">
                  <c:v>396</c:v>
                </c:pt>
                <c:pt idx="487">
                  <c:v>420</c:v>
                </c:pt>
                <c:pt idx="488">
                  <c:v>524</c:v>
                </c:pt>
                <c:pt idx="489">
                  <c:v>529</c:v>
                </c:pt>
                <c:pt idx="490">
                  <c:v>516</c:v>
                </c:pt>
                <c:pt idx="491">
                  <c:v>489</c:v>
                </c:pt>
                <c:pt idx="492">
                  <c:v>465</c:v>
                </c:pt>
                <c:pt idx="493">
                  <c:v>420</c:v>
                </c:pt>
                <c:pt idx="494">
                  <c:v>405</c:v>
                </c:pt>
                <c:pt idx="495">
                  <c:v>408</c:v>
                </c:pt>
                <c:pt idx="496">
                  <c:v>435</c:v>
                </c:pt>
                <c:pt idx="497">
                  <c:v>477</c:v>
                </c:pt>
                <c:pt idx="498">
                  <c:v>611</c:v>
                </c:pt>
                <c:pt idx="499">
                  <c:v>307</c:v>
                </c:pt>
                <c:pt idx="500">
                  <c:v>694</c:v>
                </c:pt>
                <c:pt idx="501">
                  <c:v>563</c:v>
                </c:pt>
                <c:pt idx="502">
                  <c:v>213</c:v>
                </c:pt>
                <c:pt idx="503">
                  <c:v>419</c:v>
                </c:pt>
                <c:pt idx="504">
                  <c:v>370</c:v>
                </c:pt>
                <c:pt idx="505">
                  <c:v>463</c:v>
                </c:pt>
                <c:pt idx="506">
                  <c:v>437</c:v>
                </c:pt>
                <c:pt idx="507">
                  <c:v>430</c:v>
                </c:pt>
                <c:pt idx="508">
                  <c:v>384</c:v>
                </c:pt>
                <c:pt idx="509">
                  <c:v>570</c:v>
                </c:pt>
                <c:pt idx="510">
                  <c:v>536</c:v>
                </c:pt>
                <c:pt idx="511">
                  <c:v>459</c:v>
                </c:pt>
                <c:pt idx="512">
                  <c:v>479</c:v>
                </c:pt>
                <c:pt idx="513">
                  <c:v>480</c:v>
                </c:pt>
                <c:pt idx="514">
                  <c:v>466</c:v>
                </c:pt>
                <c:pt idx="515">
                  <c:v>409</c:v>
                </c:pt>
                <c:pt idx="516">
                  <c:v>404</c:v>
                </c:pt>
                <c:pt idx="517">
                  <c:v>390</c:v>
                </c:pt>
                <c:pt idx="518">
                  <c:v>385</c:v>
                </c:pt>
                <c:pt idx="519">
                  <c:v>417</c:v>
                </c:pt>
                <c:pt idx="520">
                  <c:v>428</c:v>
                </c:pt>
                <c:pt idx="521">
                  <c:v>449</c:v>
                </c:pt>
                <c:pt idx="522">
                  <c:v>596</c:v>
                </c:pt>
                <c:pt idx="523">
                  <c:v>682</c:v>
                </c:pt>
                <c:pt idx="524">
                  <c:v>623</c:v>
                </c:pt>
                <c:pt idx="525">
                  <c:v>465</c:v>
                </c:pt>
                <c:pt idx="526">
                  <c:v>528</c:v>
                </c:pt>
                <c:pt idx="527">
                  <c:v>493</c:v>
                </c:pt>
                <c:pt idx="528">
                  <c:v>481</c:v>
                </c:pt>
                <c:pt idx="529">
                  <c:v>452</c:v>
                </c:pt>
                <c:pt idx="530">
                  <c:v>185</c:v>
                </c:pt>
                <c:pt idx="531">
                  <c:v>371</c:v>
                </c:pt>
                <c:pt idx="532">
                  <c:v>467</c:v>
                </c:pt>
                <c:pt idx="533">
                  <c:v>504</c:v>
                </c:pt>
                <c:pt idx="534">
                  <c:v>549</c:v>
                </c:pt>
                <c:pt idx="535">
                  <c:v>494</c:v>
                </c:pt>
                <c:pt idx="536">
                  <c:v>470</c:v>
                </c:pt>
                <c:pt idx="537">
                  <c:v>448</c:v>
                </c:pt>
                <c:pt idx="538">
                  <c:v>444</c:v>
                </c:pt>
                <c:pt idx="539">
                  <c:v>341</c:v>
                </c:pt>
                <c:pt idx="540">
                  <c:v>441</c:v>
                </c:pt>
                <c:pt idx="541">
                  <c:v>430</c:v>
                </c:pt>
                <c:pt idx="542">
                  <c:v>400</c:v>
                </c:pt>
                <c:pt idx="543">
                  <c:v>394</c:v>
                </c:pt>
                <c:pt idx="544">
                  <c:v>404</c:v>
                </c:pt>
                <c:pt idx="545">
                  <c:v>443</c:v>
                </c:pt>
                <c:pt idx="546">
                  <c:v>595</c:v>
                </c:pt>
                <c:pt idx="547">
                  <c:v>648</c:v>
                </c:pt>
                <c:pt idx="548">
                  <c:v>601</c:v>
                </c:pt>
                <c:pt idx="549">
                  <c:v>612</c:v>
                </c:pt>
                <c:pt idx="550">
                  <c:v>575</c:v>
                </c:pt>
                <c:pt idx="551">
                  <c:v>497</c:v>
                </c:pt>
                <c:pt idx="552">
                  <c:v>484</c:v>
                </c:pt>
                <c:pt idx="553">
                  <c:v>479</c:v>
                </c:pt>
                <c:pt idx="554">
                  <c:v>455</c:v>
                </c:pt>
                <c:pt idx="555">
                  <c:v>366</c:v>
                </c:pt>
                <c:pt idx="556">
                  <c:v>350</c:v>
                </c:pt>
                <c:pt idx="557">
                  <c:v>370</c:v>
                </c:pt>
                <c:pt idx="558">
                  <c:v>411</c:v>
                </c:pt>
                <c:pt idx="559">
                  <c:v>527</c:v>
                </c:pt>
                <c:pt idx="560">
                  <c:v>500</c:v>
                </c:pt>
                <c:pt idx="561">
                  <c:v>217</c:v>
                </c:pt>
                <c:pt idx="562">
                  <c:v>213</c:v>
                </c:pt>
                <c:pt idx="563">
                  <c:v>201</c:v>
                </c:pt>
                <c:pt idx="564">
                  <c:v>196</c:v>
                </c:pt>
                <c:pt idx="565">
                  <c:v>189</c:v>
                </c:pt>
                <c:pt idx="566">
                  <c:v>184</c:v>
                </c:pt>
                <c:pt idx="567">
                  <c:v>433</c:v>
                </c:pt>
                <c:pt idx="568">
                  <c:v>434</c:v>
                </c:pt>
                <c:pt idx="569">
                  <c:v>437</c:v>
                </c:pt>
                <c:pt idx="570">
                  <c:v>574</c:v>
                </c:pt>
                <c:pt idx="571">
                  <c:v>705</c:v>
                </c:pt>
                <c:pt idx="572">
                  <c:v>594</c:v>
                </c:pt>
                <c:pt idx="573">
                  <c:v>553</c:v>
                </c:pt>
                <c:pt idx="574">
                  <c:v>543</c:v>
                </c:pt>
                <c:pt idx="575">
                  <c:v>499</c:v>
                </c:pt>
                <c:pt idx="576">
                  <c:v>533</c:v>
                </c:pt>
                <c:pt idx="577">
                  <c:v>511</c:v>
                </c:pt>
                <c:pt idx="578">
                  <c:v>483</c:v>
                </c:pt>
                <c:pt idx="579">
                  <c:v>474</c:v>
                </c:pt>
                <c:pt idx="580">
                  <c:v>450</c:v>
                </c:pt>
                <c:pt idx="581">
                  <c:v>392</c:v>
                </c:pt>
                <c:pt idx="582">
                  <c:v>418</c:v>
                </c:pt>
                <c:pt idx="583">
                  <c:v>460</c:v>
                </c:pt>
                <c:pt idx="584">
                  <c:v>442</c:v>
                </c:pt>
                <c:pt idx="585">
                  <c:v>421</c:v>
                </c:pt>
                <c:pt idx="586">
                  <c:v>443</c:v>
                </c:pt>
                <c:pt idx="587">
                  <c:v>439</c:v>
                </c:pt>
                <c:pt idx="588">
                  <c:v>424</c:v>
                </c:pt>
                <c:pt idx="589">
                  <c:v>417</c:v>
                </c:pt>
                <c:pt idx="590">
                  <c:v>403</c:v>
                </c:pt>
                <c:pt idx="591">
                  <c:v>429</c:v>
                </c:pt>
                <c:pt idx="592">
                  <c:v>445</c:v>
                </c:pt>
                <c:pt idx="593">
                  <c:v>472</c:v>
                </c:pt>
                <c:pt idx="594">
                  <c:v>485</c:v>
                </c:pt>
                <c:pt idx="595">
                  <c:v>550</c:v>
                </c:pt>
                <c:pt idx="596">
                  <c:v>669</c:v>
                </c:pt>
                <c:pt idx="597">
                  <c:v>604</c:v>
                </c:pt>
                <c:pt idx="598">
                  <c:v>544</c:v>
                </c:pt>
                <c:pt idx="599">
                  <c:v>501</c:v>
                </c:pt>
                <c:pt idx="600">
                  <c:v>469</c:v>
                </c:pt>
                <c:pt idx="601">
                  <c:v>460</c:v>
                </c:pt>
                <c:pt idx="602">
                  <c:v>447</c:v>
                </c:pt>
                <c:pt idx="603">
                  <c:v>357</c:v>
                </c:pt>
                <c:pt idx="604">
                  <c:v>280</c:v>
                </c:pt>
                <c:pt idx="605">
                  <c:v>383</c:v>
                </c:pt>
                <c:pt idx="606">
                  <c:v>409</c:v>
                </c:pt>
                <c:pt idx="607">
                  <c:v>382</c:v>
                </c:pt>
                <c:pt idx="608">
                  <c:v>353</c:v>
                </c:pt>
                <c:pt idx="609">
                  <c:v>530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376</c:v>
                </c:pt>
                <c:pt idx="615">
                  <c:v>401</c:v>
                </c:pt>
                <c:pt idx="616">
                  <c:v>398</c:v>
                </c:pt>
                <c:pt idx="617">
                  <c:v>364</c:v>
                </c:pt>
                <c:pt idx="618">
                  <c:v>455</c:v>
                </c:pt>
                <c:pt idx="619">
                  <c:v>536</c:v>
                </c:pt>
                <c:pt idx="620">
                  <c:v>580</c:v>
                </c:pt>
                <c:pt idx="621">
                  <c:v>493</c:v>
                </c:pt>
                <c:pt idx="622">
                  <c:v>523</c:v>
                </c:pt>
                <c:pt idx="623">
                  <c:v>486</c:v>
                </c:pt>
                <c:pt idx="624">
                  <c:v>464</c:v>
                </c:pt>
                <c:pt idx="625">
                  <c:v>451</c:v>
                </c:pt>
                <c:pt idx="626">
                  <c:v>436</c:v>
                </c:pt>
                <c:pt idx="627">
                  <c:v>392</c:v>
                </c:pt>
                <c:pt idx="628">
                  <c:v>401</c:v>
                </c:pt>
                <c:pt idx="629">
                  <c:v>426</c:v>
                </c:pt>
                <c:pt idx="630">
                  <c:v>465</c:v>
                </c:pt>
                <c:pt idx="631">
                  <c:v>469</c:v>
                </c:pt>
                <c:pt idx="632">
                  <c:v>446</c:v>
                </c:pt>
                <c:pt idx="633">
                  <c:v>416</c:v>
                </c:pt>
                <c:pt idx="634">
                  <c:v>408</c:v>
                </c:pt>
                <c:pt idx="635">
                  <c:v>407</c:v>
                </c:pt>
                <c:pt idx="636">
                  <c:v>396</c:v>
                </c:pt>
                <c:pt idx="637">
                  <c:v>384</c:v>
                </c:pt>
                <c:pt idx="638">
                  <c:v>377</c:v>
                </c:pt>
                <c:pt idx="639">
                  <c:v>376</c:v>
                </c:pt>
                <c:pt idx="640">
                  <c:v>384</c:v>
                </c:pt>
                <c:pt idx="641">
                  <c:v>401</c:v>
                </c:pt>
                <c:pt idx="642">
                  <c:v>541</c:v>
                </c:pt>
                <c:pt idx="643">
                  <c:v>610</c:v>
                </c:pt>
                <c:pt idx="644">
                  <c:v>555</c:v>
                </c:pt>
                <c:pt idx="645">
                  <c:v>521</c:v>
                </c:pt>
                <c:pt idx="646">
                  <c:v>499</c:v>
                </c:pt>
                <c:pt idx="647">
                  <c:v>466</c:v>
                </c:pt>
                <c:pt idx="648">
                  <c:v>407</c:v>
                </c:pt>
                <c:pt idx="649">
                  <c:v>399</c:v>
                </c:pt>
                <c:pt idx="650">
                  <c:v>387</c:v>
                </c:pt>
                <c:pt idx="651">
                  <c:v>382</c:v>
                </c:pt>
                <c:pt idx="652">
                  <c:v>379</c:v>
                </c:pt>
                <c:pt idx="653">
                  <c:v>401</c:v>
                </c:pt>
                <c:pt idx="654">
                  <c:v>440</c:v>
                </c:pt>
                <c:pt idx="655">
                  <c:v>495</c:v>
                </c:pt>
                <c:pt idx="656">
                  <c:v>481</c:v>
                </c:pt>
                <c:pt idx="657">
                  <c:v>443</c:v>
                </c:pt>
                <c:pt idx="658">
                  <c:v>428</c:v>
                </c:pt>
                <c:pt idx="659">
                  <c:v>412</c:v>
                </c:pt>
                <c:pt idx="660">
                  <c:v>388</c:v>
                </c:pt>
                <c:pt idx="661">
                  <c:v>371</c:v>
                </c:pt>
                <c:pt idx="662">
                  <c:v>363</c:v>
                </c:pt>
                <c:pt idx="663">
                  <c:v>365</c:v>
                </c:pt>
                <c:pt idx="664">
                  <c:v>379</c:v>
                </c:pt>
                <c:pt idx="665">
                  <c:v>394</c:v>
                </c:pt>
                <c:pt idx="666">
                  <c:v>538</c:v>
                </c:pt>
                <c:pt idx="667">
                  <c:v>601</c:v>
                </c:pt>
                <c:pt idx="668">
                  <c:v>563</c:v>
                </c:pt>
                <c:pt idx="669">
                  <c:v>404</c:v>
                </c:pt>
                <c:pt idx="670">
                  <c:v>378</c:v>
                </c:pt>
                <c:pt idx="671">
                  <c:v>347</c:v>
                </c:pt>
                <c:pt idx="672">
                  <c:v>450</c:v>
                </c:pt>
                <c:pt idx="673">
                  <c:v>434</c:v>
                </c:pt>
                <c:pt idx="674">
                  <c:v>119</c:v>
                </c:pt>
                <c:pt idx="675">
                  <c:v>299</c:v>
                </c:pt>
                <c:pt idx="676">
                  <c:v>275</c:v>
                </c:pt>
                <c:pt idx="677">
                  <c:v>297</c:v>
                </c:pt>
                <c:pt idx="678">
                  <c:v>338</c:v>
                </c:pt>
                <c:pt idx="679">
                  <c:v>286</c:v>
                </c:pt>
                <c:pt idx="680">
                  <c:v>346</c:v>
                </c:pt>
                <c:pt idx="681">
                  <c:v>341</c:v>
                </c:pt>
                <c:pt idx="682">
                  <c:v>330</c:v>
                </c:pt>
                <c:pt idx="683">
                  <c:v>354</c:v>
                </c:pt>
                <c:pt idx="684">
                  <c:v>262</c:v>
                </c:pt>
                <c:pt idx="685">
                  <c:v>357</c:v>
                </c:pt>
                <c:pt idx="686">
                  <c:v>176</c:v>
                </c:pt>
                <c:pt idx="687">
                  <c:v>242</c:v>
                </c:pt>
                <c:pt idx="688">
                  <c:v>375</c:v>
                </c:pt>
                <c:pt idx="689">
                  <c:v>423</c:v>
                </c:pt>
                <c:pt idx="690">
                  <c:v>502</c:v>
                </c:pt>
                <c:pt idx="691">
                  <c:v>559</c:v>
                </c:pt>
                <c:pt idx="692">
                  <c:v>576</c:v>
                </c:pt>
                <c:pt idx="693">
                  <c:v>610</c:v>
                </c:pt>
                <c:pt idx="694">
                  <c:v>565</c:v>
                </c:pt>
                <c:pt idx="695">
                  <c:v>528</c:v>
                </c:pt>
                <c:pt idx="696">
                  <c:v>490</c:v>
                </c:pt>
                <c:pt idx="697">
                  <c:v>479</c:v>
                </c:pt>
                <c:pt idx="698">
                  <c:v>367</c:v>
                </c:pt>
                <c:pt idx="699">
                  <c:v>342</c:v>
                </c:pt>
                <c:pt idx="700">
                  <c:v>340</c:v>
                </c:pt>
                <c:pt idx="701">
                  <c:v>363</c:v>
                </c:pt>
                <c:pt idx="702">
                  <c:v>552</c:v>
                </c:pt>
                <c:pt idx="703">
                  <c:v>523</c:v>
                </c:pt>
                <c:pt idx="704">
                  <c:v>477</c:v>
                </c:pt>
                <c:pt idx="705">
                  <c:v>474</c:v>
                </c:pt>
                <c:pt idx="706">
                  <c:v>485</c:v>
                </c:pt>
                <c:pt idx="707">
                  <c:v>452</c:v>
                </c:pt>
                <c:pt idx="708">
                  <c:v>453</c:v>
                </c:pt>
                <c:pt idx="709">
                  <c:v>431</c:v>
                </c:pt>
                <c:pt idx="710">
                  <c:v>436</c:v>
                </c:pt>
                <c:pt idx="711">
                  <c:v>432</c:v>
                </c:pt>
                <c:pt idx="712">
                  <c:v>446</c:v>
                </c:pt>
                <c:pt idx="713">
                  <c:v>453</c:v>
                </c:pt>
                <c:pt idx="714">
                  <c:v>621</c:v>
                </c:pt>
                <c:pt idx="715">
                  <c:v>724</c:v>
                </c:pt>
                <c:pt idx="716">
                  <c:v>642</c:v>
                </c:pt>
                <c:pt idx="717">
                  <c:v>601</c:v>
                </c:pt>
                <c:pt idx="718">
                  <c:v>564</c:v>
                </c:pt>
                <c:pt idx="719">
                  <c:v>519</c:v>
                </c:pt>
                <c:pt idx="720">
                  <c:v>499</c:v>
                </c:pt>
                <c:pt idx="721">
                  <c:v>474</c:v>
                </c:pt>
                <c:pt idx="722">
                  <c:v>440</c:v>
                </c:pt>
                <c:pt idx="723">
                  <c:v>432</c:v>
                </c:pt>
                <c:pt idx="724">
                  <c:v>445</c:v>
                </c:pt>
                <c:pt idx="725">
                  <c:v>472</c:v>
                </c:pt>
                <c:pt idx="726">
                  <c:v>515</c:v>
                </c:pt>
                <c:pt idx="727">
                  <c:v>476</c:v>
                </c:pt>
                <c:pt idx="728">
                  <c:v>447</c:v>
                </c:pt>
                <c:pt idx="729">
                  <c:v>452</c:v>
                </c:pt>
                <c:pt idx="730">
                  <c:v>479</c:v>
                </c:pt>
                <c:pt idx="731">
                  <c:v>460</c:v>
                </c:pt>
                <c:pt idx="732">
                  <c:v>457</c:v>
                </c:pt>
                <c:pt idx="733">
                  <c:v>436</c:v>
                </c:pt>
                <c:pt idx="734">
                  <c:v>432</c:v>
                </c:pt>
                <c:pt idx="735">
                  <c:v>426</c:v>
                </c:pt>
                <c:pt idx="736">
                  <c:v>452</c:v>
                </c:pt>
                <c:pt idx="737">
                  <c:v>523</c:v>
                </c:pt>
                <c:pt idx="738">
                  <c:v>643</c:v>
                </c:pt>
                <c:pt idx="739">
                  <c:v>686</c:v>
                </c:pt>
                <c:pt idx="740">
                  <c:v>649</c:v>
                </c:pt>
                <c:pt idx="741">
                  <c:v>612</c:v>
                </c:pt>
                <c:pt idx="742">
                  <c:v>561</c:v>
                </c:pt>
                <c:pt idx="743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A36-4766-B8E4-D373790AB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9945647"/>
        <c:axId val="649940847"/>
      </c:lineChart>
      <c:catAx>
        <c:axId val="649945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Day / 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zh-CN"/>
          </a:p>
        </c:txPr>
        <c:crossAx val="649940847"/>
        <c:crosses val="autoZero"/>
        <c:auto val="1"/>
        <c:lblAlgn val="ctr"/>
        <c:lblOffset val="100"/>
        <c:tickLblSkip val="24"/>
        <c:noMultiLvlLbl val="0"/>
      </c:catAx>
      <c:valAx>
        <c:axId val="649940847"/>
        <c:scaling>
          <c:orientation val="minMax"/>
          <c:max val="8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kW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49945647"/>
        <c:crosses val="autoZero"/>
        <c:crossBetween val="between"/>
        <c:majorUnit val="50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18</xdr:row>
      <xdr:rowOff>63500</xdr:rowOff>
    </xdr:from>
    <xdr:to>
      <xdr:col>123</xdr:col>
      <xdr:colOff>254000</xdr:colOff>
      <xdr:row>108</xdr:row>
      <xdr:rowOff>0</xdr:rowOff>
    </xdr:to>
    <xdr:graphicFrame macro="">
      <xdr:nvGraphicFramePr>
        <xdr:cNvPr id="2" name="GeneratedHourlyCurve">
          <a:extLst>
            <a:ext uri="{FF2B5EF4-FFF2-40B4-BE49-F238E27FC236}">
              <a16:creationId xmlns:a16="http://schemas.microsoft.com/office/drawing/2014/main" id="{60A59D4D-A311-73CC-1201-7423F9638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01%20Januari%202024%20Taniwel.xlsx" TargetMode="External"/><Relationship Id="rId1" Type="http://schemas.openxmlformats.org/officeDocument/2006/relationships/externalLinkPath" Target="/MY2026/&#26700;&#38754;/1.%20Daily%20Report%20Januari%202024%20site%20taniwel/Daily%20Report%2001%20Januari%202024%20Taniw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02%20Januari%202024%20Taniwel.xlsx" TargetMode="External"/><Relationship Id="rId1" Type="http://schemas.openxmlformats.org/officeDocument/2006/relationships/externalLinkPath" Target="/MY2026/&#26700;&#38754;/1.%20Daily%20Report%20Januari%202024%20site%20taniwel/Daily%20Report%2002%20Januari%202024%20Taniwe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03%20Januari%202024%20Taniwel.xlsx" TargetMode="External"/><Relationship Id="rId1" Type="http://schemas.openxmlformats.org/officeDocument/2006/relationships/externalLinkPath" Target="/MY2026/&#26700;&#38754;/1.%20Daily%20Report%20Januari%202024%20site%20taniwel/Daily%20Report%2003%20Januari%202024%20Taniwel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04%20Januari%202024%20Taniwel.xlsx" TargetMode="External"/><Relationship Id="rId1" Type="http://schemas.openxmlformats.org/officeDocument/2006/relationships/externalLinkPath" Target="/MY2026/&#26700;&#38754;/1.%20Daily%20Report%20Januari%202024%20site%20taniwel/Daily%20Report%2004%20Januari%202024%20Taniwe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05%20Januari%202024%20Taniwel.xlsx" TargetMode="External"/><Relationship Id="rId1" Type="http://schemas.openxmlformats.org/officeDocument/2006/relationships/externalLinkPath" Target="/MY2026/&#26700;&#38754;/1.%20Daily%20Report%20Januari%202024%20site%20taniwel/Daily%20Report%2005%20Januari%202024%20Taniwel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06%20Januari%202024%20Taniwel.xlsx" TargetMode="External"/><Relationship Id="rId1" Type="http://schemas.openxmlformats.org/officeDocument/2006/relationships/externalLinkPath" Target="/MY2026/&#26700;&#38754;/1.%20Daily%20Report%20Januari%202024%20site%20taniwel/Daily%20Report%2006%20Januari%202024%20Taniwel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07%20Januari%202024%20Taniwel.xlsx" TargetMode="External"/><Relationship Id="rId1" Type="http://schemas.openxmlformats.org/officeDocument/2006/relationships/externalLinkPath" Target="/MY2026/&#26700;&#38754;/1.%20Daily%20Report%20Januari%202024%20site%20taniwel/Daily%20Report%2007%20Januari%202024%20Taniwel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08%20Januari%202024%20Taniwel.xlsx" TargetMode="External"/><Relationship Id="rId1" Type="http://schemas.openxmlformats.org/officeDocument/2006/relationships/externalLinkPath" Target="/MY2026/&#26700;&#38754;/1.%20Daily%20Report%20Januari%202024%20site%20taniwel/Daily%20Report%2008%20Januari%202024%20Taniwel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09%20Januari%202024%20Taniwel.xlsx" TargetMode="External"/><Relationship Id="rId1" Type="http://schemas.openxmlformats.org/officeDocument/2006/relationships/externalLinkPath" Target="/MY2026/&#26700;&#38754;/1.%20Daily%20Report%20Januari%202024%20site%20taniwel/Daily%20Report%2009%20Januari%202024%20Taniwel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10%20Januari%202024%20Taniwel.xlsx" TargetMode="External"/><Relationship Id="rId1" Type="http://schemas.openxmlformats.org/officeDocument/2006/relationships/externalLinkPath" Target="/MY2026/&#26700;&#38754;/1.%20Daily%20Report%20Januari%202024%20site%20taniwel/Daily%20Report%2010%20Januari%202024%20Taniwel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11%20Januari%202024%20Taniwel.xlsx" TargetMode="External"/><Relationship Id="rId1" Type="http://schemas.openxmlformats.org/officeDocument/2006/relationships/externalLinkPath" Target="/MY2026/&#26700;&#38754;/1.%20Daily%20Report%20Januari%202024%20site%20taniwel/Daily%20Report%2011%20Januari%202024%20Taniwel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12%20Januari%202024%20Taniwel.xlsx" TargetMode="External"/><Relationship Id="rId1" Type="http://schemas.openxmlformats.org/officeDocument/2006/relationships/externalLinkPath" Target="/MY2026/&#26700;&#38754;/1.%20Daily%20Report%20Januari%202024%20site%20taniwel/Daily%20Report%2012%20Januari%202024%20Taniwel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13%20Januari%202024%20Taniwel.xlsx" TargetMode="External"/><Relationship Id="rId1" Type="http://schemas.openxmlformats.org/officeDocument/2006/relationships/externalLinkPath" Target="/MY2026/&#26700;&#38754;/1.%20Daily%20Report%20Januari%202024%20site%20taniwel/Daily%20Report%2013%20Januari%202024%20Taniwel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14%20Januari%202024%20Taniwel.xlsx" TargetMode="External"/><Relationship Id="rId1" Type="http://schemas.openxmlformats.org/officeDocument/2006/relationships/externalLinkPath" Target="/MY2026/&#26700;&#38754;/1.%20Daily%20Report%20Januari%202024%20site%20taniwel/Daily%20Report%2014%20Januari%202024%20Taniwel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15%20Januari%202024%20Taniwel.xlsx" TargetMode="External"/><Relationship Id="rId1" Type="http://schemas.openxmlformats.org/officeDocument/2006/relationships/externalLinkPath" Target="/MY2026/&#26700;&#38754;/1.%20Daily%20Report%20Januari%202024%20site%20taniwel/Daily%20Report%2015%20Januari%202024%20Taniwel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16%20Januari%202024%20Taniwel.xlsx" TargetMode="External"/><Relationship Id="rId1" Type="http://schemas.openxmlformats.org/officeDocument/2006/relationships/externalLinkPath" Target="/MY2026/&#26700;&#38754;/1.%20Daily%20Report%20Januari%202024%20site%20taniwel/Daily%20Report%2016%20Januari%202024%20Taniwel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17%20Januari%202024%20Taniwel.xlsx" TargetMode="External"/><Relationship Id="rId1" Type="http://schemas.openxmlformats.org/officeDocument/2006/relationships/externalLinkPath" Target="/MY2026/&#26700;&#38754;/1.%20Daily%20Report%20Januari%202024%20site%20taniwel/Daily%20Report%2017%20Januari%202024%20Taniwel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18%20Januari%202024%20Taniwel.xlsx" TargetMode="External"/><Relationship Id="rId1" Type="http://schemas.openxmlformats.org/officeDocument/2006/relationships/externalLinkPath" Target="/MY2026/&#26700;&#38754;/1.%20Daily%20Report%20Januari%202024%20site%20taniwel/Daily%20Report%2018%20Januari%202024%20Taniwel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19%20Januari%202024%20Taniwel.xlsx" TargetMode="External"/><Relationship Id="rId1" Type="http://schemas.openxmlformats.org/officeDocument/2006/relationships/externalLinkPath" Target="/MY2026/&#26700;&#38754;/1.%20Daily%20Report%20Januari%202024%20site%20taniwel/Daily%20Report%2019%20Januari%202024%20Taniwel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20%20Januari%202024%20Taniwel.xlsx" TargetMode="External"/><Relationship Id="rId1" Type="http://schemas.openxmlformats.org/officeDocument/2006/relationships/externalLinkPath" Target="/MY2026/&#26700;&#38754;/1.%20Daily%20Report%20Januari%202024%20site%20taniwel/Daily%20Report%2020%20Januari%202024%20Taniwel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21%20Januari%202024%20Taniwel.xlsx" TargetMode="External"/><Relationship Id="rId1" Type="http://schemas.openxmlformats.org/officeDocument/2006/relationships/externalLinkPath" Target="/MY2026/&#26700;&#38754;/1.%20Daily%20Report%20Januari%202024%20site%20taniwel/Daily%20Report%2021%20Januari%202024%20Taniwel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22%20Januari%202024%20Taniwel.xlsx" TargetMode="External"/><Relationship Id="rId1" Type="http://schemas.openxmlformats.org/officeDocument/2006/relationships/externalLinkPath" Target="/MY2026/&#26700;&#38754;/1.%20Daily%20Report%20Januari%202024%20site%20taniwel/Daily%20Report%2022%20Januari%202024%20Taniwel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23%20Januari%202024%20Taniwel.xlsx" TargetMode="External"/><Relationship Id="rId1" Type="http://schemas.openxmlformats.org/officeDocument/2006/relationships/externalLinkPath" Target="/MY2026/&#26700;&#38754;/1.%20Daily%20Report%20Januari%202024%20site%20taniwel/Daily%20Report%2023%20Januari%202024%20Taniwel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24%20Januari%202024%20Taniwel.xlsx" TargetMode="External"/><Relationship Id="rId1" Type="http://schemas.openxmlformats.org/officeDocument/2006/relationships/externalLinkPath" Target="/MY2026/&#26700;&#38754;/1.%20Daily%20Report%20Januari%202024%20site%20taniwel/Daily%20Report%2024%20Januari%202024%20Taniwel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25%20Januari%202024%20Taniwel.xlsx" TargetMode="External"/><Relationship Id="rId1" Type="http://schemas.openxmlformats.org/officeDocument/2006/relationships/externalLinkPath" Target="/MY2026/&#26700;&#38754;/1.%20Daily%20Report%20Januari%202024%20site%20taniwel/Daily%20Report%2025%20Januari%202024%20Taniwel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26%20Januari%202024%20Taniwel.xlsx" TargetMode="External"/><Relationship Id="rId1" Type="http://schemas.openxmlformats.org/officeDocument/2006/relationships/externalLinkPath" Target="/MY2026/&#26700;&#38754;/1.%20Daily%20Report%20Januari%202024%20site%20taniwel/Daily%20Report%2026%20Januari%202024%20Taniwel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27%20Januari%202024%20Taniwel.xlsx" TargetMode="External"/><Relationship Id="rId1" Type="http://schemas.openxmlformats.org/officeDocument/2006/relationships/externalLinkPath" Target="/MY2026/&#26700;&#38754;/1.%20Daily%20Report%20Januari%202024%20site%20taniwel/Daily%20Report%2027%20Januari%202024%20Taniwel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28%20Januari%202024%20Taniwel.xlsx" TargetMode="External"/><Relationship Id="rId1" Type="http://schemas.openxmlformats.org/officeDocument/2006/relationships/externalLinkPath" Target="/MY2026/&#26700;&#38754;/1.%20Daily%20Report%20Januari%202024%20site%20taniwel/Daily%20Report%2028%20Januari%202024%20Taniwel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29%20Januari%202024%20Taniwel.xlsx" TargetMode="External"/><Relationship Id="rId1" Type="http://schemas.openxmlformats.org/officeDocument/2006/relationships/externalLinkPath" Target="/MY2026/&#26700;&#38754;/1.%20Daily%20Report%20Januari%202024%20site%20taniwel/Daily%20Report%2029%20Januari%202024%20Taniwel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30%20Januari%202024%20Taniwel.xlsx" TargetMode="External"/><Relationship Id="rId1" Type="http://schemas.openxmlformats.org/officeDocument/2006/relationships/externalLinkPath" Target="/MY2026/&#26700;&#38754;/1.%20Daily%20Report%20Januari%202024%20site%20taniwel/Daily%20Report%2030%20Januari%202024%20Taniwel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2026/&#26700;&#38754;/1.%20Daily%20Report%20Januari%202024%20site%20taniwel/Daily%20Report%2031%20Januari%202024%20Taniwel.xlsx" TargetMode="External"/><Relationship Id="rId1" Type="http://schemas.openxmlformats.org/officeDocument/2006/relationships/externalLinkPath" Target="/MY2026/&#26700;&#38754;/1.%20Daily%20Report%20Januari%202024%20site%20taniwel/Daily%20Report%2031%20Januari%202024%20Taniw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45292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45293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45294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45295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45296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45297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45298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45299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45307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45308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45309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LAPORAN HARIAN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LAPORAN HARIAN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LAPORAN HARIAN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LAPORAN HARIAN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LAPORAN HARIAN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45317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LAPORAN HARIAN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LAPORAN HARIAN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45319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LAPORAN HARIAN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LAPORAN HARIAN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45321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niwel daily"/>
      <sheetName val="kWhr Tracker"/>
      <sheetName val="SFC Tracker"/>
      <sheetName val="kWh Meter Engine "/>
      <sheetName val="LAPORAN HARIAN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45322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G795"/>
  <sheetViews>
    <sheetView tabSelected="1" zoomScale="10" zoomScaleNormal="10" workbookViewId="0">
      <pane ySplit="7" topLeftCell="A10" activePane="bottomLeft" state="frozen"/>
      <selection pane="bottomLeft" activeCell="BD142" sqref="BD142:BE142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13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  <col min="31" max="33" width="10.5820312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'[1]Taniwel daily'!C4</f>
        <v>45292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305</v>
      </c>
      <c r="E8" s="134"/>
      <c r="F8" s="133">
        <v>303</v>
      </c>
      <c r="G8" s="134"/>
      <c r="H8" s="20">
        <f t="shared" ref="H8:H31" si="0">IF(SUM(B8:G8)/1000=0,"0",SUM(B8:G8))</f>
        <v>608</v>
      </c>
      <c r="I8" s="21">
        <f t="shared" ref="I8:I31" si="1">IFERROR(AVERAGE(B8:G8),"0")</f>
        <v>304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153.47</v>
      </c>
      <c r="N8" s="26">
        <f>(M9-M8)*12000</f>
        <v>479.99999999990501</v>
      </c>
      <c r="O8" s="27"/>
      <c r="P8" s="28"/>
      <c r="Q8" s="29"/>
      <c r="R8" s="29"/>
      <c r="S8" s="108"/>
      <c r="T8" s="108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264</v>
      </c>
      <c r="E9" s="134"/>
      <c r="F9" s="133">
        <v>282</v>
      </c>
      <c r="G9" s="134"/>
      <c r="H9" s="20">
        <f t="shared" si="0"/>
        <v>546</v>
      </c>
      <c r="I9" s="21">
        <f t="shared" si="1"/>
        <v>273</v>
      </c>
      <c r="J9" s="22">
        <f t="shared" si="2"/>
        <v>2</v>
      </c>
      <c r="K9" s="23">
        <v>8.3333333333333301E-2</v>
      </c>
      <c r="L9" s="24">
        <v>4200</v>
      </c>
      <c r="M9" s="31">
        <v>153.51</v>
      </c>
      <c r="N9" s="26">
        <f t="shared" ref="N9:N30" si="3">(M10-M9)*12000</f>
        <v>600.00000000013597</v>
      </c>
      <c r="O9" s="32"/>
      <c r="P9" s="28"/>
      <c r="Q9" s="29"/>
      <c r="R9" s="29"/>
      <c r="S9" s="108"/>
      <c r="T9" s="108"/>
      <c r="U9" s="30"/>
      <c r="V9" s="2"/>
      <c r="W9" s="2"/>
    </row>
    <row r="10" spans="1:29" s="3" customFormat="1" ht="15" customHeight="1">
      <c r="A10" s="19">
        <v>0.125</v>
      </c>
      <c r="B10" s="133" t="s">
        <v>11</v>
      </c>
      <c r="C10" s="134"/>
      <c r="D10" s="133">
        <v>260</v>
      </c>
      <c r="E10" s="134"/>
      <c r="F10" s="133">
        <v>267</v>
      </c>
      <c r="G10" s="134"/>
      <c r="H10" s="20">
        <f t="shared" si="0"/>
        <v>527</v>
      </c>
      <c r="I10" s="21">
        <f t="shared" si="1"/>
        <v>263.5</v>
      </c>
      <c r="J10" s="22">
        <f t="shared" si="2"/>
        <v>2</v>
      </c>
      <c r="K10" s="23">
        <v>0.125</v>
      </c>
      <c r="L10" s="24">
        <v>4200</v>
      </c>
      <c r="M10" s="31">
        <v>153.56</v>
      </c>
      <c r="N10" s="26">
        <f t="shared" si="3"/>
        <v>600.00000000013597</v>
      </c>
      <c r="O10" s="33"/>
      <c r="P10" s="28"/>
      <c r="Q10" s="29"/>
      <c r="R10" s="29"/>
      <c r="S10" s="108"/>
      <c r="T10" s="108"/>
      <c r="U10" s="30"/>
      <c r="V10" s="2"/>
      <c r="W10" s="2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257</v>
      </c>
      <c r="E11" s="134"/>
      <c r="F11" s="133">
        <v>266</v>
      </c>
      <c r="G11" s="134"/>
      <c r="H11" s="20">
        <f t="shared" si="0"/>
        <v>523</v>
      </c>
      <c r="I11" s="21">
        <f t="shared" si="1"/>
        <v>261.5</v>
      </c>
      <c r="J11" s="22">
        <f t="shared" si="2"/>
        <v>2</v>
      </c>
      <c r="K11" s="23">
        <v>0.16666666666666699</v>
      </c>
      <c r="L11" s="24">
        <v>4000</v>
      </c>
      <c r="M11" s="31">
        <v>153.61000000000001</v>
      </c>
      <c r="N11" s="26">
        <f t="shared" si="3"/>
        <v>599.99999999979502</v>
      </c>
      <c r="O11" s="33"/>
      <c r="P11" s="28"/>
      <c r="Q11" s="29"/>
      <c r="R11" s="29"/>
      <c r="S11" s="108"/>
      <c r="T11" s="108"/>
      <c r="U11" s="30"/>
      <c r="V11" s="2"/>
      <c r="W11" s="2"/>
    </row>
    <row r="12" spans="1:29" s="3" customFormat="1" ht="15" customHeight="1">
      <c r="A12" s="19">
        <v>0.20833333333333301</v>
      </c>
      <c r="B12" s="133" t="s">
        <v>11</v>
      </c>
      <c r="C12" s="134"/>
      <c r="D12" s="133">
        <v>268</v>
      </c>
      <c r="E12" s="134"/>
      <c r="F12" s="133">
        <v>285</v>
      </c>
      <c r="G12" s="134"/>
      <c r="H12" s="20">
        <f t="shared" si="0"/>
        <v>553</v>
      </c>
      <c r="I12" s="21">
        <f t="shared" si="1"/>
        <v>276.5</v>
      </c>
      <c r="J12" s="22">
        <f t="shared" si="2"/>
        <v>2</v>
      </c>
      <c r="K12" s="23">
        <v>0.20833333333333301</v>
      </c>
      <c r="L12" s="24">
        <v>3900</v>
      </c>
      <c r="M12" s="31">
        <v>153.66</v>
      </c>
      <c r="N12" s="26">
        <f t="shared" si="3"/>
        <v>600.00000000013597</v>
      </c>
      <c r="O12" s="33"/>
      <c r="P12" s="28"/>
      <c r="Q12" s="29"/>
      <c r="R12" s="29"/>
      <c r="S12" s="108"/>
      <c r="T12" s="108"/>
      <c r="U12" s="30"/>
      <c r="V12" s="2"/>
      <c r="W12" s="2"/>
    </row>
    <row r="13" spans="1:29" s="3" customFormat="1" ht="15" customHeight="1">
      <c r="A13" s="19">
        <v>0.25</v>
      </c>
      <c r="B13" s="133" t="s">
        <v>11</v>
      </c>
      <c r="C13" s="134"/>
      <c r="D13" s="133">
        <v>270</v>
      </c>
      <c r="E13" s="134"/>
      <c r="F13" s="133">
        <v>286</v>
      </c>
      <c r="G13" s="134"/>
      <c r="H13" s="20">
        <f t="shared" si="0"/>
        <v>556</v>
      </c>
      <c r="I13" s="21">
        <f t="shared" si="1"/>
        <v>278</v>
      </c>
      <c r="J13" s="22">
        <f t="shared" si="2"/>
        <v>2</v>
      </c>
      <c r="K13" s="23">
        <v>0.25</v>
      </c>
      <c r="L13" s="24">
        <v>3600</v>
      </c>
      <c r="M13" s="31">
        <v>153.71</v>
      </c>
      <c r="N13" s="26">
        <f t="shared" si="3"/>
        <v>599.99999999979502</v>
      </c>
      <c r="O13" s="33"/>
      <c r="P13" s="28"/>
      <c r="Q13" s="29"/>
      <c r="R13" s="29"/>
      <c r="S13" s="108"/>
      <c r="T13" s="108"/>
      <c r="U13" s="30"/>
      <c r="V13" s="2"/>
      <c r="W13" s="2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281</v>
      </c>
      <c r="E14" s="134"/>
      <c r="F14" s="133">
        <v>276</v>
      </c>
      <c r="G14" s="134"/>
      <c r="H14" s="20">
        <f t="shared" si="0"/>
        <v>557</v>
      </c>
      <c r="I14" s="21">
        <f t="shared" si="1"/>
        <v>278.5</v>
      </c>
      <c r="J14" s="22">
        <f t="shared" si="2"/>
        <v>2</v>
      </c>
      <c r="K14" s="23">
        <v>0.29166666666666702</v>
      </c>
      <c r="L14" s="24">
        <v>3600</v>
      </c>
      <c r="M14" s="31">
        <v>153.76</v>
      </c>
      <c r="N14" s="26">
        <f t="shared" si="3"/>
        <v>600.00000000013597</v>
      </c>
      <c r="O14" s="33"/>
      <c r="P14" s="28"/>
      <c r="Q14" s="29"/>
      <c r="R14" s="29"/>
      <c r="S14" s="108"/>
      <c r="T14" s="108"/>
      <c r="U14" s="30"/>
      <c r="V14" s="2"/>
      <c r="W14" s="2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290</v>
      </c>
      <c r="E15" s="134"/>
      <c r="F15" s="133">
        <v>263</v>
      </c>
      <c r="G15" s="134"/>
      <c r="H15" s="20">
        <f t="shared" si="0"/>
        <v>553</v>
      </c>
      <c r="I15" s="21">
        <f t="shared" si="1"/>
        <v>276.5</v>
      </c>
      <c r="J15" s="22">
        <f t="shared" si="2"/>
        <v>2</v>
      </c>
      <c r="K15" s="23">
        <v>0.33333333333333298</v>
      </c>
      <c r="L15" s="24">
        <v>3600</v>
      </c>
      <c r="M15" s="31">
        <v>153.81</v>
      </c>
      <c r="N15" s="26">
        <f t="shared" si="3"/>
        <v>600.00000000013597</v>
      </c>
      <c r="O15" s="33"/>
      <c r="P15" s="28"/>
      <c r="Q15" s="29"/>
      <c r="R15" s="29"/>
      <c r="S15" s="108"/>
      <c r="T15" s="108"/>
      <c r="U15" s="30"/>
      <c r="V15" s="2"/>
      <c r="W15" s="2"/>
    </row>
    <row r="16" spans="1:29" s="3" customFormat="1" ht="15" customHeight="1">
      <c r="A16" s="19">
        <v>0.375</v>
      </c>
      <c r="B16" s="133" t="s">
        <v>11</v>
      </c>
      <c r="C16" s="134"/>
      <c r="D16" s="133">
        <v>263</v>
      </c>
      <c r="E16" s="134"/>
      <c r="F16" s="133">
        <v>269</v>
      </c>
      <c r="G16" s="134"/>
      <c r="H16" s="20">
        <f t="shared" si="0"/>
        <v>532</v>
      </c>
      <c r="I16" s="21">
        <f t="shared" si="1"/>
        <v>266</v>
      </c>
      <c r="J16" s="22">
        <f t="shared" si="2"/>
        <v>2</v>
      </c>
      <c r="K16" s="23">
        <v>0.375</v>
      </c>
      <c r="L16" s="24">
        <v>3600</v>
      </c>
      <c r="M16" s="31">
        <v>153.86000000000001</v>
      </c>
      <c r="N16" s="26">
        <f t="shared" si="3"/>
        <v>599.99999999979502</v>
      </c>
      <c r="O16" s="33"/>
      <c r="P16" s="28"/>
      <c r="Q16" s="29"/>
      <c r="R16" s="29"/>
      <c r="S16" s="108"/>
      <c r="T16" s="108"/>
      <c r="U16" s="30"/>
      <c r="V16" s="2"/>
      <c r="W16" s="2"/>
    </row>
    <row r="17" spans="1:23" s="3" customFormat="1" ht="15" customHeight="1">
      <c r="A17" s="19">
        <v>0.41666666666666702</v>
      </c>
      <c r="B17" s="133" t="s">
        <v>11</v>
      </c>
      <c r="C17" s="134"/>
      <c r="D17" s="133">
        <v>254</v>
      </c>
      <c r="E17" s="134"/>
      <c r="F17" s="133">
        <v>230</v>
      </c>
      <c r="G17" s="134"/>
      <c r="H17" s="20">
        <f t="shared" si="0"/>
        <v>484</v>
      </c>
      <c r="I17" s="21">
        <f t="shared" si="1"/>
        <v>242</v>
      </c>
      <c r="J17" s="22">
        <f t="shared" si="2"/>
        <v>2</v>
      </c>
      <c r="K17" s="23">
        <v>0.41666666666666602</v>
      </c>
      <c r="L17" s="24">
        <v>3400</v>
      </c>
      <c r="M17" s="31">
        <v>153.91</v>
      </c>
      <c r="N17" s="26">
        <f t="shared" si="3"/>
        <v>479.99999999990501</v>
      </c>
      <c r="O17" s="33"/>
      <c r="P17" s="28"/>
      <c r="Q17" s="29"/>
      <c r="R17" s="29"/>
      <c r="S17" s="108"/>
      <c r="T17" s="108"/>
      <c r="U17" s="30"/>
      <c r="V17" s="2"/>
      <c r="W17" s="2"/>
    </row>
    <row r="18" spans="1:23" s="3" customFormat="1" ht="15" customHeight="1">
      <c r="A18" s="19">
        <v>0.45833333333333298</v>
      </c>
      <c r="B18" s="133" t="s">
        <v>11</v>
      </c>
      <c r="C18" s="134"/>
      <c r="D18" s="133">
        <v>257</v>
      </c>
      <c r="E18" s="134"/>
      <c r="F18" s="133">
        <v>228</v>
      </c>
      <c r="G18" s="134"/>
      <c r="H18" s="20">
        <f t="shared" si="0"/>
        <v>485</v>
      </c>
      <c r="I18" s="21">
        <f t="shared" si="1"/>
        <v>242.5</v>
      </c>
      <c r="J18" s="22">
        <f t="shared" si="2"/>
        <v>2</v>
      </c>
      <c r="K18" s="23">
        <v>0.45833333333333298</v>
      </c>
      <c r="L18" s="24">
        <v>3300</v>
      </c>
      <c r="M18" s="31">
        <v>153.94999999999999</v>
      </c>
      <c r="N18" s="26">
        <f t="shared" si="3"/>
        <v>600.00000000013597</v>
      </c>
      <c r="O18" s="33"/>
      <c r="P18" s="28"/>
      <c r="Q18" s="29"/>
      <c r="R18" s="29"/>
      <c r="S18" s="108"/>
      <c r="T18" s="108"/>
      <c r="U18" s="30"/>
      <c r="V18" s="2"/>
      <c r="W18" s="2"/>
    </row>
    <row r="19" spans="1:23" s="3" customFormat="1" ht="15" customHeight="1">
      <c r="A19" s="19">
        <v>0.5</v>
      </c>
      <c r="B19" s="133" t="s">
        <v>11</v>
      </c>
      <c r="C19" s="134"/>
      <c r="D19" s="133">
        <v>258</v>
      </c>
      <c r="E19" s="134"/>
      <c r="F19" s="133">
        <v>242</v>
      </c>
      <c r="G19" s="134"/>
      <c r="H19" s="20">
        <f t="shared" si="0"/>
        <v>500</v>
      </c>
      <c r="I19" s="21">
        <f t="shared" si="1"/>
        <v>250</v>
      </c>
      <c r="J19" s="22">
        <f t="shared" si="2"/>
        <v>2</v>
      </c>
      <c r="K19" s="23">
        <v>0.5</v>
      </c>
      <c r="L19" s="24">
        <v>3300</v>
      </c>
      <c r="M19" s="31">
        <v>154</v>
      </c>
      <c r="N19" s="26">
        <f t="shared" si="3"/>
        <v>600.00000000013597</v>
      </c>
      <c r="O19" s="33"/>
      <c r="P19" s="28"/>
      <c r="Q19" s="29"/>
      <c r="R19" s="29"/>
      <c r="S19" s="108"/>
      <c r="T19" s="108"/>
      <c r="U19" s="30"/>
      <c r="V19" s="2"/>
      <c r="W19" s="2"/>
    </row>
    <row r="20" spans="1:23" s="3" customFormat="1" ht="15" customHeight="1">
      <c r="A20" s="19">
        <v>0.54166666666666696</v>
      </c>
      <c r="B20" s="133" t="s">
        <v>11</v>
      </c>
      <c r="C20" s="134"/>
      <c r="D20" s="133">
        <v>258</v>
      </c>
      <c r="E20" s="134"/>
      <c r="F20" s="133">
        <v>240</v>
      </c>
      <c r="G20" s="134"/>
      <c r="H20" s="20">
        <f t="shared" si="0"/>
        <v>498</v>
      </c>
      <c r="I20" s="21">
        <f t="shared" si="1"/>
        <v>249</v>
      </c>
      <c r="J20" s="22">
        <f t="shared" si="2"/>
        <v>2</v>
      </c>
      <c r="K20" s="23">
        <v>0.54166666666666696</v>
      </c>
      <c r="L20" s="24">
        <v>3000</v>
      </c>
      <c r="M20" s="31">
        <v>154.05000000000001</v>
      </c>
      <c r="N20" s="26">
        <f t="shared" si="3"/>
        <v>479.99999999990501</v>
      </c>
      <c r="O20" s="33"/>
      <c r="P20" s="28"/>
      <c r="Q20" s="29"/>
      <c r="R20" s="29"/>
      <c r="S20" s="108"/>
      <c r="T20" s="108"/>
      <c r="U20" s="30"/>
      <c r="V20" s="2"/>
      <c r="W20" s="2"/>
    </row>
    <row r="21" spans="1:23" s="3" customFormat="1" ht="15" customHeight="1">
      <c r="A21" s="19">
        <v>0.58333333333333304</v>
      </c>
      <c r="B21" s="133" t="s">
        <v>11</v>
      </c>
      <c r="C21" s="134"/>
      <c r="D21" s="133">
        <v>235</v>
      </c>
      <c r="E21" s="134"/>
      <c r="F21" s="133">
        <v>254</v>
      </c>
      <c r="G21" s="134"/>
      <c r="H21" s="20">
        <f t="shared" si="0"/>
        <v>489</v>
      </c>
      <c r="I21" s="21">
        <f t="shared" si="1"/>
        <v>244.5</v>
      </c>
      <c r="J21" s="22">
        <f t="shared" si="2"/>
        <v>2</v>
      </c>
      <c r="K21" s="23">
        <v>0.58333333333333304</v>
      </c>
      <c r="L21" s="24">
        <v>3000</v>
      </c>
      <c r="M21" s="31">
        <v>154.09</v>
      </c>
      <c r="N21" s="26">
        <f t="shared" si="3"/>
        <v>599.99999999979502</v>
      </c>
      <c r="O21" s="33"/>
      <c r="P21" s="28"/>
      <c r="Q21" s="29"/>
      <c r="R21" s="29"/>
      <c r="S21" s="108"/>
      <c r="T21" s="108"/>
      <c r="U21" s="30"/>
      <c r="V21" s="2"/>
      <c r="W21" s="2"/>
    </row>
    <row r="22" spans="1:23" s="3" customFormat="1" ht="15" customHeight="1">
      <c r="A22" s="19">
        <v>0.625</v>
      </c>
      <c r="B22" s="133" t="s">
        <v>11</v>
      </c>
      <c r="C22" s="134"/>
      <c r="D22" s="133">
        <v>239</v>
      </c>
      <c r="E22" s="134"/>
      <c r="F22" s="133">
        <v>245</v>
      </c>
      <c r="G22" s="134"/>
      <c r="H22" s="20">
        <f t="shared" si="0"/>
        <v>484</v>
      </c>
      <c r="I22" s="21">
        <f t="shared" si="1"/>
        <v>242</v>
      </c>
      <c r="J22" s="22">
        <f t="shared" si="2"/>
        <v>2</v>
      </c>
      <c r="K22" s="23">
        <v>0.625</v>
      </c>
      <c r="L22" s="24">
        <v>3000</v>
      </c>
      <c r="M22" s="31">
        <v>154.13999999999999</v>
      </c>
      <c r="N22" s="26">
        <f t="shared" si="3"/>
        <v>600.00000000013597</v>
      </c>
      <c r="O22" s="33"/>
      <c r="P22" s="28"/>
      <c r="Q22" s="29"/>
      <c r="R22" s="29"/>
      <c r="S22" s="108"/>
      <c r="T22" s="108"/>
      <c r="U22" s="30"/>
      <c r="V22" s="2"/>
      <c r="W22" s="2"/>
    </row>
    <row r="23" spans="1:23" s="3" customFormat="1" ht="15" customHeight="1">
      <c r="A23" s="19">
        <v>0.66666666666666696</v>
      </c>
      <c r="B23" s="133" t="s">
        <v>11</v>
      </c>
      <c r="C23" s="134"/>
      <c r="D23" s="133">
        <v>234</v>
      </c>
      <c r="E23" s="134"/>
      <c r="F23" s="133">
        <v>269</v>
      </c>
      <c r="G23" s="134"/>
      <c r="H23" s="20">
        <f t="shared" si="0"/>
        <v>503</v>
      </c>
      <c r="I23" s="21">
        <f t="shared" si="1"/>
        <v>251.5</v>
      </c>
      <c r="J23" s="22">
        <f t="shared" si="2"/>
        <v>2</v>
      </c>
      <c r="K23" s="23">
        <v>0.66666666666666596</v>
      </c>
      <c r="L23" s="24">
        <v>3000</v>
      </c>
      <c r="M23" s="31">
        <v>154.19</v>
      </c>
      <c r="N23" s="26">
        <f t="shared" si="3"/>
        <v>600.00000000013597</v>
      </c>
      <c r="O23" s="33"/>
      <c r="P23" s="28"/>
      <c r="Q23" s="29"/>
      <c r="R23" s="29"/>
      <c r="S23" s="108"/>
      <c r="T23" s="108"/>
      <c r="U23" s="30"/>
      <c r="V23" s="2"/>
      <c r="W23" s="2"/>
    </row>
    <row r="24" spans="1:23" s="3" customFormat="1" ht="15" customHeight="1">
      <c r="A24" s="19">
        <v>0.70833333333333404</v>
      </c>
      <c r="B24" s="133" t="s">
        <v>11</v>
      </c>
      <c r="C24" s="134"/>
      <c r="D24" s="133">
        <v>267</v>
      </c>
      <c r="E24" s="134"/>
      <c r="F24" s="133">
        <v>266</v>
      </c>
      <c r="G24" s="134"/>
      <c r="H24" s="20">
        <f t="shared" si="0"/>
        <v>533</v>
      </c>
      <c r="I24" s="21">
        <f t="shared" si="1"/>
        <v>266.5</v>
      </c>
      <c r="J24" s="22">
        <f t="shared" si="2"/>
        <v>2</v>
      </c>
      <c r="K24" s="23">
        <v>0.70833333333333304</v>
      </c>
      <c r="L24" s="24">
        <v>2700</v>
      </c>
      <c r="M24" s="31">
        <v>154.24</v>
      </c>
      <c r="N24" s="26">
        <f t="shared" si="3"/>
        <v>599.99999999979502</v>
      </c>
      <c r="O24" s="33"/>
      <c r="P24" s="28"/>
      <c r="Q24" s="29"/>
      <c r="R24" s="29"/>
      <c r="S24" s="108"/>
      <c r="T24" s="108"/>
      <c r="U24" s="30"/>
      <c r="V24" s="2"/>
      <c r="W24" s="2"/>
    </row>
    <row r="25" spans="1:23" s="3" customFormat="1" ht="15" customHeight="1">
      <c r="A25" s="19">
        <v>0.75</v>
      </c>
      <c r="B25" s="133" t="s">
        <v>11</v>
      </c>
      <c r="C25" s="134"/>
      <c r="D25" s="133">
        <v>265</v>
      </c>
      <c r="E25" s="134"/>
      <c r="F25" s="133">
        <v>279</v>
      </c>
      <c r="G25" s="134"/>
      <c r="H25" s="20">
        <f t="shared" si="0"/>
        <v>544</v>
      </c>
      <c r="I25" s="21">
        <f t="shared" si="1"/>
        <v>272</v>
      </c>
      <c r="J25" s="22">
        <f t="shared" si="2"/>
        <v>2</v>
      </c>
      <c r="K25" s="23">
        <v>0.75</v>
      </c>
      <c r="L25" s="24">
        <v>2400</v>
      </c>
      <c r="M25" s="31">
        <v>154.29</v>
      </c>
      <c r="N25" s="26">
        <f t="shared" si="3"/>
        <v>600.00000000013597</v>
      </c>
      <c r="O25" s="33"/>
      <c r="P25" s="28"/>
      <c r="Q25" s="29"/>
      <c r="R25" s="29"/>
      <c r="S25" s="108"/>
      <c r="T25" s="108"/>
      <c r="U25" s="30"/>
      <c r="V25" s="2"/>
      <c r="W25" s="2"/>
    </row>
    <row r="26" spans="1:23" s="3" customFormat="1" ht="15" customHeight="1">
      <c r="A26" s="19">
        <v>0.79166666666666696</v>
      </c>
      <c r="B26" s="133" t="s">
        <v>11</v>
      </c>
      <c r="C26" s="134"/>
      <c r="D26" s="133">
        <v>354</v>
      </c>
      <c r="E26" s="134"/>
      <c r="F26" s="133">
        <v>320</v>
      </c>
      <c r="G26" s="134"/>
      <c r="H26" s="20">
        <f t="shared" si="0"/>
        <v>674</v>
      </c>
      <c r="I26" s="21">
        <f t="shared" si="1"/>
        <v>337</v>
      </c>
      <c r="J26" s="22">
        <f t="shared" si="2"/>
        <v>2</v>
      </c>
      <c r="K26" s="23">
        <v>0.79166666666666596</v>
      </c>
      <c r="L26" s="24">
        <v>2100</v>
      </c>
      <c r="M26" s="31">
        <v>154.34</v>
      </c>
      <c r="N26" s="26">
        <f t="shared" si="3"/>
        <v>839.99999999991803</v>
      </c>
      <c r="O26" s="33"/>
      <c r="P26" s="28"/>
      <c r="Q26" s="29"/>
      <c r="R26" s="29"/>
      <c r="S26" s="108"/>
      <c r="T26" s="108"/>
      <c r="U26" s="30"/>
      <c r="V26" s="2"/>
      <c r="W26" s="2"/>
    </row>
    <row r="27" spans="1:23" s="3" customFormat="1" ht="15" customHeight="1">
      <c r="A27" s="19">
        <v>0.83333333333333404</v>
      </c>
      <c r="B27" s="133" t="s">
        <v>11</v>
      </c>
      <c r="C27" s="134"/>
      <c r="D27" s="133">
        <v>343</v>
      </c>
      <c r="E27" s="134"/>
      <c r="F27" s="133">
        <v>361</v>
      </c>
      <c r="G27" s="134"/>
      <c r="H27" s="20">
        <f t="shared" si="0"/>
        <v>704</v>
      </c>
      <c r="I27" s="21">
        <f t="shared" si="1"/>
        <v>352</v>
      </c>
      <c r="J27" s="22">
        <f t="shared" si="2"/>
        <v>2</v>
      </c>
      <c r="K27" s="23">
        <v>0.83333333333333304</v>
      </c>
      <c r="L27" s="24">
        <v>2100</v>
      </c>
      <c r="M27" s="31">
        <v>154.41</v>
      </c>
      <c r="N27" s="26">
        <f t="shared" si="3"/>
        <v>720.00000000002694</v>
      </c>
      <c r="O27" s="33"/>
      <c r="P27" s="28"/>
      <c r="Q27" s="29"/>
      <c r="R27" s="29"/>
      <c r="S27" s="108"/>
      <c r="T27" s="108"/>
      <c r="U27" s="30"/>
      <c r="V27" s="2"/>
      <c r="W27" s="2"/>
    </row>
    <row r="28" spans="1:23" s="4" customFormat="1" ht="15" customHeight="1">
      <c r="A28" s="19">
        <v>0.875</v>
      </c>
      <c r="B28" s="133" t="s">
        <v>11</v>
      </c>
      <c r="C28" s="134"/>
      <c r="D28" s="133">
        <v>326</v>
      </c>
      <c r="E28" s="134"/>
      <c r="F28" s="133">
        <v>354</v>
      </c>
      <c r="G28" s="134"/>
      <c r="H28" s="20">
        <f t="shared" si="0"/>
        <v>680</v>
      </c>
      <c r="I28" s="21">
        <f t="shared" si="1"/>
        <v>340</v>
      </c>
      <c r="J28" s="22">
        <f t="shared" si="2"/>
        <v>2</v>
      </c>
      <c r="K28" s="23">
        <v>0.875</v>
      </c>
      <c r="L28" s="24">
        <v>1800</v>
      </c>
      <c r="M28" s="31">
        <v>154.47</v>
      </c>
      <c r="N28" s="26">
        <f t="shared" si="3"/>
        <v>720.00000000002694</v>
      </c>
      <c r="O28" s="33"/>
      <c r="P28" s="28"/>
      <c r="Q28" s="29"/>
      <c r="R28" s="29"/>
      <c r="S28" s="108"/>
      <c r="T28" s="108"/>
      <c r="U28" s="30"/>
      <c r="V28" s="2"/>
      <c r="W28" s="2"/>
    </row>
    <row r="29" spans="1:23" s="3" customFormat="1" ht="15" customHeight="1">
      <c r="A29" s="19">
        <v>0.91666666666666696</v>
      </c>
      <c r="B29" s="133" t="s">
        <v>11</v>
      </c>
      <c r="C29" s="134"/>
      <c r="D29" s="133">
        <v>325</v>
      </c>
      <c r="E29" s="134"/>
      <c r="F29" s="133">
        <v>303</v>
      </c>
      <c r="G29" s="134"/>
      <c r="H29" s="20">
        <f t="shared" si="0"/>
        <v>628</v>
      </c>
      <c r="I29" s="21">
        <f t="shared" si="1"/>
        <v>314</v>
      </c>
      <c r="J29" s="22">
        <f t="shared" si="2"/>
        <v>2</v>
      </c>
      <c r="K29" s="23">
        <v>0.91666666666666596</v>
      </c>
      <c r="L29" s="24">
        <v>1800</v>
      </c>
      <c r="M29" s="31">
        <v>154.53</v>
      </c>
      <c r="N29" s="26">
        <f t="shared" si="3"/>
        <v>720.00000000002694</v>
      </c>
      <c r="O29" s="33"/>
      <c r="P29" s="28"/>
      <c r="Q29" s="29"/>
      <c r="R29" s="29"/>
      <c r="S29" s="108"/>
      <c r="T29" s="108"/>
      <c r="U29" s="30"/>
      <c r="V29" s="2"/>
      <c r="W29" s="2"/>
    </row>
    <row r="30" spans="1:23" s="3" customFormat="1" ht="15" customHeight="1">
      <c r="A30" s="19">
        <v>0.95833333333333404</v>
      </c>
      <c r="B30" s="133" t="s">
        <v>11</v>
      </c>
      <c r="C30" s="134"/>
      <c r="D30" s="133">
        <v>302</v>
      </c>
      <c r="E30" s="134"/>
      <c r="F30" s="133">
        <v>308</v>
      </c>
      <c r="G30" s="134"/>
      <c r="H30" s="20">
        <f t="shared" si="0"/>
        <v>610</v>
      </c>
      <c r="I30" s="21">
        <f t="shared" si="1"/>
        <v>305</v>
      </c>
      <c r="J30" s="22">
        <f t="shared" si="2"/>
        <v>2</v>
      </c>
      <c r="K30" s="23">
        <v>0.95833333333333304</v>
      </c>
      <c r="L30" s="24">
        <v>1800</v>
      </c>
      <c r="M30" s="31">
        <v>154.59</v>
      </c>
      <c r="N30" s="26">
        <f t="shared" si="3"/>
        <v>599.99999999979502</v>
      </c>
      <c r="O30" s="33"/>
      <c r="P30" s="28"/>
      <c r="Q30" s="29"/>
      <c r="R30" s="29"/>
      <c r="S30" s="108"/>
      <c r="T30" s="108"/>
      <c r="U30" s="30"/>
      <c r="V30" s="2"/>
      <c r="W30" s="2"/>
    </row>
    <row r="31" spans="1:23" s="2" customFormat="1" ht="15" customHeight="1">
      <c r="A31" s="34">
        <v>1</v>
      </c>
      <c r="B31" s="133" t="s">
        <v>11</v>
      </c>
      <c r="C31" s="134"/>
      <c r="D31" s="133">
        <v>278</v>
      </c>
      <c r="E31" s="134"/>
      <c r="F31" s="133">
        <v>292</v>
      </c>
      <c r="G31" s="134"/>
      <c r="H31" s="20">
        <f t="shared" si="0"/>
        <v>570</v>
      </c>
      <c r="I31" s="35">
        <f t="shared" si="1"/>
        <v>285</v>
      </c>
      <c r="J31" s="36">
        <f t="shared" si="2"/>
        <v>2</v>
      </c>
      <c r="K31" s="37">
        <v>1</v>
      </c>
      <c r="L31" s="24">
        <v>4500</v>
      </c>
      <c r="M31" s="38">
        <v>154.63999999999999</v>
      </c>
      <c r="N31" s="26">
        <f>H31</f>
        <v>570</v>
      </c>
      <c r="O31" s="33"/>
      <c r="P31" s="28"/>
      <c r="Q31" s="29"/>
      <c r="R31" s="29"/>
      <c r="S31" s="108"/>
      <c r="T31" s="108"/>
      <c r="U31" s="30"/>
    </row>
    <row r="32" spans="1:23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6.6529999999999996</v>
      </c>
      <c r="E32" s="136"/>
      <c r="F32" s="135">
        <f>SUM(F8:F31)/1000</f>
        <v>6.6879999999999997</v>
      </c>
      <c r="G32" s="136"/>
      <c r="H32" s="40">
        <f>SUM(H8:H31)</f>
        <v>13341</v>
      </c>
      <c r="I32" s="41" t="s">
        <v>13</v>
      </c>
      <c r="J32" s="42"/>
      <c r="K32" s="43"/>
      <c r="L32" s="44"/>
      <c r="M32" s="45">
        <f>SUM(M31-M8+N8)</f>
        <v>481.16999999990401</v>
      </c>
      <c r="N32" s="46">
        <f>SUM(N8:N31)</f>
        <v>14609.9999999998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277.20833333333297</v>
      </c>
      <c r="E33" s="116"/>
      <c r="F33" s="119">
        <f>IFERROR((AVERAGE(F8:F31)),"0")</f>
        <v>278.66666666666703</v>
      </c>
      <c r="G33" s="121"/>
      <c r="H33" s="147">
        <f>H32*1000</f>
        <v>13341000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109"/>
      <c r="S33" s="110"/>
      <c r="T33" s="110"/>
      <c r="U33" s="110"/>
      <c r="V33" s="110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24</v>
      </c>
      <c r="E35" s="162"/>
      <c r="F35" s="163">
        <f>COUNT(F8:F31)</f>
        <v>24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48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704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555.875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484</v>
      </c>
      <c r="D41" s="126"/>
      <c r="E41" s="73">
        <f>VLOOKUP(C41,H8:L31,4,FALSE)</f>
        <v>0.41666666666666602</v>
      </c>
      <c r="F41" s="85"/>
      <c r="G41" s="74"/>
      <c r="H41" s="127" t="s">
        <v>22</v>
      </c>
      <c r="I41" s="128"/>
      <c r="J41" s="129"/>
      <c r="K41" s="75">
        <f>MIN(J8:J31)</f>
        <v>2</v>
      </c>
      <c r="L41" s="76"/>
      <c r="N41" s="127" t="s">
        <v>23</v>
      </c>
      <c r="O41" s="128"/>
      <c r="P41" s="128"/>
      <c r="Q41" s="129"/>
      <c r="R41" s="86">
        <f>AVERAGE(I8:I31)</f>
        <v>277.9375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-535.82625000000405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A48" s="111" t="s">
        <v>27</v>
      </c>
      <c r="Z48" s="82"/>
      <c r="AA48" s="82"/>
      <c r="AB48" s="82"/>
      <c r="AC48" s="82"/>
    </row>
    <row r="49" spans="11:33">
      <c r="Z49" s="96"/>
      <c r="AA49" s="96"/>
      <c r="AB49" s="96"/>
      <c r="AC49" s="96"/>
    </row>
    <row r="50" spans="11:33">
      <c r="Z50" s="96"/>
      <c r="AA50" s="96"/>
      <c r="AB50" s="96"/>
      <c r="AC50" s="96"/>
    </row>
    <row r="51" spans="11:33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E51" t="s">
        <v>28</v>
      </c>
      <c r="AF51" t="s">
        <v>29</v>
      </c>
      <c r="AG51" t="s">
        <v>30</v>
      </c>
    </row>
    <row r="52" spans="11:33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E52">
        <v>1</v>
      </c>
      <c r="AF52" s="112">
        <v>4.1666666666666664E-2</v>
      </c>
      <c r="AG52">
        <v>608</v>
      </c>
    </row>
    <row r="53" spans="11:33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E53">
        <v>1</v>
      </c>
      <c r="AF53" s="112">
        <v>8.3333333333333329E-2</v>
      </c>
      <c r="AG53">
        <v>546</v>
      </c>
    </row>
    <row r="54" spans="11:33">
      <c r="AE54">
        <v>1</v>
      </c>
      <c r="AF54" s="112">
        <v>0.125</v>
      </c>
      <c r="AG54">
        <v>527</v>
      </c>
    </row>
    <row r="55" spans="11:33">
      <c r="AE55">
        <v>1</v>
      </c>
      <c r="AF55" s="112">
        <v>0.16666666666666666</v>
      </c>
      <c r="AG55">
        <v>523</v>
      </c>
    </row>
    <row r="56" spans="11:33">
      <c r="AE56">
        <v>1</v>
      </c>
      <c r="AF56" s="112">
        <v>0.20833333333333334</v>
      </c>
      <c r="AG56">
        <v>553</v>
      </c>
    </row>
    <row r="57" spans="11:33">
      <c r="AE57">
        <v>1</v>
      </c>
      <c r="AF57" s="112">
        <v>0.25</v>
      </c>
      <c r="AG57">
        <v>556</v>
      </c>
    </row>
    <row r="58" spans="11:33">
      <c r="AE58">
        <v>1</v>
      </c>
      <c r="AF58" s="112">
        <v>0.29166666666666669</v>
      </c>
      <c r="AG58">
        <v>557</v>
      </c>
    </row>
    <row r="59" spans="11:33">
      <c r="AE59">
        <v>1</v>
      </c>
      <c r="AF59" s="112">
        <v>0.33333333333333331</v>
      </c>
      <c r="AG59">
        <v>553</v>
      </c>
    </row>
    <row r="60" spans="11:33">
      <c r="O60" s="104"/>
      <c r="P60" s="104"/>
      <c r="Q60" s="104"/>
      <c r="R60" s="104"/>
      <c r="S60" s="104"/>
      <c r="T60" s="104"/>
      <c r="AE60">
        <v>1</v>
      </c>
      <c r="AF60" s="112">
        <v>0.375</v>
      </c>
      <c r="AG60">
        <v>532</v>
      </c>
    </row>
    <row r="61" spans="11:33">
      <c r="O61" s="104"/>
      <c r="P61" s="104"/>
      <c r="Q61" s="104"/>
      <c r="R61" s="104"/>
      <c r="S61" s="104"/>
      <c r="T61" s="104"/>
      <c r="AE61">
        <v>1</v>
      </c>
      <c r="AF61" s="112">
        <v>0.41666666666666669</v>
      </c>
      <c r="AG61">
        <v>484</v>
      </c>
    </row>
    <row r="62" spans="11:33">
      <c r="O62" s="104"/>
      <c r="P62" s="104"/>
      <c r="Q62" s="104"/>
      <c r="R62" s="104"/>
      <c r="S62" s="104"/>
      <c r="T62" s="104"/>
      <c r="AE62">
        <v>1</v>
      </c>
      <c r="AF62" s="112">
        <v>0.45833333333333331</v>
      </c>
      <c r="AG62">
        <v>485</v>
      </c>
    </row>
    <row r="63" spans="11:33">
      <c r="O63" s="104"/>
      <c r="P63" s="104"/>
      <c r="Q63" s="104"/>
      <c r="R63" s="104"/>
      <c r="S63" s="104"/>
      <c r="T63" s="104"/>
      <c r="AE63">
        <v>1</v>
      </c>
      <c r="AF63" s="112">
        <v>0.5</v>
      </c>
      <c r="AG63">
        <v>500</v>
      </c>
    </row>
    <row r="64" spans="11:33">
      <c r="O64" s="104"/>
      <c r="P64" s="104"/>
      <c r="Q64" s="104"/>
      <c r="R64" s="104"/>
      <c r="S64" s="104"/>
      <c r="T64" s="104"/>
      <c r="AE64">
        <v>1</v>
      </c>
      <c r="AF64" s="112">
        <v>0.54166666666666663</v>
      </c>
      <c r="AG64">
        <v>498</v>
      </c>
    </row>
    <row r="65" spans="15:33">
      <c r="O65" s="104"/>
      <c r="P65" s="104"/>
      <c r="Q65" s="104"/>
      <c r="R65" s="104"/>
      <c r="S65" s="104"/>
      <c r="T65" s="104"/>
      <c r="AE65">
        <v>1</v>
      </c>
      <c r="AF65" s="112">
        <v>0.58333333333333337</v>
      </c>
      <c r="AG65">
        <v>489</v>
      </c>
    </row>
    <row r="66" spans="15:33">
      <c r="O66" s="104"/>
      <c r="P66" s="104"/>
      <c r="Q66" s="104"/>
      <c r="R66" s="104"/>
      <c r="S66" s="104"/>
      <c r="T66" s="104"/>
      <c r="AE66">
        <v>1</v>
      </c>
      <c r="AF66" s="112">
        <v>0.625</v>
      </c>
      <c r="AG66">
        <v>484</v>
      </c>
    </row>
    <row r="67" spans="15:33">
      <c r="O67" s="104"/>
      <c r="P67" s="104"/>
      <c r="Q67" s="104"/>
      <c r="R67" s="104"/>
      <c r="S67" s="104"/>
      <c r="T67" s="104"/>
      <c r="AE67">
        <v>1</v>
      </c>
      <c r="AF67" s="112">
        <v>0.66666666666666663</v>
      </c>
      <c r="AG67">
        <v>503</v>
      </c>
    </row>
    <row r="68" spans="15:33">
      <c r="O68" s="104"/>
      <c r="P68" s="104"/>
      <c r="Q68" s="104"/>
      <c r="R68" s="104"/>
      <c r="S68" s="104"/>
      <c r="T68" s="104"/>
      <c r="AE68">
        <v>1</v>
      </c>
      <c r="AF68" s="112">
        <v>0.70833333333333337</v>
      </c>
      <c r="AG68">
        <v>533</v>
      </c>
    </row>
    <row r="69" spans="15:33">
      <c r="AE69">
        <v>1</v>
      </c>
      <c r="AF69" s="112">
        <v>0.75</v>
      </c>
      <c r="AG69">
        <v>544</v>
      </c>
    </row>
    <row r="70" spans="15:33">
      <c r="AE70">
        <v>1</v>
      </c>
      <c r="AF70" s="112">
        <v>0.79166666666666663</v>
      </c>
      <c r="AG70">
        <v>674</v>
      </c>
    </row>
    <row r="71" spans="15:33">
      <c r="AE71">
        <v>1</v>
      </c>
      <c r="AF71" s="112">
        <v>0.83333333333333337</v>
      </c>
      <c r="AG71">
        <v>704</v>
      </c>
    </row>
    <row r="72" spans="15:33">
      <c r="AE72">
        <v>1</v>
      </c>
      <c r="AF72" s="112">
        <v>0.875</v>
      </c>
      <c r="AG72">
        <v>680</v>
      </c>
    </row>
    <row r="73" spans="15:33">
      <c r="AE73">
        <v>1</v>
      </c>
      <c r="AF73" s="112">
        <v>0.91666666666666663</v>
      </c>
      <c r="AG73">
        <v>628</v>
      </c>
    </row>
    <row r="74" spans="15:33">
      <c r="AE74">
        <v>1</v>
      </c>
      <c r="AF74" s="112">
        <v>0.95833333333333337</v>
      </c>
      <c r="AG74">
        <v>610</v>
      </c>
    </row>
    <row r="75" spans="15:33">
      <c r="AE75">
        <v>1</v>
      </c>
      <c r="AF75" s="112">
        <v>0</v>
      </c>
      <c r="AG75">
        <v>570</v>
      </c>
    </row>
    <row r="76" spans="15:33">
      <c r="AE76">
        <v>2</v>
      </c>
      <c r="AF76" s="112">
        <v>4.1666666666666664E-2</v>
      </c>
      <c r="AG76">
        <v>542</v>
      </c>
    </row>
    <row r="77" spans="15:33">
      <c r="AE77">
        <v>2</v>
      </c>
      <c r="AF77" s="112">
        <v>8.3333333333333329E-2</v>
      </c>
      <c r="AG77">
        <v>537</v>
      </c>
    </row>
    <row r="78" spans="15:33">
      <c r="AE78">
        <v>2</v>
      </c>
      <c r="AF78" s="112">
        <v>0.125</v>
      </c>
      <c r="AG78">
        <v>504</v>
      </c>
    </row>
    <row r="79" spans="15:33">
      <c r="AE79">
        <v>2</v>
      </c>
      <c r="AF79" s="112">
        <v>0.16666666666666666</v>
      </c>
      <c r="AG79">
        <v>531</v>
      </c>
    </row>
    <row r="80" spans="15:33">
      <c r="AE80">
        <v>2</v>
      </c>
      <c r="AF80" s="112">
        <v>0.20833333333333334</v>
      </c>
      <c r="AG80">
        <v>511</v>
      </c>
    </row>
    <row r="81" spans="31:33">
      <c r="AE81">
        <v>2</v>
      </c>
      <c r="AF81" s="112">
        <v>0.25</v>
      </c>
      <c r="AG81">
        <v>536</v>
      </c>
    </row>
    <row r="82" spans="31:33">
      <c r="AE82">
        <v>2</v>
      </c>
      <c r="AF82" s="112">
        <v>0.29166666666666669</v>
      </c>
      <c r="AG82">
        <v>547</v>
      </c>
    </row>
    <row r="83" spans="31:33">
      <c r="AE83">
        <v>2</v>
      </c>
      <c r="AF83" s="112">
        <v>0.33333333333333331</v>
      </c>
      <c r="AG83">
        <v>543</v>
      </c>
    </row>
    <row r="84" spans="31:33">
      <c r="AE84">
        <v>2</v>
      </c>
      <c r="AF84" s="112">
        <v>0.375</v>
      </c>
      <c r="AG84">
        <v>550</v>
      </c>
    </row>
    <row r="85" spans="31:33">
      <c r="AE85">
        <v>2</v>
      </c>
      <c r="AF85" s="112">
        <v>0.41666666666666669</v>
      </c>
      <c r="AG85">
        <v>553</v>
      </c>
    </row>
    <row r="86" spans="31:33">
      <c r="AE86">
        <v>2</v>
      </c>
      <c r="AF86" s="112">
        <v>0.45833333333333331</v>
      </c>
      <c r="AG86">
        <v>534</v>
      </c>
    </row>
    <row r="87" spans="31:33">
      <c r="AE87">
        <v>2</v>
      </c>
      <c r="AF87" s="112">
        <v>0.5</v>
      </c>
      <c r="AG87">
        <v>514</v>
      </c>
    </row>
    <row r="88" spans="31:33">
      <c r="AE88">
        <v>2</v>
      </c>
      <c r="AF88" s="112">
        <v>0.54166666666666663</v>
      </c>
      <c r="AG88">
        <v>513</v>
      </c>
    </row>
    <row r="89" spans="31:33">
      <c r="AE89">
        <v>2</v>
      </c>
      <c r="AF89" s="112">
        <v>0.58333333333333337</v>
      </c>
      <c r="AG89">
        <v>497</v>
      </c>
    </row>
    <row r="90" spans="31:33">
      <c r="AE90">
        <v>2</v>
      </c>
      <c r="AF90" s="112">
        <v>0.625</v>
      </c>
      <c r="AG90">
        <v>541</v>
      </c>
    </row>
    <row r="91" spans="31:33">
      <c r="AE91">
        <v>2</v>
      </c>
      <c r="AF91" s="112">
        <v>0.66666666666666663</v>
      </c>
      <c r="AG91">
        <v>484</v>
      </c>
    </row>
    <row r="92" spans="31:33">
      <c r="AE92">
        <v>2</v>
      </c>
      <c r="AF92" s="112">
        <v>0.70833333333333337</v>
      </c>
      <c r="AG92">
        <v>514</v>
      </c>
    </row>
    <row r="93" spans="31:33">
      <c r="AE93">
        <v>2</v>
      </c>
      <c r="AF93" s="112">
        <v>0.75</v>
      </c>
      <c r="AG93">
        <v>548</v>
      </c>
    </row>
    <row r="94" spans="31:33">
      <c r="AE94">
        <v>2</v>
      </c>
      <c r="AF94" s="112">
        <v>0.79166666666666663</v>
      </c>
      <c r="AG94">
        <v>696</v>
      </c>
    </row>
    <row r="95" spans="31:33">
      <c r="AE95">
        <v>2</v>
      </c>
      <c r="AF95" s="112">
        <v>0.83333333333333337</v>
      </c>
      <c r="AG95">
        <v>723</v>
      </c>
    </row>
    <row r="96" spans="31:33">
      <c r="AE96">
        <v>2</v>
      </c>
      <c r="AF96" s="112">
        <v>0.875</v>
      </c>
      <c r="AG96">
        <v>655</v>
      </c>
    </row>
    <row r="97" spans="31:33">
      <c r="AE97">
        <v>2</v>
      </c>
      <c r="AF97" s="112">
        <v>0.91666666666666663</v>
      </c>
      <c r="AG97">
        <v>611</v>
      </c>
    </row>
    <row r="98" spans="31:33">
      <c r="AE98">
        <v>2</v>
      </c>
      <c r="AF98" s="112">
        <v>0.95833333333333337</v>
      </c>
      <c r="AG98">
        <v>591</v>
      </c>
    </row>
    <row r="99" spans="31:33">
      <c r="AE99">
        <v>2</v>
      </c>
      <c r="AF99" s="112">
        <v>0</v>
      </c>
      <c r="AG99">
        <v>557</v>
      </c>
    </row>
    <row r="100" spans="31:33">
      <c r="AE100">
        <v>3</v>
      </c>
      <c r="AF100" s="112">
        <v>4.1666666666666664E-2</v>
      </c>
      <c r="AG100">
        <v>536</v>
      </c>
    </row>
    <row r="101" spans="31:33">
      <c r="AE101">
        <v>3</v>
      </c>
      <c r="AF101" s="112">
        <v>8.3333333333333329E-2</v>
      </c>
      <c r="AG101">
        <v>536</v>
      </c>
    </row>
    <row r="102" spans="31:33">
      <c r="AE102">
        <v>3</v>
      </c>
      <c r="AF102" s="112">
        <v>0.125</v>
      </c>
      <c r="AG102">
        <v>450</v>
      </c>
    </row>
    <row r="103" spans="31:33">
      <c r="AE103">
        <v>3</v>
      </c>
      <c r="AF103" s="112">
        <v>0.16666666666666666</v>
      </c>
      <c r="AG103">
        <v>440</v>
      </c>
    </row>
    <row r="104" spans="31:33">
      <c r="AE104">
        <v>3</v>
      </c>
      <c r="AF104" s="112">
        <v>0.20833333333333334</v>
      </c>
      <c r="AG104">
        <v>444</v>
      </c>
    </row>
    <row r="105" spans="31:33">
      <c r="AE105">
        <v>3</v>
      </c>
      <c r="AF105" s="112">
        <v>0.25</v>
      </c>
      <c r="AG105">
        <v>448</v>
      </c>
    </row>
    <row r="106" spans="31:33">
      <c r="AE106">
        <v>3</v>
      </c>
      <c r="AF106" s="112">
        <v>0.29166666666666669</v>
      </c>
      <c r="AG106">
        <v>466</v>
      </c>
    </row>
    <row r="107" spans="31:33">
      <c r="AE107">
        <v>3</v>
      </c>
      <c r="AF107" s="112">
        <v>0.33333333333333331</v>
      </c>
      <c r="AG107">
        <v>453</v>
      </c>
    </row>
    <row r="108" spans="31:33">
      <c r="AE108">
        <v>3</v>
      </c>
      <c r="AF108" s="112">
        <v>0.375</v>
      </c>
      <c r="AG108">
        <v>449</v>
      </c>
    </row>
    <row r="109" spans="31:33">
      <c r="AE109">
        <v>3</v>
      </c>
      <c r="AF109" s="112">
        <v>0.41666666666666669</v>
      </c>
      <c r="AG109">
        <v>455</v>
      </c>
    </row>
    <row r="110" spans="31:33">
      <c r="AE110">
        <v>3</v>
      </c>
      <c r="AF110" s="112">
        <v>0.45833333333333331</v>
      </c>
      <c r="AG110">
        <v>538</v>
      </c>
    </row>
    <row r="111" spans="31:33">
      <c r="AE111">
        <v>3</v>
      </c>
      <c r="AF111" s="112">
        <v>0.5</v>
      </c>
      <c r="AG111">
        <v>525</v>
      </c>
    </row>
    <row r="112" spans="31:33">
      <c r="AE112">
        <v>3</v>
      </c>
      <c r="AF112" s="112">
        <v>0.54166666666666663</v>
      </c>
      <c r="AG112">
        <v>487</v>
      </c>
    </row>
    <row r="113" spans="31:33">
      <c r="AE113">
        <v>3</v>
      </c>
      <c r="AF113" s="112">
        <v>0.58333333333333337</v>
      </c>
      <c r="AG113">
        <v>500</v>
      </c>
    </row>
    <row r="114" spans="31:33">
      <c r="AE114">
        <v>3</v>
      </c>
      <c r="AF114" s="112">
        <v>0.625</v>
      </c>
      <c r="AG114">
        <v>469</v>
      </c>
    </row>
    <row r="115" spans="31:33">
      <c r="AE115">
        <v>3</v>
      </c>
      <c r="AF115" s="112">
        <v>0.66666666666666663</v>
      </c>
      <c r="AG115">
        <v>457</v>
      </c>
    </row>
    <row r="116" spans="31:33">
      <c r="AE116">
        <v>3</v>
      </c>
      <c r="AF116" s="112">
        <v>0.70833333333333337</v>
      </c>
      <c r="AG116">
        <v>479</v>
      </c>
    </row>
    <row r="117" spans="31:33">
      <c r="AE117">
        <v>3</v>
      </c>
      <c r="AF117" s="112">
        <v>0.75</v>
      </c>
      <c r="AG117">
        <v>532</v>
      </c>
    </row>
    <row r="118" spans="31:33">
      <c r="AE118">
        <v>3</v>
      </c>
      <c r="AF118" s="112">
        <v>0.79166666666666663</v>
      </c>
      <c r="AG118">
        <v>684</v>
      </c>
    </row>
    <row r="119" spans="31:33">
      <c r="AE119">
        <v>3</v>
      </c>
      <c r="AF119" s="112">
        <v>0.83333333333333337</v>
      </c>
      <c r="AG119">
        <v>701</v>
      </c>
    </row>
    <row r="120" spans="31:33">
      <c r="AE120">
        <v>3</v>
      </c>
      <c r="AF120" s="112">
        <v>0.875</v>
      </c>
      <c r="AG120">
        <v>656</v>
      </c>
    </row>
    <row r="121" spans="31:33">
      <c r="AE121">
        <v>3</v>
      </c>
      <c r="AF121" s="112">
        <v>0.91666666666666663</v>
      </c>
      <c r="AG121">
        <v>626</v>
      </c>
    </row>
    <row r="122" spans="31:33">
      <c r="AE122">
        <v>3</v>
      </c>
      <c r="AF122" s="112">
        <v>0.95833333333333337</v>
      </c>
      <c r="AG122">
        <v>578</v>
      </c>
    </row>
    <row r="123" spans="31:33">
      <c r="AE123">
        <v>3</v>
      </c>
      <c r="AF123" s="112">
        <v>0</v>
      </c>
      <c r="AG123">
        <v>552</v>
      </c>
    </row>
    <row r="124" spans="31:33">
      <c r="AE124">
        <v>4</v>
      </c>
      <c r="AF124" s="112">
        <v>4.1666666666666664E-2</v>
      </c>
      <c r="AG124">
        <v>517</v>
      </c>
    </row>
    <row r="125" spans="31:33">
      <c r="AE125">
        <v>4</v>
      </c>
      <c r="AF125" s="112">
        <v>8.3333333333333329E-2</v>
      </c>
      <c r="AG125">
        <v>515</v>
      </c>
    </row>
    <row r="126" spans="31:33">
      <c r="AE126">
        <v>4</v>
      </c>
      <c r="AF126" s="112">
        <v>0.125</v>
      </c>
      <c r="AG126">
        <v>511</v>
      </c>
    </row>
    <row r="127" spans="31:33">
      <c r="AE127">
        <v>4</v>
      </c>
      <c r="AF127" s="112">
        <v>0.16666666666666666</v>
      </c>
      <c r="AG127">
        <v>507</v>
      </c>
    </row>
    <row r="128" spans="31:33">
      <c r="AE128">
        <v>4</v>
      </c>
      <c r="AF128" s="112">
        <v>0.20833333333333334</v>
      </c>
      <c r="AG128">
        <v>502</v>
      </c>
    </row>
    <row r="129" spans="31:33">
      <c r="AE129">
        <v>4</v>
      </c>
      <c r="AF129" s="112">
        <v>0.25</v>
      </c>
      <c r="AG129">
        <v>489</v>
      </c>
    </row>
    <row r="130" spans="31:33">
      <c r="AE130">
        <v>4</v>
      </c>
      <c r="AF130" s="112">
        <v>0.29166666666666669</v>
      </c>
      <c r="AG130">
        <v>494</v>
      </c>
    </row>
    <row r="131" spans="31:33">
      <c r="AE131">
        <v>4</v>
      </c>
      <c r="AF131" s="112">
        <v>0.33333333333333331</v>
      </c>
      <c r="AG131">
        <v>482</v>
      </c>
    </row>
    <row r="132" spans="31:33">
      <c r="AE132">
        <v>4</v>
      </c>
      <c r="AF132" s="112">
        <v>0.375</v>
      </c>
      <c r="AG132">
        <v>472</v>
      </c>
    </row>
    <row r="133" spans="31:33">
      <c r="AE133">
        <v>4</v>
      </c>
      <c r="AF133" s="112">
        <v>0.41666666666666669</v>
      </c>
      <c r="AG133">
        <v>501</v>
      </c>
    </row>
    <row r="134" spans="31:33">
      <c r="AE134">
        <v>4</v>
      </c>
      <c r="AF134" s="112">
        <v>0.45833333333333331</v>
      </c>
      <c r="AG134">
        <v>500</v>
      </c>
    </row>
    <row r="135" spans="31:33">
      <c r="AE135">
        <v>4</v>
      </c>
      <c r="AF135" s="112">
        <v>0.5</v>
      </c>
      <c r="AG135">
        <v>482</v>
      </c>
    </row>
    <row r="136" spans="31:33">
      <c r="AE136">
        <v>4</v>
      </c>
      <c r="AF136" s="112">
        <v>0.54166666666666663</v>
      </c>
      <c r="AG136">
        <v>448</v>
      </c>
    </row>
    <row r="137" spans="31:33">
      <c r="AE137">
        <v>4</v>
      </c>
      <c r="AF137" s="112">
        <v>0.58333333333333337</v>
      </c>
      <c r="AG137">
        <v>462</v>
      </c>
    </row>
    <row r="138" spans="31:33">
      <c r="AE138">
        <v>4</v>
      </c>
      <c r="AF138" s="112">
        <v>0.625</v>
      </c>
      <c r="AG138">
        <v>448</v>
      </c>
    </row>
    <row r="139" spans="31:33">
      <c r="AE139">
        <v>4</v>
      </c>
      <c r="AF139" s="112">
        <v>0.66666666666666663</v>
      </c>
      <c r="AG139">
        <v>455</v>
      </c>
    </row>
    <row r="140" spans="31:33">
      <c r="AE140">
        <v>4</v>
      </c>
      <c r="AF140" s="112">
        <v>0.70833333333333337</v>
      </c>
      <c r="AG140">
        <v>465</v>
      </c>
    </row>
    <row r="141" spans="31:33">
      <c r="AE141">
        <v>4</v>
      </c>
      <c r="AF141" s="112">
        <v>0.75</v>
      </c>
      <c r="AG141">
        <v>531</v>
      </c>
    </row>
    <row r="142" spans="31:33">
      <c r="AE142">
        <v>4</v>
      </c>
      <c r="AF142" s="112">
        <v>0.79166666666666663</v>
      </c>
      <c r="AG142">
        <v>699</v>
      </c>
    </row>
    <row r="143" spans="31:33">
      <c r="AE143">
        <v>4</v>
      </c>
      <c r="AF143" s="112">
        <v>0.83333333333333337</v>
      </c>
      <c r="AG143">
        <v>740</v>
      </c>
    </row>
    <row r="144" spans="31:33">
      <c r="AE144">
        <v>4</v>
      </c>
      <c r="AF144" s="112">
        <v>0.875</v>
      </c>
      <c r="AG144">
        <v>666</v>
      </c>
    </row>
    <row r="145" spans="31:33">
      <c r="AE145">
        <v>4</v>
      </c>
      <c r="AF145" s="112">
        <v>0.91666666666666663</v>
      </c>
      <c r="AG145">
        <v>526</v>
      </c>
    </row>
    <row r="146" spans="31:33">
      <c r="AE146">
        <v>4</v>
      </c>
      <c r="AF146" s="112">
        <v>0.95833333333333337</v>
      </c>
      <c r="AG146">
        <v>569</v>
      </c>
    </row>
    <row r="147" spans="31:33">
      <c r="AE147">
        <v>4</v>
      </c>
      <c r="AF147" s="112">
        <v>0</v>
      </c>
      <c r="AG147">
        <v>557</v>
      </c>
    </row>
    <row r="148" spans="31:33">
      <c r="AE148">
        <v>5</v>
      </c>
      <c r="AF148" s="112">
        <v>4.1666666666666664E-2</v>
      </c>
      <c r="AG148">
        <v>536</v>
      </c>
    </row>
    <row r="149" spans="31:33">
      <c r="AE149">
        <v>5</v>
      </c>
      <c r="AF149" s="112">
        <v>8.3333333333333329E-2</v>
      </c>
      <c r="AG149">
        <v>511</v>
      </c>
    </row>
    <row r="150" spans="31:33">
      <c r="AE150">
        <v>5</v>
      </c>
      <c r="AF150" s="112">
        <v>0.125</v>
      </c>
      <c r="AG150">
        <v>516</v>
      </c>
    </row>
    <row r="151" spans="31:33">
      <c r="AE151">
        <v>5</v>
      </c>
      <c r="AF151" s="112">
        <v>0.16666666666666666</v>
      </c>
      <c r="AG151">
        <v>492</v>
      </c>
    </row>
    <row r="152" spans="31:33">
      <c r="AE152">
        <v>5</v>
      </c>
      <c r="AF152" s="112">
        <v>0.20833333333333334</v>
      </c>
      <c r="AG152">
        <v>504</v>
      </c>
    </row>
    <row r="153" spans="31:33">
      <c r="AE153">
        <v>5</v>
      </c>
      <c r="AF153" s="112">
        <v>0.25</v>
      </c>
      <c r="AG153">
        <v>536</v>
      </c>
    </row>
    <row r="154" spans="31:33">
      <c r="AE154">
        <v>5</v>
      </c>
      <c r="AF154" s="112">
        <v>0.29166666666666669</v>
      </c>
      <c r="AG154">
        <v>546</v>
      </c>
    </row>
    <row r="155" spans="31:33">
      <c r="AE155">
        <v>5</v>
      </c>
      <c r="AF155" s="112">
        <v>0.33333333333333331</v>
      </c>
      <c r="AG155">
        <v>515</v>
      </c>
    </row>
    <row r="156" spans="31:33">
      <c r="AE156">
        <v>5</v>
      </c>
      <c r="AF156" s="112">
        <v>0.375</v>
      </c>
      <c r="AG156">
        <v>503</v>
      </c>
    </row>
    <row r="157" spans="31:33">
      <c r="AE157">
        <v>5</v>
      </c>
      <c r="AF157" s="112">
        <v>0.41666666666666669</v>
      </c>
      <c r="AG157">
        <v>481</v>
      </c>
    </row>
    <row r="158" spans="31:33">
      <c r="AE158">
        <v>5</v>
      </c>
      <c r="AF158" s="112">
        <v>0.45833333333333331</v>
      </c>
      <c r="AG158">
        <v>496</v>
      </c>
    </row>
    <row r="159" spans="31:33">
      <c r="AE159">
        <v>5</v>
      </c>
      <c r="AF159" s="112">
        <v>0.5</v>
      </c>
      <c r="AG159">
        <v>485</v>
      </c>
    </row>
    <row r="160" spans="31:33">
      <c r="AE160">
        <v>5</v>
      </c>
      <c r="AF160" s="112">
        <v>0.54166666666666663</v>
      </c>
      <c r="AG160">
        <v>582</v>
      </c>
    </row>
    <row r="161" spans="31:33">
      <c r="AE161">
        <v>5</v>
      </c>
      <c r="AF161" s="112">
        <v>0.58333333333333337</v>
      </c>
      <c r="AG161">
        <v>463</v>
      </c>
    </row>
    <row r="162" spans="31:33">
      <c r="AE162">
        <v>5</v>
      </c>
      <c r="AF162" s="112">
        <v>0.625</v>
      </c>
      <c r="AG162">
        <v>455</v>
      </c>
    </row>
    <row r="163" spans="31:33">
      <c r="AE163">
        <v>5</v>
      </c>
      <c r="AF163" s="112">
        <v>0.66666666666666663</v>
      </c>
      <c r="AG163">
        <v>445</v>
      </c>
    </row>
    <row r="164" spans="31:33">
      <c r="AE164">
        <v>5</v>
      </c>
      <c r="AF164" s="112">
        <v>0.70833333333333337</v>
      </c>
      <c r="AG164">
        <v>470</v>
      </c>
    </row>
    <row r="165" spans="31:33">
      <c r="AE165">
        <v>5</v>
      </c>
      <c r="AF165" s="112">
        <v>0.75</v>
      </c>
      <c r="AG165">
        <v>506</v>
      </c>
    </row>
    <row r="166" spans="31:33">
      <c r="AE166">
        <v>5</v>
      </c>
      <c r="AF166" s="112">
        <v>0.79166666666666663</v>
      </c>
      <c r="AG166">
        <v>654</v>
      </c>
    </row>
    <row r="167" spans="31:33">
      <c r="AE167">
        <v>5</v>
      </c>
      <c r="AF167" s="112">
        <v>0.83333333333333337</v>
      </c>
      <c r="AG167">
        <v>698</v>
      </c>
    </row>
    <row r="168" spans="31:33">
      <c r="AE168">
        <v>5</v>
      </c>
      <c r="AF168" s="112">
        <v>0.875</v>
      </c>
      <c r="AG168">
        <v>570</v>
      </c>
    </row>
    <row r="169" spans="31:33">
      <c r="AE169">
        <v>5</v>
      </c>
      <c r="AF169" s="112">
        <v>0.91666666666666663</v>
      </c>
      <c r="AG169">
        <v>552</v>
      </c>
    </row>
    <row r="170" spans="31:33">
      <c r="AE170">
        <v>5</v>
      </c>
      <c r="AF170" s="112">
        <v>0.95833333333333337</v>
      </c>
      <c r="AG170">
        <v>502</v>
      </c>
    </row>
    <row r="171" spans="31:33">
      <c r="AE171">
        <v>5</v>
      </c>
      <c r="AF171" s="112">
        <v>0</v>
      </c>
      <c r="AG171">
        <v>474</v>
      </c>
    </row>
    <row r="172" spans="31:33">
      <c r="AE172">
        <v>6</v>
      </c>
      <c r="AF172" s="112">
        <v>4.1666666666666664E-2</v>
      </c>
      <c r="AG172">
        <v>460</v>
      </c>
    </row>
    <row r="173" spans="31:33">
      <c r="AE173">
        <v>6</v>
      </c>
      <c r="AF173" s="112">
        <v>8.3333333333333329E-2</v>
      </c>
      <c r="AG173">
        <v>442</v>
      </c>
    </row>
    <row r="174" spans="31:33">
      <c r="AE174">
        <v>6</v>
      </c>
      <c r="AF174" s="112">
        <v>0.125</v>
      </c>
      <c r="AG174">
        <v>438</v>
      </c>
    </row>
    <row r="175" spans="31:33">
      <c r="AE175">
        <v>6</v>
      </c>
      <c r="AF175" s="112">
        <v>0.16666666666666666</v>
      </c>
      <c r="AG175">
        <v>433</v>
      </c>
    </row>
    <row r="176" spans="31:33">
      <c r="AE176">
        <v>6</v>
      </c>
      <c r="AF176" s="112">
        <v>0.20833333333333334</v>
      </c>
      <c r="AG176">
        <v>436</v>
      </c>
    </row>
    <row r="177" spans="31:33">
      <c r="AE177">
        <v>6</v>
      </c>
      <c r="AF177" s="112">
        <v>0.25</v>
      </c>
      <c r="AG177">
        <v>406</v>
      </c>
    </row>
    <row r="178" spans="31:33">
      <c r="AE178">
        <v>6</v>
      </c>
      <c r="AF178" s="112">
        <v>0.29166666666666669</v>
      </c>
      <c r="AG178">
        <v>433</v>
      </c>
    </row>
    <row r="179" spans="31:33">
      <c r="AE179">
        <v>6</v>
      </c>
      <c r="AF179" s="112">
        <v>0.33333333333333331</v>
      </c>
      <c r="AG179">
        <v>430</v>
      </c>
    </row>
    <row r="180" spans="31:33">
      <c r="AE180">
        <v>6</v>
      </c>
      <c r="AF180" s="112">
        <v>0.375</v>
      </c>
      <c r="AG180">
        <v>418</v>
      </c>
    </row>
    <row r="181" spans="31:33">
      <c r="AE181">
        <v>6</v>
      </c>
      <c r="AF181" s="112">
        <v>0.41666666666666669</v>
      </c>
      <c r="AG181">
        <v>415</v>
      </c>
    </row>
    <row r="182" spans="31:33">
      <c r="AE182">
        <v>6</v>
      </c>
      <c r="AF182" s="112">
        <v>0.45833333333333331</v>
      </c>
      <c r="AG182">
        <v>394</v>
      </c>
    </row>
    <row r="183" spans="31:33">
      <c r="AE183">
        <v>6</v>
      </c>
      <c r="AF183" s="112">
        <v>0.5</v>
      </c>
      <c r="AG183">
        <v>435</v>
      </c>
    </row>
    <row r="184" spans="31:33">
      <c r="AE184">
        <v>6</v>
      </c>
      <c r="AF184" s="112">
        <v>0.54166666666666663</v>
      </c>
      <c r="AG184">
        <v>445</v>
      </c>
    </row>
    <row r="185" spans="31:33">
      <c r="AE185">
        <v>6</v>
      </c>
      <c r="AF185" s="112">
        <v>0.58333333333333337</v>
      </c>
      <c r="AG185">
        <v>422</v>
      </c>
    </row>
    <row r="186" spans="31:33">
      <c r="AE186">
        <v>6</v>
      </c>
      <c r="AF186" s="112">
        <v>0.625</v>
      </c>
      <c r="AG186">
        <v>417</v>
      </c>
    </row>
    <row r="187" spans="31:33">
      <c r="AE187">
        <v>6</v>
      </c>
      <c r="AF187" s="112">
        <v>0.66666666666666663</v>
      </c>
      <c r="AG187">
        <v>409</v>
      </c>
    </row>
    <row r="188" spans="31:33">
      <c r="AE188">
        <v>6</v>
      </c>
      <c r="AF188" s="112">
        <v>0.70833333333333337</v>
      </c>
      <c r="AG188">
        <v>469</v>
      </c>
    </row>
    <row r="189" spans="31:33">
      <c r="AE189">
        <v>6</v>
      </c>
      <c r="AF189" s="112">
        <v>0.75</v>
      </c>
      <c r="AG189">
        <v>486</v>
      </c>
    </row>
    <row r="190" spans="31:33">
      <c r="AE190">
        <v>6</v>
      </c>
      <c r="AF190" s="112">
        <v>0.79166666666666663</v>
      </c>
      <c r="AG190">
        <v>669</v>
      </c>
    </row>
    <row r="191" spans="31:33">
      <c r="AE191">
        <v>6</v>
      </c>
      <c r="AF191" s="112">
        <v>0.83333333333333337</v>
      </c>
      <c r="AG191">
        <v>696</v>
      </c>
    </row>
    <row r="192" spans="31:33">
      <c r="AE192">
        <v>6</v>
      </c>
      <c r="AF192" s="112">
        <v>0.875</v>
      </c>
      <c r="AG192">
        <v>668</v>
      </c>
    </row>
    <row r="193" spans="31:33">
      <c r="AE193">
        <v>6</v>
      </c>
      <c r="AF193" s="112">
        <v>0.91666666666666663</v>
      </c>
      <c r="AG193">
        <v>605</v>
      </c>
    </row>
    <row r="194" spans="31:33">
      <c r="AE194">
        <v>6</v>
      </c>
      <c r="AF194" s="112">
        <v>0.95833333333333337</v>
      </c>
      <c r="AG194">
        <v>557</v>
      </c>
    </row>
    <row r="195" spans="31:33">
      <c r="AE195">
        <v>6</v>
      </c>
      <c r="AF195" s="112">
        <v>0</v>
      </c>
      <c r="AG195">
        <v>539</v>
      </c>
    </row>
    <row r="196" spans="31:33">
      <c r="AE196">
        <v>7</v>
      </c>
      <c r="AF196" s="112">
        <v>4.1666666666666664E-2</v>
      </c>
      <c r="AG196">
        <v>515</v>
      </c>
    </row>
    <row r="197" spans="31:33">
      <c r="AE197">
        <v>7</v>
      </c>
      <c r="AF197" s="112">
        <v>8.3333333333333329E-2</v>
      </c>
      <c r="AG197">
        <v>494</v>
      </c>
    </row>
    <row r="198" spans="31:33">
      <c r="AE198">
        <v>7</v>
      </c>
      <c r="AF198" s="112">
        <v>0.125</v>
      </c>
      <c r="AG198">
        <v>492</v>
      </c>
    </row>
    <row r="199" spans="31:33">
      <c r="AE199">
        <v>7</v>
      </c>
      <c r="AF199" s="112">
        <v>0.16666666666666666</v>
      </c>
      <c r="AG199">
        <v>526</v>
      </c>
    </row>
    <row r="200" spans="31:33">
      <c r="AE200">
        <v>7</v>
      </c>
      <c r="AF200" s="112">
        <v>0.20833333333333334</v>
      </c>
      <c r="AG200">
        <v>518</v>
      </c>
    </row>
    <row r="201" spans="31:33">
      <c r="AE201">
        <v>7</v>
      </c>
      <c r="AF201" s="112">
        <v>0.25</v>
      </c>
      <c r="AG201">
        <v>467</v>
      </c>
    </row>
    <row r="202" spans="31:33">
      <c r="AE202">
        <v>7</v>
      </c>
      <c r="AF202" s="112">
        <v>0.29166666666666669</v>
      </c>
      <c r="AG202">
        <v>423</v>
      </c>
    </row>
    <row r="203" spans="31:33">
      <c r="AE203">
        <v>7</v>
      </c>
      <c r="AF203" s="112">
        <v>0.33333333333333331</v>
      </c>
      <c r="AG203">
        <v>539</v>
      </c>
    </row>
    <row r="204" spans="31:33">
      <c r="AE204">
        <v>7</v>
      </c>
      <c r="AF204" s="112">
        <v>0.375</v>
      </c>
      <c r="AG204">
        <v>540</v>
      </c>
    </row>
    <row r="205" spans="31:33">
      <c r="AE205">
        <v>7</v>
      </c>
      <c r="AF205" s="112">
        <v>0.41666666666666669</v>
      </c>
      <c r="AG205">
        <v>522</v>
      </c>
    </row>
    <row r="206" spans="31:33">
      <c r="AE206">
        <v>7</v>
      </c>
      <c r="AF206" s="112">
        <v>0.45833333333333331</v>
      </c>
      <c r="AG206">
        <v>483</v>
      </c>
    </row>
    <row r="207" spans="31:33">
      <c r="AE207">
        <v>7</v>
      </c>
      <c r="AF207" s="112">
        <v>0.5</v>
      </c>
      <c r="AG207">
        <v>465</v>
      </c>
    </row>
    <row r="208" spans="31:33">
      <c r="AE208">
        <v>7</v>
      </c>
      <c r="AF208" s="112">
        <v>0.54166666666666663</v>
      </c>
      <c r="AG208">
        <v>448</v>
      </c>
    </row>
    <row r="209" spans="31:33">
      <c r="AE209">
        <v>7</v>
      </c>
      <c r="AF209" s="112">
        <v>0.58333333333333337</v>
      </c>
      <c r="AG209">
        <v>433</v>
      </c>
    </row>
    <row r="210" spans="31:33">
      <c r="AE210">
        <v>7</v>
      </c>
      <c r="AF210" s="112">
        <v>0.625</v>
      </c>
      <c r="AG210">
        <v>416</v>
      </c>
    </row>
    <row r="211" spans="31:33">
      <c r="AE211">
        <v>7</v>
      </c>
      <c r="AF211" s="112">
        <v>0.66666666666666663</v>
      </c>
      <c r="AG211">
        <v>436</v>
      </c>
    </row>
    <row r="212" spans="31:33">
      <c r="AE212">
        <v>7</v>
      </c>
      <c r="AF212" s="112">
        <v>0.70833333333333337</v>
      </c>
      <c r="AG212">
        <v>470</v>
      </c>
    </row>
    <row r="213" spans="31:33">
      <c r="AE213">
        <v>7</v>
      </c>
      <c r="AF213" s="112">
        <v>0.75</v>
      </c>
      <c r="AG213">
        <v>490</v>
      </c>
    </row>
    <row r="214" spans="31:33">
      <c r="AE214">
        <v>7</v>
      </c>
      <c r="AF214" s="112">
        <v>0.79166666666666663</v>
      </c>
      <c r="AG214">
        <v>618</v>
      </c>
    </row>
    <row r="215" spans="31:33">
      <c r="AE215">
        <v>7</v>
      </c>
      <c r="AF215" s="112">
        <v>0.83333333333333337</v>
      </c>
      <c r="AG215">
        <v>691</v>
      </c>
    </row>
    <row r="216" spans="31:33">
      <c r="AE216">
        <v>7</v>
      </c>
      <c r="AF216" s="112">
        <v>0.875</v>
      </c>
      <c r="AG216">
        <v>654</v>
      </c>
    </row>
    <row r="217" spans="31:33">
      <c r="AE217">
        <v>7</v>
      </c>
      <c r="AF217" s="112">
        <v>0.91666666666666663</v>
      </c>
      <c r="AG217">
        <v>520</v>
      </c>
    </row>
    <row r="218" spans="31:33">
      <c r="AE218">
        <v>7</v>
      </c>
      <c r="AF218" s="112">
        <v>0.95833333333333337</v>
      </c>
      <c r="AG218">
        <v>604</v>
      </c>
    </row>
    <row r="219" spans="31:33">
      <c r="AE219">
        <v>7</v>
      </c>
      <c r="AF219" s="112">
        <v>0</v>
      </c>
      <c r="AG219">
        <v>547</v>
      </c>
    </row>
    <row r="220" spans="31:33">
      <c r="AE220">
        <v>8</v>
      </c>
      <c r="AF220" s="112">
        <v>4.1666666666666664E-2</v>
      </c>
      <c r="AG220">
        <v>518</v>
      </c>
    </row>
    <row r="221" spans="31:33">
      <c r="AE221">
        <v>8</v>
      </c>
      <c r="AF221" s="112">
        <v>8.3333333333333329E-2</v>
      </c>
      <c r="AG221">
        <v>549</v>
      </c>
    </row>
    <row r="222" spans="31:33">
      <c r="AE222">
        <v>8</v>
      </c>
      <c r="AF222" s="112">
        <v>0.125</v>
      </c>
      <c r="AG222">
        <v>483</v>
      </c>
    </row>
    <row r="223" spans="31:33">
      <c r="AE223">
        <v>8</v>
      </c>
      <c r="AF223" s="112">
        <v>0.16666666666666666</v>
      </c>
      <c r="AG223">
        <v>480</v>
      </c>
    </row>
    <row r="224" spans="31:33">
      <c r="AE224">
        <v>8</v>
      </c>
      <c r="AF224" s="112">
        <v>0.20833333333333334</v>
      </c>
      <c r="AG224">
        <v>477</v>
      </c>
    </row>
    <row r="225" spans="31:33">
      <c r="AE225">
        <v>8</v>
      </c>
      <c r="AF225" s="112">
        <v>0.25</v>
      </c>
      <c r="AG225">
        <v>505</v>
      </c>
    </row>
    <row r="226" spans="31:33">
      <c r="AE226">
        <v>8</v>
      </c>
      <c r="AF226" s="112">
        <v>0.29166666666666669</v>
      </c>
      <c r="AG226">
        <v>548</v>
      </c>
    </row>
    <row r="227" spans="31:33">
      <c r="AE227">
        <v>8</v>
      </c>
      <c r="AF227" s="112">
        <v>0.33333333333333331</v>
      </c>
      <c r="AG227">
        <v>508</v>
      </c>
    </row>
    <row r="228" spans="31:33">
      <c r="AE228">
        <v>8</v>
      </c>
      <c r="AF228" s="112">
        <v>0.375</v>
      </c>
      <c r="AG228">
        <v>494</v>
      </c>
    </row>
    <row r="229" spans="31:33">
      <c r="AE229">
        <v>8</v>
      </c>
      <c r="AF229" s="112">
        <v>0.41666666666666669</v>
      </c>
      <c r="AG229">
        <v>474</v>
      </c>
    </row>
    <row r="230" spans="31:33">
      <c r="AE230">
        <v>8</v>
      </c>
      <c r="AF230" s="112">
        <v>0.45833333333333331</v>
      </c>
      <c r="AG230">
        <v>477</v>
      </c>
    </row>
    <row r="231" spans="31:33">
      <c r="AE231">
        <v>8</v>
      </c>
      <c r="AF231" s="112">
        <v>0.5</v>
      </c>
      <c r="AG231">
        <v>465</v>
      </c>
    </row>
    <row r="232" spans="31:33">
      <c r="AE232">
        <v>8</v>
      </c>
      <c r="AF232" s="112">
        <v>0.54166666666666663</v>
      </c>
      <c r="AG232">
        <v>447</v>
      </c>
    </row>
    <row r="233" spans="31:33">
      <c r="AE233">
        <v>8</v>
      </c>
      <c r="AF233" s="112">
        <v>0.58333333333333337</v>
      </c>
      <c r="AG233">
        <v>433</v>
      </c>
    </row>
    <row r="234" spans="31:33">
      <c r="AE234">
        <v>8</v>
      </c>
      <c r="AF234" s="112">
        <v>0.625</v>
      </c>
      <c r="AG234">
        <v>419</v>
      </c>
    </row>
    <row r="235" spans="31:33">
      <c r="AE235">
        <v>8</v>
      </c>
      <c r="AF235" s="112">
        <v>0.66666666666666663</v>
      </c>
      <c r="AG235">
        <v>429</v>
      </c>
    </row>
    <row r="236" spans="31:33">
      <c r="AE236">
        <v>8</v>
      </c>
      <c r="AF236" s="112">
        <v>0.70833333333333337</v>
      </c>
      <c r="AG236">
        <v>448</v>
      </c>
    </row>
    <row r="237" spans="31:33">
      <c r="AE237">
        <v>8</v>
      </c>
      <c r="AF237" s="112">
        <v>0.75</v>
      </c>
      <c r="AG237">
        <v>477</v>
      </c>
    </row>
    <row r="238" spans="31:33">
      <c r="AE238">
        <v>8</v>
      </c>
      <c r="AF238" s="112">
        <v>0.79166666666666663</v>
      </c>
      <c r="AG238">
        <v>623</v>
      </c>
    </row>
    <row r="239" spans="31:33">
      <c r="AE239">
        <v>8</v>
      </c>
      <c r="AF239" s="112">
        <v>0.83333333333333337</v>
      </c>
      <c r="AG239">
        <v>705</v>
      </c>
    </row>
    <row r="240" spans="31:33">
      <c r="AE240">
        <v>8</v>
      </c>
      <c r="AF240" s="112">
        <v>0.875</v>
      </c>
      <c r="AG240">
        <v>662</v>
      </c>
    </row>
    <row r="241" spans="31:33">
      <c r="AE241">
        <v>8</v>
      </c>
      <c r="AF241" s="112">
        <v>0.91666666666666663</v>
      </c>
      <c r="AG241">
        <v>631</v>
      </c>
    </row>
    <row r="242" spans="31:33">
      <c r="AE242">
        <v>8</v>
      </c>
      <c r="AF242" s="112">
        <v>0.95833333333333337</v>
      </c>
      <c r="AG242">
        <v>582</v>
      </c>
    </row>
    <row r="243" spans="31:33">
      <c r="AE243">
        <v>8</v>
      </c>
      <c r="AF243" s="112">
        <v>0</v>
      </c>
      <c r="AG243">
        <v>555</v>
      </c>
    </row>
    <row r="244" spans="31:33">
      <c r="AE244">
        <v>9</v>
      </c>
      <c r="AF244" s="112">
        <v>4.1666666666666664E-2</v>
      </c>
      <c r="AG244">
        <v>517</v>
      </c>
    </row>
    <row r="245" spans="31:33">
      <c r="AE245">
        <v>9</v>
      </c>
      <c r="AF245" s="112">
        <v>8.3333333333333329E-2</v>
      </c>
      <c r="AG245">
        <v>225</v>
      </c>
    </row>
    <row r="246" spans="31:33">
      <c r="AE246">
        <v>9</v>
      </c>
      <c r="AF246" s="112">
        <v>0.125</v>
      </c>
      <c r="AG246">
        <v>220</v>
      </c>
    </row>
    <row r="247" spans="31:33">
      <c r="AE247">
        <v>9</v>
      </c>
      <c r="AF247" s="112">
        <v>0.16666666666666666</v>
      </c>
      <c r="AG247">
        <v>217</v>
      </c>
    </row>
    <row r="248" spans="31:33">
      <c r="AE248">
        <v>9</v>
      </c>
      <c r="AF248" s="112">
        <v>0.20833333333333334</v>
      </c>
      <c r="AG248">
        <v>222</v>
      </c>
    </row>
    <row r="249" spans="31:33">
      <c r="AE249">
        <v>9</v>
      </c>
      <c r="AF249" s="112">
        <v>0.25</v>
      </c>
      <c r="AG249">
        <v>566</v>
      </c>
    </row>
    <row r="250" spans="31:33">
      <c r="AE250">
        <v>9</v>
      </c>
      <c r="AF250" s="112">
        <v>0.29166666666666669</v>
      </c>
      <c r="AG250">
        <v>587</v>
      </c>
    </row>
    <row r="251" spans="31:33">
      <c r="AE251">
        <v>9</v>
      </c>
      <c r="AF251" s="112">
        <v>0.33333333333333331</v>
      </c>
      <c r="AG251">
        <v>532</v>
      </c>
    </row>
    <row r="252" spans="31:33">
      <c r="AE252">
        <v>9</v>
      </c>
      <c r="AF252" s="112">
        <v>0.375</v>
      </c>
      <c r="AG252">
        <v>497</v>
      </c>
    </row>
    <row r="253" spans="31:33">
      <c r="AE253">
        <v>9</v>
      </c>
      <c r="AF253" s="112">
        <v>0.41666666666666669</v>
      </c>
      <c r="AG253">
        <v>469</v>
      </c>
    </row>
    <row r="254" spans="31:33">
      <c r="AE254">
        <v>9</v>
      </c>
      <c r="AF254" s="112">
        <v>0.45833333333333331</v>
      </c>
      <c r="AG254">
        <v>463</v>
      </c>
    </row>
    <row r="255" spans="31:33">
      <c r="AE255">
        <v>9</v>
      </c>
      <c r="AF255" s="112">
        <v>0.5</v>
      </c>
      <c r="AG255">
        <v>458</v>
      </c>
    </row>
    <row r="256" spans="31:33">
      <c r="AE256">
        <v>9</v>
      </c>
      <c r="AF256" s="112">
        <v>0.54166666666666663</v>
      </c>
      <c r="AG256">
        <v>433</v>
      </c>
    </row>
    <row r="257" spans="31:33">
      <c r="AE257">
        <v>9</v>
      </c>
      <c r="AF257" s="112">
        <v>0.58333333333333337</v>
      </c>
      <c r="AG257">
        <v>414</v>
      </c>
    </row>
    <row r="258" spans="31:33">
      <c r="AE258">
        <v>9</v>
      </c>
      <c r="AF258" s="112">
        <v>0.625</v>
      </c>
      <c r="AG258">
        <v>405</v>
      </c>
    </row>
    <row r="259" spans="31:33">
      <c r="AE259">
        <v>9</v>
      </c>
      <c r="AF259" s="112">
        <v>0.66666666666666663</v>
      </c>
      <c r="AG259">
        <v>410</v>
      </c>
    </row>
    <row r="260" spans="31:33">
      <c r="AE260">
        <v>9</v>
      </c>
      <c r="AF260" s="112">
        <v>0.70833333333333337</v>
      </c>
      <c r="AG260">
        <v>418</v>
      </c>
    </row>
    <row r="261" spans="31:33">
      <c r="AE261">
        <v>9</v>
      </c>
      <c r="AF261" s="112">
        <v>0.75</v>
      </c>
      <c r="AG261">
        <v>443</v>
      </c>
    </row>
    <row r="262" spans="31:33">
      <c r="AE262">
        <v>9</v>
      </c>
      <c r="AF262" s="112">
        <v>0.79166666666666663</v>
      </c>
      <c r="AG262">
        <v>640</v>
      </c>
    </row>
    <row r="263" spans="31:33">
      <c r="AE263">
        <v>9</v>
      </c>
      <c r="AF263" s="112">
        <v>0.83333333333333337</v>
      </c>
      <c r="AG263">
        <v>681</v>
      </c>
    </row>
    <row r="264" spans="31:33">
      <c r="AE264">
        <v>9</v>
      </c>
      <c r="AF264" s="112">
        <v>0.875</v>
      </c>
      <c r="AG264">
        <v>673</v>
      </c>
    </row>
    <row r="265" spans="31:33">
      <c r="AE265">
        <v>9</v>
      </c>
      <c r="AF265" s="112">
        <v>0.91666666666666663</v>
      </c>
      <c r="AG265">
        <v>615</v>
      </c>
    </row>
    <row r="266" spans="31:33">
      <c r="AE266">
        <v>9</v>
      </c>
      <c r="AF266" s="112">
        <v>0.95833333333333337</v>
      </c>
      <c r="AG266">
        <v>559</v>
      </c>
    </row>
    <row r="267" spans="31:33">
      <c r="AE267">
        <v>9</v>
      </c>
      <c r="AF267" s="112">
        <v>0</v>
      </c>
      <c r="AG267">
        <v>535</v>
      </c>
    </row>
    <row r="268" spans="31:33">
      <c r="AE268">
        <v>10</v>
      </c>
      <c r="AF268" s="112">
        <v>4.1666666666666664E-2</v>
      </c>
      <c r="AG268">
        <v>514</v>
      </c>
    </row>
    <row r="269" spans="31:33">
      <c r="AE269">
        <v>10</v>
      </c>
      <c r="AF269" s="112">
        <v>8.3333333333333329E-2</v>
      </c>
      <c r="AG269">
        <v>498</v>
      </c>
    </row>
    <row r="270" spans="31:33">
      <c r="AE270">
        <v>10</v>
      </c>
      <c r="AF270" s="112">
        <v>0.125</v>
      </c>
      <c r="AG270">
        <v>494</v>
      </c>
    </row>
    <row r="271" spans="31:33">
      <c r="AE271">
        <v>10</v>
      </c>
      <c r="AF271" s="112">
        <v>0.16666666666666666</v>
      </c>
      <c r="AG271">
        <v>517</v>
      </c>
    </row>
    <row r="272" spans="31:33">
      <c r="AE272">
        <v>10</v>
      </c>
      <c r="AF272" s="112">
        <v>0.20833333333333334</v>
      </c>
      <c r="AG272">
        <v>578</v>
      </c>
    </row>
    <row r="273" spans="31:33">
      <c r="AE273">
        <v>10</v>
      </c>
      <c r="AF273" s="112">
        <v>0.25</v>
      </c>
      <c r="AG273">
        <v>523</v>
      </c>
    </row>
    <row r="274" spans="31:33">
      <c r="AE274">
        <v>10</v>
      </c>
      <c r="AF274" s="112">
        <v>0.29166666666666669</v>
      </c>
      <c r="AG274">
        <v>540</v>
      </c>
    </row>
    <row r="275" spans="31:33">
      <c r="AE275">
        <v>10</v>
      </c>
      <c r="AF275" s="112">
        <v>0.33333333333333331</v>
      </c>
      <c r="AG275">
        <v>517</v>
      </c>
    </row>
    <row r="276" spans="31:33">
      <c r="AE276">
        <v>10</v>
      </c>
      <c r="AF276" s="112">
        <v>0.375</v>
      </c>
      <c r="AG276">
        <v>493</v>
      </c>
    </row>
    <row r="277" spans="31:33">
      <c r="AE277">
        <v>10</v>
      </c>
      <c r="AF277" s="112">
        <v>0.41666666666666669</v>
      </c>
      <c r="AG277">
        <v>684</v>
      </c>
    </row>
    <row r="278" spans="31:33">
      <c r="AE278">
        <v>10</v>
      </c>
      <c r="AF278" s="112">
        <v>0.45833333333333331</v>
      </c>
      <c r="AG278">
        <v>456</v>
      </c>
    </row>
    <row r="279" spans="31:33">
      <c r="AE279">
        <v>10</v>
      </c>
      <c r="AF279" s="112">
        <v>0.5</v>
      </c>
      <c r="AG279">
        <v>443</v>
      </c>
    </row>
    <row r="280" spans="31:33">
      <c r="AE280">
        <v>10</v>
      </c>
      <c r="AF280" s="112">
        <v>0.54166666666666663</v>
      </c>
      <c r="AG280">
        <v>446</v>
      </c>
    </row>
    <row r="281" spans="31:33">
      <c r="AE281">
        <v>10</v>
      </c>
      <c r="AF281" s="112">
        <v>0.58333333333333337</v>
      </c>
      <c r="AG281">
        <v>435</v>
      </c>
    </row>
    <row r="282" spans="31:33">
      <c r="AE282">
        <v>10</v>
      </c>
      <c r="AF282" s="112">
        <v>0.625</v>
      </c>
      <c r="AG282">
        <v>421</v>
      </c>
    </row>
    <row r="283" spans="31:33">
      <c r="AE283">
        <v>10</v>
      </c>
      <c r="AF283" s="112">
        <v>0.66666666666666663</v>
      </c>
      <c r="AG283">
        <v>427</v>
      </c>
    </row>
    <row r="284" spans="31:33">
      <c r="AE284">
        <v>10</v>
      </c>
      <c r="AF284" s="112">
        <v>0.70833333333333337</v>
      </c>
      <c r="AG284">
        <v>443</v>
      </c>
    </row>
    <row r="285" spans="31:33">
      <c r="AE285">
        <v>10</v>
      </c>
      <c r="AF285" s="112">
        <v>0.75</v>
      </c>
      <c r="AG285">
        <v>460</v>
      </c>
    </row>
    <row r="286" spans="31:33">
      <c r="AE286">
        <v>10</v>
      </c>
      <c r="AF286" s="112">
        <v>0.79166666666666663</v>
      </c>
      <c r="AG286">
        <v>644</v>
      </c>
    </row>
    <row r="287" spans="31:33">
      <c r="AE287">
        <v>10</v>
      </c>
      <c r="AF287" s="112">
        <v>0.83333333333333337</v>
      </c>
      <c r="AG287">
        <v>708</v>
      </c>
    </row>
    <row r="288" spans="31:33">
      <c r="AE288">
        <v>10</v>
      </c>
      <c r="AF288" s="112">
        <v>0.875</v>
      </c>
      <c r="AG288">
        <v>656</v>
      </c>
    </row>
    <row r="289" spans="31:33">
      <c r="AE289">
        <v>10</v>
      </c>
      <c r="AF289" s="112">
        <v>0.91666666666666663</v>
      </c>
      <c r="AG289">
        <v>618</v>
      </c>
    </row>
    <row r="290" spans="31:33">
      <c r="AE290">
        <v>10</v>
      </c>
      <c r="AF290" s="112">
        <v>0.95833333333333337</v>
      </c>
      <c r="AG290">
        <v>564</v>
      </c>
    </row>
    <row r="291" spans="31:33">
      <c r="AE291">
        <v>10</v>
      </c>
      <c r="AF291" s="112">
        <v>0</v>
      </c>
      <c r="AG291">
        <v>534</v>
      </c>
    </row>
    <row r="292" spans="31:33">
      <c r="AE292">
        <v>11</v>
      </c>
      <c r="AF292" s="112">
        <v>4.1666666666666664E-2</v>
      </c>
      <c r="AG292">
        <v>513</v>
      </c>
    </row>
    <row r="293" spans="31:33">
      <c r="AE293">
        <v>11</v>
      </c>
      <c r="AF293" s="112">
        <v>8.3333333333333329E-2</v>
      </c>
      <c r="AG293">
        <v>501</v>
      </c>
    </row>
    <row r="294" spans="31:33">
      <c r="AE294">
        <v>11</v>
      </c>
      <c r="AF294" s="112">
        <v>0.125</v>
      </c>
      <c r="AG294">
        <v>490</v>
      </c>
    </row>
    <row r="295" spans="31:33">
      <c r="AE295">
        <v>11</v>
      </c>
      <c r="AF295" s="112">
        <v>0.16666666666666666</v>
      </c>
      <c r="AG295">
        <v>492</v>
      </c>
    </row>
    <row r="296" spans="31:33">
      <c r="AE296">
        <v>11</v>
      </c>
      <c r="AF296" s="112">
        <v>0.20833333333333334</v>
      </c>
      <c r="AG296">
        <v>498</v>
      </c>
    </row>
    <row r="297" spans="31:33">
      <c r="AE297">
        <v>11</v>
      </c>
      <c r="AF297" s="112">
        <v>0.25</v>
      </c>
      <c r="AG297">
        <v>232</v>
      </c>
    </row>
    <row r="298" spans="31:33">
      <c r="AE298">
        <v>11</v>
      </c>
      <c r="AF298" s="112">
        <v>0.29166666666666669</v>
      </c>
      <c r="AG298">
        <v>244</v>
      </c>
    </row>
    <row r="299" spans="31:33">
      <c r="AE299">
        <v>11</v>
      </c>
      <c r="AF299" s="112">
        <v>0.33333333333333331</v>
      </c>
      <c r="AG299">
        <v>432</v>
      </c>
    </row>
    <row r="300" spans="31:33">
      <c r="AE300">
        <v>11</v>
      </c>
      <c r="AF300" s="112">
        <v>0.375</v>
      </c>
      <c r="AG300">
        <v>536</v>
      </c>
    </row>
    <row r="301" spans="31:33">
      <c r="AE301">
        <v>11</v>
      </c>
      <c r="AF301" s="112">
        <v>0.41666666666666669</v>
      </c>
      <c r="AG301">
        <v>521</v>
      </c>
    </row>
    <row r="302" spans="31:33">
      <c r="AE302">
        <v>11</v>
      </c>
      <c r="AF302" s="112">
        <v>0.45833333333333331</v>
      </c>
      <c r="AG302">
        <v>476</v>
      </c>
    </row>
    <row r="303" spans="31:33">
      <c r="AE303">
        <v>11</v>
      </c>
      <c r="AF303" s="112">
        <v>0.5</v>
      </c>
      <c r="AG303">
        <v>490</v>
      </c>
    </row>
    <row r="304" spans="31:33">
      <c r="AE304">
        <v>11</v>
      </c>
      <c r="AF304" s="112">
        <v>0.54166666666666663</v>
      </c>
      <c r="AG304">
        <v>469</v>
      </c>
    </row>
    <row r="305" spans="31:33">
      <c r="AE305">
        <v>11</v>
      </c>
      <c r="AF305" s="112">
        <v>0.58333333333333337</v>
      </c>
      <c r="AG305">
        <v>450</v>
      </c>
    </row>
    <row r="306" spans="31:33">
      <c r="AE306">
        <v>11</v>
      </c>
      <c r="AF306" s="112">
        <v>0.625</v>
      </c>
      <c r="AG306">
        <v>442</v>
      </c>
    </row>
    <row r="307" spans="31:33">
      <c r="AE307">
        <v>11</v>
      </c>
      <c r="AF307" s="112">
        <v>0.66666666666666663</v>
      </c>
      <c r="AG307">
        <v>435</v>
      </c>
    </row>
    <row r="308" spans="31:33">
      <c r="AE308">
        <v>11</v>
      </c>
      <c r="AF308" s="112">
        <v>0.70833333333333337</v>
      </c>
      <c r="AG308">
        <v>439</v>
      </c>
    </row>
    <row r="309" spans="31:33">
      <c r="AE309">
        <v>11</v>
      </c>
      <c r="AF309" s="112">
        <v>0.75</v>
      </c>
      <c r="AG309">
        <v>497</v>
      </c>
    </row>
    <row r="310" spans="31:33">
      <c r="AE310">
        <v>11</v>
      </c>
      <c r="AF310" s="112">
        <v>0.79166666666666663</v>
      </c>
      <c r="AG310">
        <v>618</v>
      </c>
    </row>
    <row r="311" spans="31:33">
      <c r="AE311">
        <v>11</v>
      </c>
      <c r="AF311" s="112">
        <v>0.83333333333333337</v>
      </c>
      <c r="AG311">
        <v>730</v>
      </c>
    </row>
    <row r="312" spans="31:33">
      <c r="AE312">
        <v>11</v>
      </c>
      <c r="AF312" s="112">
        <v>0.875</v>
      </c>
      <c r="AG312">
        <v>684</v>
      </c>
    </row>
    <row r="313" spans="31:33">
      <c r="AE313">
        <v>11</v>
      </c>
      <c r="AF313" s="112">
        <v>0.91666666666666663</v>
      </c>
      <c r="AG313">
        <v>626</v>
      </c>
    </row>
    <row r="314" spans="31:33">
      <c r="AE314">
        <v>11</v>
      </c>
      <c r="AF314" s="112">
        <v>0.95833333333333337</v>
      </c>
      <c r="AG314">
        <v>586</v>
      </c>
    </row>
    <row r="315" spans="31:33">
      <c r="AE315">
        <v>11</v>
      </c>
      <c r="AF315" s="112">
        <v>0</v>
      </c>
      <c r="AG315">
        <v>547</v>
      </c>
    </row>
    <row r="316" spans="31:33">
      <c r="AE316">
        <v>12</v>
      </c>
      <c r="AF316" s="112">
        <v>4.1666666666666664E-2</v>
      </c>
      <c r="AG316">
        <v>496</v>
      </c>
    </row>
    <row r="317" spans="31:33">
      <c r="AE317">
        <v>12</v>
      </c>
      <c r="AF317" s="112">
        <v>8.3333333333333329E-2</v>
      </c>
      <c r="AG317">
        <v>474</v>
      </c>
    </row>
    <row r="318" spans="31:33">
      <c r="AE318">
        <v>12</v>
      </c>
      <c r="AF318" s="112">
        <v>0.125</v>
      </c>
      <c r="AG318">
        <v>490</v>
      </c>
    </row>
    <row r="319" spans="31:33">
      <c r="AE319">
        <v>12</v>
      </c>
      <c r="AF319" s="112">
        <v>0.16666666666666666</v>
      </c>
      <c r="AG319">
        <v>488</v>
      </c>
    </row>
    <row r="320" spans="31:33">
      <c r="AE320">
        <v>12</v>
      </c>
      <c r="AF320" s="112">
        <v>0.20833333333333334</v>
      </c>
      <c r="AG320">
        <v>488</v>
      </c>
    </row>
    <row r="321" spans="31:33">
      <c r="AE321">
        <v>12</v>
      </c>
      <c r="AF321" s="112">
        <v>0.25</v>
      </c>
      <c r="AG321">
        <v>514</v>
      </c>
    </row>
    <row r="322" spans="31:33">
      <c r="AE322">
        <v>12</v>
      </c>
      <c r="AF322" s="112">
        <v>0.29166666666666669</v>
      </c>
      <c r="AG322">
        <v>544.27499999999998</v>
      </c>
    </row>
    <row r="323" spans="31:33">
      <c r="AE323">
        <v>12</v>
      </c>
      <c r="AF323" s="112">
        <v>0.33333333333333331</v>
      </c>
      <c r="AG323">
        <v>233</v>
      </c>
    </row>
    <row r="324" spans="31:33">
      <c r="AE324">
        <v>12</v>
      </c>
      <c r="AF324" s="112">
        <v>0.375</v>
      </c>
      <c r="AG324">
        <v>393</v>
      </c>
    </row>
    <row r="325" spans="31:33">
      <c r="AE325">
        <v>12</v>
      </c>
      <c r="AF325" s="112">
        <v>0.41666666666666669</v>
      </c>
      <c r="AG325">
        <v>443</v>
      </c>
    </row>
    <row r="326" spans="31:33">
      <c r="AE326">
        <v>12</v>
      </c>
      <c r="AF326" s="112">
        <v>0.45833333333333331</v>
      </c>
      <c r="AG326">
        <v>440</v>
      </c>
    </row>
    <row r="327" spans="31:33">
      <c r="AE327">
        <v>12</v>
      </c>
      <c r="AF327" s="112">
        <v>0.5</v>
      </c>
      <c r="AG327">
        <v>432</v>
      </c>
    </row>
    <row r="328" spans="31:33">
      <c r="AE328">
        <v>12</v>
      </c>
      <c r="AF328" s="112">
        <v>0.54166666666666663</v>
      </c>
      <c r="AG328">
        <v>495</v>
      </c>
    </row>
    <row r="329" spans="31:33">
      <c r="AE329">
        <v>12</v>
      </c>
      <c r="AF329" s="112">
        <v>0.58333333333333337</v>
      </c>
      <c r="AG329">
        <v>394</v>
      </c>
    </row>
    <row r="330" spans="31:33">
      <c r="AE330">
        <v>12</v>
      </c>
      <c r="AF330" s="112">
        <v>0.625</v>
      </c>
      <c r="AG330">
        <v>376</v>
      </c>
    </row>
    <row r="331" spans="31:33">
      <c r="AE331">
        <v>12</v>
      </c>
      <c r="AF331" s="112">
        <v>0.66666666666666663</v>
      </c>
      <c r="AG331">
        <v>382</v>
      </c>
    </row>
    <row r="332" spans="31:33">
      <c r="AE332">
        <v>12</v>
      </c>
      <c r="AF332" s="112">
        <v>0.70833333333333337</v>
      </c>
      <c r="AG332">
        <v>389</v>
      </c>
    </row>
    <row r="333" spans="31:33">
      <c r="AE333">
        <v>12</v>
      </c>
      <c r="AF333" s="112">
        <v>0.75</v>
      </c>
      <c r="AG333">
        <v>422</v>
      </c>
    </row>
    <row r="334" spans="31:33">
      <c r="AE334">
        <v>12</v>
      </c>
      <c r="AF334" s="112">
        <v>0.79166666666666663</v>
      </c>
      <c r="AG334">
        <v>578</v>
      </c>
    </row>
    <row r="335" spans="31:33">
      <c r="AE335">
        <v>12</v>
      </c>
      <c r="AF335" s="112">
        <v>0.83333333333333337</v>
      </c>
      <c r="AG335">
        <v>612</v>
      </c>
    </row>
    <row r="336" spans="31:33">
      <c r="AE336">
        <v>12</v>
      </c>
      <c r="AF336" s="112">
        <v>0.875</v>
      </c>
      <c r="AG336">
        <v>570</v>
      </c>
    </row>
    <row r="337" spans="31:33">
      <c r="AE337">
        <v>12</v>
      </c>
      <c r="AF337" s="112">
        <v>0.91666666666666663</v>
      </c>
      <c r="AG337">
        <v>526</v>
      </c>
    </row>
    <row r="338" spans="31:33">
      <c r="AE338">
        <v>12</v>
      </c>
      <c r="AF338" s="112">
        <v>0.95833333333333337</v>
      </c>
      <c r="AG338">
        <v>485</v>
      </c>
    </row>
    <row r="339" spans="31:33">
      <c r="AE339">
        <v>12</v>
      </c>
      <c r="AF339" s="112">
        <v>0</v>
      </c>
      <c r="AG339">
        <v>459</v>
      </c>
    </row>
    <row r="340" spans="31:33">
      <c r="AE340">
        <v>13</v>
      </c>
      <c r="AF340" s="112">
        <v>4.1666666666666664E-2</v>
      </c>
      <c r="AG340">
        <v>514</v>
      </c>
    </row>
    <row r="341" spans="31:33">
      <c r="AE341">
        <v>13</v>
      </c>
      <c r="AF341" s="112">
        <v>8.3333333333333329E-2</v>
      </c>
      <c r="AG341">
        <v>504</v>
      </c>
    </row>
    <row r="342" spans="31:33">
      <c r="AE342">
        <v>13</v>
      </c>
      <c r="AF342" s="112">
        <v>0.125</v>
      </c>
      <c r="AG342">
        <v>485</v>
      </c>
    </row>
    <row r="343" spans="31:33">
      <c r="AE343">
        <v>13</v>
      </c>
      <c r="AF343" s="112">
        <v>0.16666666666666666</v>
      </c>
      <c r="AG343">
        <v>488</v>
      </c>
    </row>
    <row r="344" spans="31:33">
      <c r="AE344">
        <v>13</v>
      </c>
      <c r="AF344" s="112">
        <v>0.20833333333333334</v>
      </c>
      <c r="AG344">
        <v>491</v>
      </c>
    </row>
    <row r="345" spans="31:33">
      <c r="AE345">
        <v>13</v>
      </c>
      <c r="AF345" s="112">
        <v>0.25</v>
      </c>
      <c r="AG345">
        <v>531</v>
      </c>
    </row>
    <row r="346" spans="31:33">
      <c r="AE346">
        <v>13</v>
      </c>
      <c r="AF346" s="112">
        <v>0.29166666666666669</v>
      </c>
      <c r="AG346">
        <v>553</v>
      </c>
    </row>
    <row r="347" spans="31:33">
      <c r="AE347">
        <v>13</v>
      </c>
      <c r="AF347" s="112">
        <v>0.33333333333333331</v>
      </c>
      <c r="AG347">
        <v>538</v>
      </c>
    </row>
    <row r="348" spans="31:33">
      <c r="AE348">
        <v>13</v>
      </c>
      <c r="AF348" s="112">
        <v>0.375</v>
      </c>
      <c r="AG348">
        <v>521</v>
      </c>
    </row>
    <row r="349" spans="31:33">
      <c r="AE349">
        <v>13</v>
      </c>
      <c r="AF349" s="112">
        <v>0.41666666666666669</v>
      </c>
      <c r="AG349">
        <v>512</v>
      </c>
    </row>
    <row r="350" spans="31:33">
      <c r="AE350">
        <v>13</v>
      </c>
      <c r="AF350" s="112">
        <v>0.45833333333333331</v>
      </c>
      <c r="AG350">
        <v>463</v>
      </c>
    </row>
    <row r="351" spans="31:33">
      <c r="AE351">
        <v>13</v>
      </c>
      <c r="AF351" s="112">
        <v>0.5</v>
      </c>
      <c r="AG351">
        <v>465</v>
      </c>
    </row>
    <row r="352" spans="31:33">
      <c r="AE352">
        <v>13</v>
      </c>
      <c r="AF352" s="112">
        <v>0.54166666666666663</v>
      </c>
      <c r="AG352">
        <v>444</v>
      </c>
    </row>
    <row r="353" spans="31:33">
      <c r="AE353">
        <v>13</v>
      </c>
      <c r="AF353" s="112">
        <v>0.58333333333333337</v>
      </c>
      <c r="AG353">
        <v>432</v>
      </c>
    </row>
    <row r="354" spans="31:33">
      <c r="AE354">
        <v>13</v>
      </c>
      <c r="AF354" s="112">
        <v>0.625</v>
      </c>
      <c r="AG354">
        <v>423</v>
      </c>
    </row>
    <row r="355" spans="31:33">
      <c r="AE355">
        <v>13</v>
      </c>
      <c r="AF355" s="112">
        <v>0.66666666666666663</v>
      </c>
      <c r="AG355">
        <v>416</v>
      </c>
    </row>
    <row r="356" spans="31:33">
      <c r="AE356">
        <v>13</v>
      </c>
      <c r="AF356" s="112">
        <v>0.70833333333333337</v>
      </c>
      <c r="AG356">
        <v>441</v>
      </c>
    </row>
    <row r="357" spans="31:33">
      <c r="AE357">
        <v>13</v>
      </c>
      <c r="AF357" s="112">
        <v>0.75</v>
      </c>
      <c r="AG357">
        <v>523</v>
      </c>
    </row>
    <row r="358" spans="31:33">
      <c r="AE358">
        <v>13</v>
      </c>
      <c r="AF358" s="112">
        <v>0.79166666666666663</v>
      </c>
      <c r="AG358">
        <v>687</v>
      </c>
    </row>
    <row r="359" spans="31:33">
      <c r="AE359">
        <v>13</v>
      </c>
      <c r="AF359" s="112">
        <v>0.83333333333333337</v>
      </c>
      <c r="AG359">
        <v>673</v>
      </c>
    </row>
    <row r="360" spans="31:33">
      <c r="AE360">
        <v>13</v>
      </c>
      <c r="AF360" s="112">
        <v>0.875</v>
      </c>
      <c r="AG360">
        <v>593</v>
      </c>
    </row>
    <row r="361" spans="31:33">
      <c r="AE361">
        <v>13</v>
      </c>
      <c r="AF361" s="112">
        <v>0.91666666666666663</v>
      </c>
      <c r="AG361">
        <v>598</v>
      </c>
    </row>
    <row r="362" spans="31:33">
      <c r="AE362">
        <v>13</v>
      </c>
      <c r="AF362" s="112">
        <v>0.95833333333333337</v>
      </c>
      <c r="AG362">
        <v>567</v>
      </c>
    </row>
    <row r="363" spans="31:33">
      <c r="AE363">
        <v>13</v>
      </c>
      <c r="AF363" s="112">
        <v>0</v>
      </c>
      <c r="AG363">
        <v>519</v>
      </c>
    </row>
    <row r="364" spans="31:33">
      <c r="AE364">
        <v>14</v>
      </c>
      <c r="AF364" s="112">
        <v>4.1666666666666664E-2</v>
      </c>
      <c r="AG364">
        <v>509</v>
      </c>
    </row>
    <row r="365" spans="31:33">
      <c r="AE365">
        <v>14</v>
      </c>
      <c r="AF365" s="112">
        <v>8.3333333333333329E-2</v>
      </c>
      <c r="AG365">
        <v>485</v>
      </c>
    </row>
    <row r="366" spans="31:33">
      <c r="AE366">
        <v>14</v>
      </c>
      <c r="AF366" s="112">
        <v>0.125</v>
      </c>
      <c r="AG366">
        <v>478</v>
      </c>
    </row>
    <row r="367" spans="31:33">
      <c r="AE367">
        <v>14</v>
      </c>
      <c r="AF367" s="112">
        <v>0.16666666666666666</v>
      </c>
      <c r="AG367">
        <v>479</v>
      </c>
    </row>
    <row r="368" spans="31:33">
      <c r="AE368">
        <v>14</v>
      </c>
      <c r="AF368" s="112">
        <v>0.20833333333333334</v>
      </c>
      <c r="AG368">
        <v>469</v>
      </c>
    </row>
    <row r="369" spans="31:33">
      <c r="AE369">
        <v>14</v>
      </c>
      <c r="AF369" s="112">
        <v>0.25</v>
      </c>
      <c r="AG369">
        <v>486</v>
      </c>
    </row>
    <row r="370" spans="31:33">
      <c r="AE370">
        <v>14</v>
      </c>
      <c r="AF370" s="112">
        <v>0.29166666666666669</v>
      </c>
      <c r="AG370">
        <v>540</v>
      </c>
    </row>
    <row r="371" spans="31:33">
      <c r="AE371">
        <v>14</v>
      </c>
      <c r="AF371" s="112">
        <v>0.33333333333333331</v>
      </c>
      <c r="AG371">
        <v>555</v>
      </c>
    </row>
    <row r="372" spans="31:33">
      <c r="AE372">
        <v>14</v>
      </c>
      <c r="AF372" s="112">
        <v>0.375</v>
      </c>
      <c r="AG372">
        <v>549</v>
      </c>
    </row>
    <row r="373" spans="31:33">
      <c r="AE373">
        <v>14</v>
      </c>
      <c r="AF373" s="112">
        <v>0.41666666666666669</v>
      </c>
      <c r="AG373">
        <v>495</v>
      </c>
    </row>
    <row r="374" spans="31:33">
      <c r="AE374">
        <v>14</v>
      </c>
      <c r="AF374" s="112">
        <v>0.45833333333333331</v>
      </c>
      <c r="AG374">
        <v>488</v>
      </c>
    </row>
    <row r="375" spans="31:33">
      <c r="AE375">
        <v>14</v>
      </c>
      <c r="AF375" s="112">
        <v>0.5</v>
      </c>
      <c r="AG375">
        <v>472</v>
      </c>
    </row>
    <row r="376" spans="31:33">
      <c r="AE376">
        <v>14</v>
      </c>
      <c r="AF376" s="112">
        <v>0.54166666666666663</v>
      </c>
      <c r="AG376">
        <v>441</v>
      </c>
    </row>
    <row r="377" spans="31:33">
      <c r="AE377">
        <v>14</v>
      </c>
      <c r="AF377" s="112">
        <v>0.58333333333333337</v>
      </c>
      <c r="AG377">
        <v>425</v>
      </c>
    </row>
    <row r="378" spans="31:33">
      <c r="AE378">
        <v>14</v>
      </c>
      <c r="AF378" s="112">
        <v>0.625</v>
      </c>
      <c r="AG378">
        <v>433</v>
      </c>
    </row>
    <row r="379" spans="31:33">
      <c r="AE379">
        <v>14</v>
      </c>
      <c r="AF379" s="112">
        <v>0.66666666666666663</v>
      </c>
      <c r="AG379">
        <v>414</v>
      </c>
    </row>
    <row r="380" spans="31:33">
      <c r="AE380">
        <v>14</v>
      </c>
      <c r="AF380" s="112">
        <v>0.70833333333333337</v>
      </c>
      <c r="AG380">
        <v>440</v>
      </c>
    </row>
    <row r="381" spans="31:33">
      <c r="AE381">
        <v>14</v>
      </c>
      <c r="AF381" s="112">
        <v>0.75</v>
      </c>
      <c r="AG381">
        <v>491</v>
      </c>
    </row>
    <row r="382" spans="31:33">
      <c r="AE382">
        <v>14</v>
      </c>
      <c r="AF382" s="112">
        <v>0.79166666666666663</v>
      </c>
      <c r="AG382">
        <v>646</v>
      </c>
    </row>
    <row r="383" spans="31:33">
      <c r="AE383">
        <v>14</v>
      </c>
      <c r="AF383" s="112">
        <v>0.83333333333333337</v>
      </c>
      <c r="AG383">
        <v>687</v>
      </c>
    </row>
    <row r="384" spans="31:33">
      <c r="AE384">
        <v>14</v>
      </c>
      <c r="AF384" s="112">
        <v>0.875</v>
      </c>
      <c r="AG384">
        <v>687</v>
      </c>
    </row>
    <row r="385" spans="31:33">
      <c r="AE385">
        <v>14</v>
      </c>
      <c r="AF385" s="112">
        <v>0.91666666666666663</v>
      </c>
      <c r="AG385">
        <v>603</v>
      </c>
    </row>
    <row r="386" spans="31:33">
      <c r="AE386">
        <v>14</v>
      </c>
      <c r="AF386" s="112">
        <v>0.95833333333333337</v>
      </c>
      <c r="AG386">
        <v>552</v>
      </c>
    </row>
    <row r="387" spans="31:33">
      <c r="AE387">
        <v>14</v>
      </c>
      <c r="AF387" s="112">
        <v>0</v>
      </c>
      <c r="AG387">
        <v>554</v>
      </c>
    </row>
    <row r="388" spans="31:33">
      <c r="AE388">
        <v>15</v>
      </c>
      <c r="AF388" s="112">
        <v>4.1666666666666664E-2</v>
      </c>
      <c r="AG388">
        <v>497</v>
      </c>
    </row>
    <row r="389" spans="31:33">
      <c r="AE389">
        <v>15</v>
      </c>
      <c r="AF389" s="112">
        <v>8.3333333333333329E-2</v>
      </c>
      <c r="AG389">
        <v>489</v>
      </c>
    </row>
    <row r="390" spans="31:33">
      <c r="AE390">
        <v>15</v>
      </c>
      <c r="AF390" s="112">
        <v>0.125</v>
      </c>
      <c r="AG390">
        <v>216</v>
      </c>
    </row>
    <row r="391" spans="31:33">
      <c r="AE391">
        <v>15</v>
      </c>
      <c r="AF391" s="112">
        <v>0.16666666666666666</v>
      </c>
      <c r="AG391">
        <v>210</v>
      </c>
    </row>
    <row r="392" spans="31:33">
      <c r="AE392">
        <v>15</v>
      </c>
      <c r="AF392" s="112">
        <v>0.20833333333333334</v>
      </c>
      <c r="AG392">
        <v>218</v>
      </c>
    </row>
    <row r="393" spans="31:33">
      <c r="AE393">
        <v>15</v>
      </c>
      <c r="AF393" s="112">
        <v>0.25</v>
      </c>
      <c r="AG393">
        <v>227</v>
      </c>
    </row>
    <row r="394" spans="31:33">
      <c r="AE394">
        <v>15</v>
      </c>
      <c r="AF394" s="112">
        <v>0.29166666666666669</v>
      </c>
      <c r="AG394">
        <v>262</v>
      </c>
    </row>
    <row r="395" spans="31:33">
      <c r="AE395">
        <v>15</v>
      </c>
      <c r="AF395" s="112">
        <v>0.33333333333333331</v>
      </c>
      <c r="AG395">
        <v>219</v>
      </c>
    </row>
    <row r="396" spans="31:33">
      <c r="AE396">
        <v>15</v>
      </c>
      <c r="AF396" s="112">
        <v>0.375</v>
      </c>
      <c r="AG396">
        <v>578</v>
      </c>
    </row>
    <row r="397" spans="31:33">
      <c r="AE397">
        <v>15</v>
      </c>
      <c r="AF397" s="112">
        <v>0.41666666666666669</v>
      </c>
      <c r="AG397">
        <v>498</v>
      </c>
    </row>
    <row r="398" spans="31:33">
      <c r="AE398">
        <v>15</v>
      </c>
      <c r="AF398" s="112">
        <v>0.45833333333333331</v>
      </c>
      <c r="AG398">
        <v>497</v>
      </c>
    </row>
    <row r="399" spans="31:33">
      <c r="AE399">
        <v>15</v>
      </c>
      <c r="AF399" s="112">
        <v>0.5</v>
      </c>
      <c r="AG399">
        <v>465</v>
      </c>
    </row>
    <row r="400" spans="31:33">
      <c r="AE400">
        <v>15</v>
      </c>
      <c r="AF400" s="112">
        <v>0.54166666666666663</v>
      </c>
      <c r="AG400">
        <v>438</v>
      </c>
    </row>
    <row r="401" spans="31:33">
      <c r="AE401">
        <v>15</v>
      </c>
      <c r="AF401" s="112">
        <v>0.58333333333333337</v>
      </c>
      <c r="AG401">
        <v>426</v>
      </c>
    </row>
    <row r="402" spans="31:33">
      <c r="AE402">
        <v>15</v>
      </c>
      <c r="AF402" s="112">
        <v>0.625</v>
      </c>
      <c r="AG402">
        <v>409</v>
      </c>
    </row>
    <row r="403" spans="31:33">
      <c r="AE403">
        <v>15</v>
      </c>
      <c r="AF403" s="112">
        <v>0.66666666666666663</v>
      </c>
      <c r="AG403">
        <v>410</v>
      </c>
    </row>
    <row r="404" spans="31:33">
      <c r="AE404">
        <v>15</v>
      </c>
      <c r="AF404" s="112">
        <v>0.70833333333333337</v>
      </c>
      <c r="AG404">
        <v>422</v>
      </c>
    </row>
    <row r="405" spans="31:33">
      <c r="AE405">
        <v>15</v>
      </c>
      <c r="AF405" s="112">
        <v>0.75</v>
      </c>
      <c r="AG405">
        <v>459</v>
      </c>
    </row>
    <row r="406" spans="31:33">
      <c r="AE406">
        <v>15</v>
      </c>
      <c r="AF406" s="112">
        <v>0.79166666666666663</v>
      </c>
      <c r="AG406">
        <v>657</v>
      </c>
    </row>
    <row r="407" spans="31:33">
      <c r="AE407">
        <v>15</v>
      </c>
      <c r="AF407" s="112">
        <v>0.83333333333333337</v>
      </c>
      <c r="AG407">
        <v>671</v>
      </c>
    </row>
    <row r="408" spans="31:33">
      <c r="AE408">
        <v>15</v>
      </c>
      <c r="AF408" s="112">
        <v>0.875</v>
      </c>
      <c r="AG408">
        <v>628</v>
      </c>
    </row>
    <row r="409" spans="31:33">
      <c r="AE409">
        <v>15</v>
      </c>
      <c r="AF409" s="112">
        <v>0.91666666666666663</v>
      </c>
      <c r="AG409">
        <v>582</v>
      </c>
    </row>
    <row r="410" spans="31:33">
      <c r="AE410">
        <v>15</v>
      </c>
      <c r="AF410" s="112">
        <v>0.95833333333333337</v>
      </c>
      <c r="AG410">
        <v>554</v>
      </c>
    </row>
    <row r="411" spans="31:33">
      <c r="AE411">
        <v>15</v>
      </c>
      <c r="AF411" s="112">
        <v>0</v>
      </c>
      <c r="AG411">
        <v>508</v>
      </c>
    </row>
    <row r="412" spans="31:33">
      <c r="AE412">
        <v>16</v>
      </c>
      <c r="AF412" s="112">
        <v>4.1666666666666664E-2</v>
      </c>
      <c r="AG412">
        <v>489</v>
      </c>
    </row>
    <row r="413" spans="31:33">
      <c r="AE413">
        <v>16</v>
      </c>
      <c r="AF413" s="112">
        <v>8.3333333333333329E-2</v>
      </c>
      <c r="AG413">
        <v>480</v>
      </c>
    </row>
    <row r="414" spans="31:33">
      <c r="AE414">
        <v>16</v>
      </c>
      <c r="AF414" s="112">
        <v>0.125</v>
      </c>
      <c r="AG414">
        <v>468</v>
      </c>
    </row>
    <row r="415" spans="31:33">
      <c r="AE415">
        <v>16</v>
      </c>
      <c r="AF415" s="112">
        <v>0.16666666666666666</v>
      </c>
      <c r="AG415">
        <v>448</v>
      </c>
    </row>
    <row r="416" spans="31:33">
      <c r="AE416">
        <v>16</v>
      </c>
      <c r="AF416" s="112">
        <v>0.20833333333333334</v>
      </c>
      <c r="AG416">
        <v>428</v>
      </c>
    </row>
    <row r="417" spans="31:33">
      <c r="AE417">
        <v>16</v>
      </c>
      <c r="AF417" s="112">
        <v>0.25</v>
      </c>
      <c r="AG417">
        <v>451</v>
      </c>
    </row>
    <row r="418" spans="31:33">
      <c r="AE418">
        <v>16</v>
      </c>
      <c r="AF418" s="112">
        <v>0.29166666666666669</v>
      </c>
      <c r="AG418">
        <v>511</v>
      </c>
    </row>
    <row r="419" spans="31:33">
      <c r="AE419">
        <v>16</v>
      </c>
      <c r="AF419" s="112">
        <v>0.33333333333333331</v>
      </c>
      <c r="AG419">
        <v>499</v>
      </c>
    </row>
    <row r="420" spans="31:33">
      <c r="AE420">
        <v>16</v>
      </c>
      <c r="AF420" s="112">
        <v>0.375</v>
      </c>
      <c r="AG420">
        <v>465</v>
      </c>
    </row>
    <row r="421" spans="31:33">
      <c r="AE421">
        <v>16</v>
      </c>
      <c r="AF421" s="112">
        <v>0.41666666666666669</v>
      </c>
      <c r="AG421">
        <v>457</v>
      </c>
    </row>
    <row r="422" spans="31:33">
      <c r="AE422">
        <v>16</v>
      </c>
      <c r="AF422" s="112">
        <v>0.45833333333333331</v>
      </c>
      <c r="AG422">
        <v>396</v>
      </c>
    </row>
    <row r="423" spans="31:33">
      <c r="AE423">
        <v>16</v>
      </c>
      <c r="AF423" s="112">
        <v>0.5</v>
      </c>
      <c r="AG423">
        <v>209</v>
      </c>
    </row>
    <row r="424" spans="31:33">
      <c r="AE424">
        <v>16</v>
      </c>
      <c r="AF424" s="112">
        <v>0.54166666666666663</v>
      </c>
      <c r="AG424">
        <v>371</v>
      </c>
    </row>
    <row r="425" spans="31:33">
      <c r="AE425">
        <v>16</v>
      </c>
      <c r="AF425" s="112">
        <v>0.58333333333333337</v>
      </c>
      <c r="AG425">
        <v>162</v>
      </c>
    </row>
    <row r="426" spans="31:33">
      <c r="AE426">
        <v>16</v>
      </c>
      <c r="AF426" s="112">
        <v>0.625</v>
      </c>
      <c r="AG426">
        <v>331</v>
      </c>
    </row>
    <row r="427" spans="31:33">
      <c r="AE427">
        <v>16</v>
      </c>
      <c r="AF427" s="112">
        <v>0.66666666666666663</v>
      </c>
      <c r="AG427">
        <v>331</v>
      </c>
    </row>
    <row r="428" spans="31:33">
      <c r="AE428">
        <v>16</v>
      </c>
      <c r="AF428" s="112">
        <v>0.70833333333333337</v>
      </c>
      <c r="AG428">
        <v>437</v>
      </c>
    </row>
    <row r="429" spans="31:33">
      <c r="AE429">
        <v>16</v>
      </c>
      <c r="AF429" s="112">
        <v>0.75</v>
      </c>
      <c r="AG429">
        <v>577</v>
      </c>
    </row>
    <row r="430" spans="31:33">
      <c r="AE430">
        <v>16</v>
      </c>
      <c r="AF430" s="112">
        <v>0.79166666666666663</v>
      </c>
      <c r="AG430">
        <v>656</v>
      </c>
    </row>
    <row r="431" spans="31:33">
      <c r="AE431">
        <v>16</v>
      </c>
      <c r="AF431" s="112">
        <v>0.83333333333333337</v>
      </c>
      <c r="AG431">
        <v>611</v>
      </c>
    </row>
    <row r="432" spans="31:33">
      <c r="AE432">
        <v>16</v>
      </c>
      <c r="AF432" s="112">
        <v>0.875</v>
      </c>
      <c r="AG432">
        <v>595</v>
      </c>
    </row>
    <row r="433" spans="31:33">
      <c r="AE433">
        <v>16</v>
      </c>
      <c r="AF433" s="112">
        <v>0.91666666666666663</v>
      </c>
      <c r="AG433">
        <v>539</v>
      </c>
    </row>
    <row r="434" spans="31:33">
      <c r="AE434">
        <v>16</v>
      </c>
      <c r="AF434" s="112">
        <v>0.95833333333333337</v>
      </c>
      <c r="AG434">
        <v>486</v>
      </c>
    </row>
    <row r="435" spans="31:33">
      <c r="AE435">
        <v>16</v>
      </c>
      <c r="AF435" s="112">
        <v>0</v>
      </c>
      <c r="AG435">
        <v>220</v>
      </c>
    </row>
    <row r="436" spans="31:33">
      <c r="AE436">
        <v>17</v>
      </c>
      <c r="AF436" s="112">
        <v>4.1666666666666664E-2</v>
      </c>
      <c r="AG436">
        <v>201</v>
      </c>
    </row>
    <row r="437" spans="31:33">
      <c r="AE437">
        <v>17</v>
      </c>
      <c r="AF437" s="112">
        <v>8.3333333333333329E-2</v>
      </c>
      <c r="AG437">
        <v>444</v>
      </c>
    </row>
    <row r="438" spans="31:33">
      <c r="AE438">
        <v>17</v>
      </c>
      <c r="AF438" s="112">
        <v>0.125</v>
      </c>
      <c r="AG438">
        <v>436</v>
      </c>
    </row>
    <row r="439" spans="31:33">
      <c r="AE439">
        <v>17</v>
      </c>
      <c r="AF439" s="112">
        <v>0.16666666666666666</v>
      </c>
      <c r="AG439">
        <v>432</v>
      </c>
    </row>
    <row r="440" spans="31:33">
      <c r="AE440">
        <v>17</v>
      </c>
      <c r="AF440" s="112">
        <v>0.20833333333333334</v>
      </c>
      <c r="AG440">
        <v>440</v>
      </c>
    </row>
    <row r="441" spans="31:33">
      <c r="AE441">
        <v>17</v>
      </c>
      <c r="AF441" s="112">
        <v>0.25</v>
      </c>
      <c r="AG441">
        <v>468</v>
      </c>
    </row>
    <row r="442" spans="31:33">
      <c r="AE442">
        <v>17</v>
      </c>
      <c r="AF442" s="112">
        <v>0.29166666666666669</v>
      </c>
      <c r="AG442">
        <v>521</v>
      </c>
    </row>
    <row r="443" spans="31:33">
      <c r="AE443">
        <v>17</v>
      </c>
      <c r="AF443" s="112">
        <v>0.33333333333333331</v>
      </c>
      <c r="AG443">
        <v>519</v>
      </c>
    </row>
    <row r="444" spans="31:33">
      <c r="AE444">
        <v>17</v>
      </c>
      <c r="AF444" s="112">
        <v>0.375</v>
      </c>
      <c r="AG444">
        <v>466</v>
      </c>
    </row>
    <row r="445" spans="31:33">
      <c r="AE445">
        <v>17</v>
      </c>
      <c r="AF445" s="112">
        <v>0.41666666666666669</v>
      </c>
      <c r="AG445">
        <v>461</v>
      </c>
    </row>
    <row r="446" spans="31:33">
      <c r="AE446">
        <v>17</v>
      </c>
      <c r="AF446" s="112">
        <v>0.45833333333333331</v>
      </c>
      <c r="AG446">
        <v>458</v>
      </c>
    </row>
    <row r="447" spans="31:33">
      <c r="AE447">
        <v>17</v>
      </c>
      <c r="AF447" s="112">
        <v>0.5</v>
      </c>
      <c r="AG447">
        <v>348</v>
      </c>
    </row>
    <row r="448" spans="31:33">
      <c r="AE448">
        <v>17</v>
      </c>
      <c r="AF448" s="112">
        <v>0.54166666666666663</v>
      </c>
      <c r="AG448">
        <v>433</v>
      </c>
    </row>
    <row r="449" spans="31:33">
      <c r="AE449">
        <v>17</v>
      </c>
      <c r="AF449" s="112">
        <v>0.58333333333333337</v>
      </c>
      <c r="AG449">
        <v>428</v>
      </c>
    </row>
    <row r="450" spans="31:33">
      <c r="AE450">
        <v>17</v>
      </c>
      <c r="AF450" s="112">
        <v>0.625</v>
      </c>
      <c r="AG450">
        <v>424</v>
      </c>
    </row>
    <row r="451" spans="31:33">
      <c r="AE451">
        <v>17</v>
      </c>
      <c r="AF451" s="112">
        <v>0.66666666666666663</v>
      </c>
      <c r="AG451">
        <v>422</v>
      </c>
    </row>
    <row r="452" spans="31:33">
      <c r="AE452">
        <v>17</v>
      </c>
      <c r="AF452" s="112">
        <v>0.70833333333333337</v>
      </c>
      <c r="AG452">
        <v>399</v>
      </c>
    </row>
    <row r="453" spans="31:33">
      <c r="AE453">
        <v>17</v>
      </c>
      <c r="AF453" s="112">
        <v>0.75</v>
      </c>
      <c r="AG453">
        <v>430</v>
      </c>
    </row>
    <row r="454" spans="31:33">
      <c r="AE454">
        <v>17</v>
      </c>
      <c r="AF454" s="112">
        <v>0.79166666666666663</v>
      </c>
      <c r="AG454">
        <v>551</v>
      </c>
    </row>
    <row r="455" spans="31:33">
      <c r="AE455">
        <v>17</v>
      </c>
      <c r="AF455" s="112">
        <v>0.83333333333333337</v>
      </c>
      <c r="AG455">
        <v>647</v>
      </c>
    </row>
    <row r="456" spans="31:33">
      <c r="AE456">
        <v>17</v>
      </c>
      <c r="AF456" s="112">
        <v>0.875</v>
      </c>
      <c r="AG456">
        <v>527</v>
      </c>
    </row>
    <row r="457" spans="31:33">
      <c r="AE457">
        <v>17</v>
      </c>
      <c r="AF457" s="112">
        <v>0.91666666666666663</v>
      </c>
      <c r="AG457">
        <v>540</v>
      </c>
    </row>
    <row r="458" spans="31:33">
      <c r="AE458">
        <v>17</v>
      </c>
      <c r="AF458" s="112">
        <v>0.95833333333333337</v>
      </c>
      <c r="AG458">
        <v>520</v>
      </c>
    </row>
    <row r="459" spans="31:33">
      <c r="AE459">
        <v>17</v>
      </c>
      <c r="AF459" s="112">
        <v>0</v>
      </c>
      <c r="AG459">
        <v>474</v>
      </c>
    </row>
    <row r="460" spans="31:33">
      <c r="AE460">
        <v>18</v>
      </c>
      <c r="AF460" s="112">
        <v>4.1666666666666664E-2</v>
      </c>
      <c r="AG460">
        <v>362</v>
      </c>
    </row>
    <row r="461" spans="31:33">
      <c r="AE461">
        <v>18</v>
      </c>
      <c r="AF461" s="112">
        <v>8.3333333333333329E-2</v>
      </c>
      <c r="AG461">
        <v>343</v>
      </c>
    </row>
    <row r="462" spans="31:33">
      <c r="AE462">
        <v>18</v>
      </c>
      <c r="AF462" s="112">
        <v>0.125</v>
      </c>
      <c r="AG462">
        <v>452</v>
      </c>
    </row>
    <row r="463" spans="31:33">
      <c r="AE463">
        <v>18</v>
      </c>
      <c r="AF463" s="112">
        <v>0.16666666666666666</v>
      </c>
      <c r="AG463">
        <v>330</v>
      </c>
    </row>
    <row r="464" spans="31:33">
      <c r="AE464">
        <v>18</v>
      </c>
      <c r="AF464" s="112">
        <v>0.20833333333333334</v>
      </c>
      <c r="AG464">
        <v>339</v>
      </c>
    </row>
    <row r="465" spans="31:33">
      <c r="AE465">
        <v>18</v>
      </c>
      <c r="AF465" s="112">
        <v>0.25</v>
      </c>
      <c r="AG465">
        <v>364</v>
      </c>
    </row>
    <row r="466" spans="31:33">
      <c r="AE466">
        <v>18</v>
      </c>
      <c r="AF466" s="112">
        <v>0.29166666666666669</v>
      </c>
      <c r="AG466">
        <v>388</v>
      </c>
    </row>
    <row r="467" spans="31:33">
      <c r="AE467">
        <v>18</v>
      </c>
      <c r="AF467" s="112">
        <v>0.33333333333333331</v>
      </c>
      <c r="AG467">
        <v>363</v>
      </c>
    </row>
    <row r="468" spans="31:33">
      <c r="AE468">
        <v>18</v>
      </c>
      <c r="AF468" s="112">
        <v>0.375</v>
      </c>
      <c r="AG468">
        <v>471</v>
      </c>
    </row>
    <row r="469" spans="31:33">
      <c r="AE469">
        <v>18</v>
      </c>
      <c r="AF469" s="112">
        <v>0.41666666666666669</v>
      </c>
      <c r="AG469">
        <v>438</v>
      </c>
    </row>
    <row r="470" spans="31:33">
      <c r="AE470">
        <v>18</v>
      </c>
      <c r="AF470" s="112">
        <v>0.45833333333333331</v>
      </c>
      <c r="AG470">
        <v>435</v>
      </c>
    </row>
    <row r="471" spans="31:33">
      <c r="AE471">
        <v>18</v>
      </c>
      <c r="AF471" s="112">
        <v>0.5</v>
      </c>
      <c r="AG471">
        <v>432</v>
      </c>
    </row>
    <row r="472" spans="31:33">
      <c r="AE472">
        <v>18</v>
      </c>
      <c r="AF472" s="112">
        <v>0.54166666666666663</v>
      </c>
      <c r="AG472">
        <v>409</v>
      </c>
    </row>
    <row r="473" spans="31:33">
      <c r="AE473">
        <v>18</v>
      </c>
      <c r="AF473" s="112">
        <v>0.58333333333333337</v>
      </c>
      <c r="AG473">
        <v>402</v>
      </c>
    </row>
    <row r="474" spans="31:33">
      <c r="AE474">
        <v>18</v>
      </c>
      <c r="AF474" s="112">
        <v>0.625</v>
      </c>
      <c r="AG474">
        <v>411</v>
      </c>
    </row>
    <row r="475" spans="31:33">
      <c r="AE475">
        <v>18</v>
      </c>
      <c r="AF475" s="112">
        <v>0.66666666666666663</v>
      </c>
      <c r="AG475">
        <v>406</v>
      </c>
    </row>
    <row r="476" spans="31:33">
      <c r="AE476">
        <v>18</v>
      </c>
      <c r="AF476" s="112">
        <v>0.70833333333333337</v>
      </c>
      <c r="AG476">
        <v>424</v>
      </c>
    </row>
    <row r="477" spans="31:33">
      <c r="AE477">
        <v>18</v>
      </c>
      <c r="AF477" s="112">
        <v>0.75</v>
      </c>
      <c r="AG477">
        <v>461</v>
      </c>
    </row>
    <row r="478" spans="31:33">
      <c r="AE478">
        <v>18</v>
      </c>
      <c r="AF478" s="112">
        <v>0.79166666666666663</v>
      </c>
      <c r="AG478">
        <v>594</v>
      </c>
    </row>
    <row r="479" spans="31:33">
      <c r="AE479">
        <v>18</v>
      </c>
      <c r="AF479" s="112">
        <v>0.83333333333333337</v>
      </c>
      <c r="AG479">
        <v>618</v>
      </c>
    </row>
    <row r="480" spans="31:33">
      <c r="AE480">
        <v>18</v>
      </c>
      <c r="AF480" s="112">
        <v>0.875</v>
      </c>
      <c r="AG480">
        <v>469</v>
      </c>
    </row>
    <row r="481" spans="31:33">
      <c r="AE481">
        <v>18</v>
      </c>
      <c r="AF481" s="112">
        <v>0.91666666666666663</v>
      </c>
      <c r="AG481">
        <v>440</v>
      </c>
    </row>
    <row r="482" spans="31:33">
      <c r="AE482">
        <v>18</v>
      </c>
      <c r="AF482" s="112">
        <v>0.95833333333333337</v>
      </c>
      <c r="AG482">
        <v>603</v>
      </c>
    </row>
    <row r="483" spans="31:33">
      <c r="AE483">
        <v>18</v>
      </c>
      <c r="AF483" s="112">
        <v>0</v>
      </c>
      <c r="AG483">
        <v>502</v>
      </c>
    </row>
    <row r="484" spans="31:33">
      <c r="AE484">
        <v>19</v>
      </c>
      <c r="AF484" s="112">
        <v>4.1666666666666664E-2</v>
      </c>
      <c r="AG484">
        <v>467</v>
      </c>
    </row>
    <row r="485" spans="31:33">
      <c r="AE485">
        <v>19</v>
      </c>
      <c r="AF485" s="112">
        <v>8.3333333333333329E-2</v>
      </c>
      <c r="AG485">
        <v>450</v>
      </c>
    </row>
    <row r="486" spans="31:33">
      <c r="AE486">
        <v>19</v>
      </c>
      <c r="AF486" s="112">
        <v>0.125</v>
      </c>
      <c r="AG486">
        <v>442</v>
      </c>
    </row>
    <row r="487" spans="31:33">
      <c r="AE487">
        <v>19</v>
      </c>
      <c r="AF487" s="112">
        <v>0.16666666666666666</v>
      </c>
      <c r="AG487">
        <v>438</v>
      </c>
    </row>
    <row r="488" spans="31:33">
      <c r="AE488">
        <v>19</v>
      </c>
      <c r="AF488" s="112">
        <v>0.20833333333333334</v>
      </c>
      <c r="AG488">
        <v>198</v>
      </c>
    </row>
    <row r="489" spans="31:33">
      <c r="AE489">
        <v>19</v>
      </c>
      <c r="AF489" s="112">
        <v>0.25</v>
      </c>
      <c r="AG489">
        <v>487</v>
      </c>
    </row>
    <row r="490" spans="31:33">
      <c r="AE490">
        <v>19</v>
      </c>
      <c r="AF490" s="112">
        <v>0.29166666666666669</v>
      </c>
      <c r="AG490">
        <v>521</v>
      </c>
    </row>
    <row r="491" spans="31:33">
      <c r="AE491">
        <v>19</v>
      </c>
      <c r="AF491" s="112">
        <v>0.33333333333333331</v>
      </c>
      <c r="AG491">
        <v>456</v>
      </c>
    </row>
    <row r="492" spans="31:33">
      <c r="AE492">
        <v>19</v>
      </c>
      <c r="AF492" s="112">
        <v>0.375</v>
      </c>
      <c r="AG492">
        <v>464</v>
      </c>
    </row>
    <row r="493" spans="31:33">
      <c r="AE493">
        <v>19</v>
      </c>
      <c r="AF493" s="112">
        <v>0.41666666666666669</v>
      </c>
      <c r="AG493">
        <v>351</v>
      </c>
    </row>
    <row r="494" spans="31:33">
      <c r="AE494">
        <v>19</v>
      </c>
      <c r="AF494" s="112">
        <v>0.45833333333333331</v>
      </c>
      <c r="AG494">
        <v>338</v>
      </c>
    </row>
    <row r="495" spans="31:33">
      <c r="AE495">
        <v>19</v>
      </c>
      <c r="AF495" s="112">
        <v>0.5</v>
      </c>
      <c r="AG495">
        <v>513</v>
      </c>
    </row>
    <row r="496" spans="31:33">
      <c r="AE496">
        <v>19</v>
      </c>
      <c r="AF496" s="112">
        <v>0.54166666666666663</v>
      </c>
      <c r="AG496">
        <v>455</v>
      </c>
    </row>
    <row r="497" spans="31:33">
      <c r="AE497">
        <v>19</v>
      </c>
      <c r="AF497" s="112">
        <v>0.58333333333333337</v>
      </c>
      <c r="AG497">
        <v>422</v>
      </c>
    </row>
    <row r="498" spans="31:33">
      <c r="AE498">
        <v>19</v>
      </c>
      <c r="AF498" s="112">
        <v>0.625</v>
      </c>
      <c r="AG498">
        <v>416</v>
      </c>
    </row>
    <row r="499" spans="31:33">
      <c r="AE499">
        <v>19</v>
      </c>
      <c r="AF499" s="112">
        <v>0.66666666666666663</v>
      </c>
      <c r="AG499">
        <v>406</v>
      </c>
    </row>
    <row r="500" spans="31:33">
      <c r="AE500">
        <v>19</v>
      </c>
      <c r="AF500" s="112">
        <v>0.70833333333333337</v>
      </c>
      <c r="AG500">
        <v>447</v>
      </c>
    </row>
    <row r="501" spans="31:33">
      <c r="AE501">
        <v>19</v>
      </c>
      <c r="AF501" s="112">
        <v>0.75</v>
      </c>
      <c r="AG501">
        <v>476</v>
      </c>
    </row>
    <row r="502" spans="31:33">
      <c r="AE502">
        <v>19</v>
      </c>
      <c r="AF502" s="112">
        <v>0.79166666666666663</v>
      </c>
      <c r="AG502">
        <v>609</v>
      </c>
    </row>
    <row r="503" spans="31:33">
      <c r="AE503">
        <v>19</v>
      </c>
      <c r="AF503" s="112">
        <v>0.83333333333333337</v>
      </c>
      <c r="AG503">
        <v>696</v>
      </c>
    </row>
    <row r="504" spans="31:33">
      <c r="AE504">
        <v>19</v>
      </c>
      <c r="AF504" s="112">
        <v>0.875</v>
      </c>
      <c r="AG504">
        <v>621</v>
      </c>
    </row>
    <row r="505" spans="31:33">
      <c r="AE505">
        <v>19</v>
      </c>
      <c r="AF505" s="112">
        <v>0.91666666666666663</v>
      </c>
      <c r="AG505">
        <v>590</v>
      </c>
    </row>
    <row r="506" spans="31:33">
      <c r="AE506">
        <v>19</v>
      </c>
      <c r="AF506" s="112">
        <v>0.95833333333333337</v>
      </c>
      <c r="AG506">
        <v>527</v>
      </c>
    </row>
    <row r="507" spans="31:33">
      <c r="AE507">
        <v>19</v>
      </c>
      <c r="AF507" s="112">
        <v>0</v>
      </c>
      <c r="AG507">
        <v>478</v>
      </c>
    </row>
    <row r="508" spans="31:33">
      <c r="AE508">
        <v>20</v>
      </c>
      <c r="AF508" s="112">
        <v>4.1666666666666664E-2</v>
      </c>
      <c r="AG508">
        <v>480</v>
      </c>
    </row>
    <row r="509" spans="31:33">
      <c r="AE509">
        <v>20</v>
      </c>
      <c r="AF509" s="112">
        <v>8.3333333333333329E-2</v>
      </c>
      <c r="AG509">
        <v>480</v>
      </c>
    </row>
    <row r="510" spans="31:33">
      <c r="AE510">
        <v>20</v>
      </c>
      <c r="AF510" s="112">
        <v>0.125</v>
      </c>
      <c r="AG510">
        <v>477</v>
      </c>
    </row>
    <row r="511" spans="31:33">
      <c r="AE511">
        <v>20</v>
      </c>
      <c r="AF511" s="112">
        <v>0.16666666666666666</v>
      </c>
      <c r="AG511">
        <v>460</v>
      </c>
    </row>
    <row r="512" spans="31:33">
      <c r="AE512">
        <v>20</v>
      </c>
      <c r="AF512" s="112">
        <v>0.20833333333333334</v>
      </c>
      <c r="AG512">
        <v>459</v>
      </c>
    </row>
    <row r="513" spans="31:33">
      <c r="AE513">
        <v>20</v>
      </c>
      <c r="AF513" s="112">
        <v>0.25</v>
      </c>
      <c r="AG513">
        <v>503</v>
      </c>
    </row>
    <row r="514" spans="31:33">
      <c r="AE514">
        <v>20</v>
      </c>
      <c r="AF514" s="112">
        <v>0.29166666666666669</v>
      </c>
      <c r="AG514">
        <v>546</v>
      </c>
    </row>
    <row r="515" spans="31:33">
      <c r="AE515">
        <v>20</v>
      </c>
      <c r="AF515" s="112">
        <v>0.33333333333333331</v>
      </c>
      <c r="AG515">
        <v>510</v>
      </c>
    </row>
    <row r="516" spans="31:33">
      <c r="AE516">
        <v>20</v>
      </c>
      <c r="AF516" s="112">
        <v>0.375</v>
      </c>
      <c r="AG516">
        <v>481</v>
      </c>
    </row>
    <row r="517" spans="31:33">
      <c r="AE517">
        <v>20</v>
      </c>
      <c r="AF517" s="112">
        <v>0.41666666666666669</v>
      </c>
      <c r="AG517">
        <v>479</v>
      </c>
    </row>
    <row r="518" spans="31:33">
      <c r="AE518">
        <v>20</v>
      </c>
      <c r="AF518" s="112">
        <v>0.45833333333333331</v>
      </c>
      <c r="AG518">
        <v>466</v>
      </c>
    </row>
    <row r="519" spans="31:33">
      <c r="AE519">
        <v>20</v>
      </c>
      <c r="AF519" s="112">
        <v>0.5</v>
      </c>
      <c r="AG519">
        <v>462</v>
      </c>
    </row>
    <row r="520" spans="31:33">
      <c r="AE520">
        <v>20</v>
      </c>
      <c r="AF520" s="112">
        <v>0.54166666666666663</v>
      </c>
      <c r="AG520">
        <v>461</v>
      </c>
    </row>
    <row r="521" spans="31:33">
      <c r="AE521">
        <v>20</v>
      </c>
      <c r="AF521" s="112">
        <v>0.58333333333333337</v>
      </c>
      <c r="AG521">
        <v>434</v>
      </c>
    </row>
    <row r="522" spans="31:33">
      <c r="AE522">
        <v>20</v>
      </c>
      <c r="AF522" s="112">
        <v>0.625</v>
      </c>
      <c r="AG522">
        <v>421</v>
      </c>
    </row>
    <row r="523" spans="31:33">
      <c r="AE523">
        <v>20</v>
      </c>
      <c r="AF523" s="112">
        <v>0.66666666666666663</v>
      </c>
      <c r="AG523">
        <v>415</v>
      </c>
    </row>
    <row r="524" spans="31:33">
      <c r="AE524">
        <v>20</v>
      </c>
      <c r="AF524" s="112">
        <v>0.70833333333333337</v>
      </c>
      <c r="AG524">
        <v>431</v>
      </c>
    </row>
    <row r="525" spans="31:33">
      <c r="AE525">
        <v>20</v>
      </c>
      <c r="AF525" s="112">
        <v>0.75</v>
      </c>
      <c r="AG525">
        <v>449</v>
      </c>
    </row>
    <row r="526" spans="31:33">
      <c r="AE526">
        <v>20</v>
      </c>
      <c r="AF526" s="112">
        <v>0.79166666666666663</v>
      </c>
      <c r="AG526">
        <v>627</v>
      </c>
    </row>
    <row r="527" spans="31:33">
      <c r="AE527">
        <v>20</v>
      </c>
      <c r="AF527" s="112">
        <v>0.83333333333333337</v>
      </c>
      <c r="AG527">
        <v>695</v>
      </c>
    </row>
    <row r="528" spans="31:33">
      <c r="AE528">
        <v>20</v>
      </c>
      <c r="AF528" s="112">
        <v>0.875</v>
      </c>
      <c r="AG528">
        <v>643</v>
      </c>
    </row>
    <row r="529" spans="31:33">
      <c r="AE529">
        <v>20</v>
      </c>
      <c r="AF529" s="112">
        <v>0.91666666666666663</v>
      </c>
      <c r="AG529">
        <v>473</v>
      </c>
    </row>
    <row r="530" spans="31:33">
      <c r="AE530">
        <v>20</v>
      </c>
      <c r="AF530" s="112">
        <v>0.95833333333333337</v>
      </c>
      <c r="AG530">
        <v>518</v>
      </c>
    </row>
    <row r="531" spans="31:33">
      <c r="AE531">
        <v>20</v>
      </c>
      <c r="AF531" s="112">
        <v>0</v>
      </c>
      <c r="AG531">
        <v>471</v>
      </c>
    </row>
    <row r="532" spans="31:33">
      <c r="AE532">
        <v>21</v>
      </c>
      <c r="AF532" s="112">
        <v>4.1666666666666664E-2</v>
      </c>
      <c r="AG532">
        <v>199</v>
      </c>
    </row>
    <row r="533" spans="31:33">
      <c r="AE533">
        <v>21</v>
      </c>
      <c r="AF533" s="112">
        <v>8.3333333333333329E-2</v>
      </c>
      <c r="AG533">
        <v>495</v>
      </c>
    </row>
    <row r="534" spans="31:33">
      <c r="AE534">
        <v>21</v>
      </c>
      <c r="AF534" s="112">
        <v>0.125</v>
      </c>
      <c r="AG534">
        <v>455</v>
      </c>
    </row>
    <row r="535" spans="31:33">
      <c r="AE535">
        <v>21</v>
      </c>
      <c r="AF535" s="112">
        <v>0.16666666666666666</v>
      </c>
      <c r="AG535">
        <v>399</v>
      </c>
    </row>
    <row r="536" spans="31:33">
      <c r="AE536">
        <v>21</v>
      </c>
      <c r="AF536" s="112">
        <v>0.20833333333333334</v>
      </c>
      <c r="AG536">
        <v>352</v>
      </c>
    </row>
    <row r="537" spans="31:33">
      <c r="AE537">
        <v>21</v>
      </c>
      <c r="AF537" s="112">
        <v>0.25</v>
      </c>
      <c r="AG537">
        <v>361</v>
      </c>
    </row>
    <row r="538" spans="31:33">
      <c r="AE538">
        <v>21</v>
      </c>
      <c r="AF538" s="112">
        <v>0.29166666666666669</v>
      </c>
      <c r="AG538">
        <v>396</v>
      </c>
    </row>
    <row r="539" spans="31:33">
      <c r="AE539">
        <v>21</v>
      </c>
      <c r="AF539" s="112">
        <v>0.33333333333333331</v>
      </c>
      <c r="AG539">
        <v>420</v>
      </c>
    </row>
    <row r="540" spans="31:33">
      <c r="AE540">
        <v>21</v>
      </c>
      <c r="AF540" s="112">
        <v>0.375</v>
      </c>
      <c r="AG540">
        <v>524</v>
      </c>
    </row>
    <row r="541" spans="31:33">
      <c r="AE541">
        <v>21</v>
      </c>
      <c r="AF541" s="112">
        <v>0.41666666666666669</v>
      </c>
      <c r="AG541">
        <v>529</v>
      </c>
    </row>
    <row r="542" spans="31:33">
      <c r="AE542">
        <v>21</v>
      </c>
      <c r="AF542" s="112">
        <v>0.45833333333333331</v>
      </c>
      <c r="AG542">
        <v>516</v>
      </c>
    </row>
    <row r="543" spans="31:33">
      <c r="AE543">
        <v>21</v>
      </c>
      <c r="AF543" s="112">
        <v>0.5</v>
      </c>
      <c r="AG543">
        <v>489</v>
      </c>
    </row>
    <row r="544" spans="31:33">
      <c r="AE544">
        <v>21</v>
      </c>
      <c r="AF544" s="112">
        <v>0.54166666666666663</v>
      </c>
      <c r="AG544">
        <v>465</v>
      </c>
    </row>
    <row r="545" spans="31:33">
      <c r="AE545">
        <v>21</v>
      </c>
      <c r="AF545" s="112">
        <v>0.58333333333333337</v>
      </c>
      <c r="AG545">
        <v>420</v>
      </c>
    </row>
    <row r="546" spans="31:33">
      <c r="AE546">
        <v>21</v>
      </c>
      <c r="AF546" s="112">
        <v>0.625</v>
      </c>
      <c r="AG546">
        <v>405</v>
      </c>
    </row>
    <row r="547" spans="31:33">
      <c r="AE547">
        <v>21</v>
      </c>
      <c r="AF547" s="112">
        <v>0.66666666666666663</v>
      </c>
      <c r="AG547">
        <v>408</v>
      </c>
    </row>
    <row r="548" spans="31:33">
      <c r="AE548">
        <v>21</v>
      </c>
      <c r="AF548" s="112">
        <v>0.70833333333333337</v>
      </c>
      <c r="AG548">
        <v>435</v>
      </c>
    </row>
    <row r="549" spans="31:33">
      <c r="AE549">
        <v>21</v>
      </c>
      <c r="AF549" s="112">
        <v>0.75</v>
      </c>
      <c r="AG549">
        <v>477</v>
      </c>
    </row>
    <row r="550" spans="31:33">
      <c r="AE550">
        <v>21</v>
      </c>
      <c r="AF550" s="112">
        <v>0.79166666666666663</v>
      </c>
      <c r="AG550">
        <v>611</v>
      </c>
    </row>
    <row r="551" spans="31:33">
      <c r="AE551">
        <v>21</v>
      </c>
      <c r="AF551" s="112">
        <v>0.83333333333333337</v>
      </c>
      <c r="AG551">
        <v>307</v>
      </c>
    </row>
    <row r="552" spans="31:33">
      <c r="AE552">
        <v>21</v>
      </c>
      <c r="AF552" s="112">
        <v>0.875</v>
      </c>
      <c r="AG552">
        <v>694</v>
      </c>
    </row>
    <row r="553" spans="31:33">
      <c r="AE553">
        <v>21</v>
      </c>
      <c r="AF553" s="112">
        <v>0.91666666666666663</v>
      </c>
      <c r="AG553">
        <v>563</v>
      </c>
    </row>
    <row r="554" spans="31:33">
      <c r="AE554">
        <v>21</v>
      </c>
      <c r="AF554" s="112">
        <v>0.95833333333333337</v>
      </c>
      <c r="AG554">
        <v>213</v>
      </c>
    </row>
    <row r="555" spans="31:33">
      <c r="AE555">
        <v>21</v>
      </c>
      <c r="AF555" s="112">
        <v>0</v>
      </c>
      <c r="AG555">
        <v>419</v>
      </c>
    </row>
    <row r="556" spans="31:33">
      <c r="AE556">
        <v>22</v>
      </c>
      <c r="AF556" s="112">
        <v>4.1666666666666664E-2</v>
      </c>
      <c r="AG556">
        <v>370</v>
      </c>
    </row>
    <row r="557" spans="31:33">
      <c r="AE557">
        <v>22</v>
      </c>
      <c r="AF557" s="112">
        <v>8.3333333333333329E-2</v>
      </c>
      <c r="AG557">
        <v>463</v>
      </c>
    </row>
    <row r="558" spans="31:33">
      <c r="AE558">
        <v>22</v>
      </c>
      <c r="AF558" s="112">
        <v>0.125</v>
      </c>
      <c r="AG558">
        <v>437</v>
      </c>
    </row>
    <row r="559" spans="31:33">
      <c r="AE559">
        <v>22</v>
      </c>
      <c r="AF559" s="112">
        <v>0.16666666666666666</v>
      </c>
      <c r="AG559">
        <v>430</v>
      </c>
    </row>
    <row r="560" spans="31:33">
      <c r="AE560">
        <v>22</v>
      </c>
      <c r="AF560" s="112">
        <v>0.20833333333333334</v>
      </c>
      <c r="AG560">
        <v>384</v>
      </c>
    </row>
    <row r="561" spans="31:33">
      <c r="AE561">
        <v>22</v>
      </c>
      <c r="AF561" s="112">
        <v>0.25</v>
      </c>
      <c r="AG561">
        <v>570</v>
      </c>
    </row>
    <row r="562" spans="31:33">
      <c r="AE562">
        <v>22</v>
      </c>
      <c r="AF562" s="112">
        <v>0.29166666666666669</v>
      </c>
      <c r="AG562">
        <v>536</v>
      </c>
    </row>
    <row r="563" spans="31:33">
      <c r="AE563">
        <v>22</v>
      </c>
      <c r="AF563" s="112">
        <v>0.33333333333333331</v>
      </c>
      <c r="AG563">
        <v>459</v>
      </c>
    </row>
    <row r="564" spans="31:33">
      <c r="AE564">
        <v>22</v>
      </c>
      <c r="AF564" s="112">
        <v>0.375</v>
      </c>
      <c r="AG564">
        <v>479</v>
      </c>
    </row>
    <row r="565" spans="31:33">
      <c r="AE565">
        <v>22</v>
      </c>
      <c r="AF565" s="112">
        <v>0.41666666666666669</v>
      </c>
      <c r="AG565">
        <v>480</v>
      </c>
    </row>
    <row r="566" spans="31:33">
      <c r="AE566">
        <v>22</v>
      </c>
      <c r="AF566" s="112">
        <v>0.45833333333333331</v>
      </c>
      <c r="AG566">
        <v>466</v>
      </c>
    </row>
    <row r="567" spans="31:33">
      <c r="AE567">
        <v>22</v>
      </c>
      <c r="AF567" s="112">
        <v>0.5</v>
      </c>
      <c r="AG567">
        <v>409</v>
      </c>
    </row>
    <row r="568" spans="31:33">
      <c r="AE568">
        <v>22</v>
      </c>
      <c r="AF568" s="112">
        <v>0.54166666666666663</v>
      </c>
      <c r="AG568">
        <v>404</v>
      </c>
    </row>
    <row r="569" spans="31:33">
      <c r="AE569">
        <v>22</v>
      </c>
      <c r="AF569" s="112">
        <v>0.58333333333333337</v>
      </c>
      <c r="AG569">
        <v>390</v>
      </c>
    </row>
    <row r="570" spans="31:33">
      <c r="AE570">
        <v>22</v>
      </c>
      <c r="AF570" s="112">
        <v>0.625</v>
      </c>
      <c r="AG570">
        <v>385</v>
      </c>
    </row>
    <row r="571" spans="31:33">
      <c r="AE571">
        <v>22</v>
      </c>
      <c r="AF571" s="112">
        <v>0.66666666666666663</v>
      </c>
      <c r="AG571">
        <v>417</v>
      </c>
    </row>
    <row r="572" spans="31:33">
      <c r="AE572">
        <v>22</v>
      </c>
      <c r="AF572" s="112">
        <v>0.70833333333333337</v>
      </c>
      <c r="AG572">
        <v>428</v>
      </c>
    </row>
    <row r="573" spans="31:33">
      <c r="AE573">
        <v>22</v>
      </c>
      <c r="AF573" s="112">
        <v>0.75</v>
      </c>
      <c r="AG573">
        <v>449</v>
      </c>
    </row>
    <row r="574" spans="31:33">
      <c r="AE574">
        <v>22</v>
      </c>
      <c r="AF574" s="112">
        <v>0.79166666666666663</v>
      </c>
      <c r="AG574">
        <v>596</v>
      </c>
    </row>
    <row r="575" spans="31:33">
      <c r="AE575">
        <v>22</v>
      </c>
      <c r="AF575" s="112">
        <v>0.83333333333333337</v>
      </c>
      <c r="AG575">
        <v>682</v>
      </c>
    </row>
    <row r="576" spans="31:33">
      <c r="AE576">
        <v>22</v>
      </c>
      <c r="AF576" s="112">
        <v>0.875</v>
      </c>
      <c r="AG576">
        <v>623</v>
      </c>
    </row>
    <row r="577" spans="31:33">
      <c r="AE577">
        <v>22</v>
      </c>
      <c r="AF577" s="112">
        <v>0.91666666666666663</v>
      </c>
      <c r="AG577">
        <v>465</v>
      </c>
    </row>
    <row r="578" spans="31:33">
      <c r="AE578">
        <v>22</v>
      </c>
      <c r="AF578" s="112">
        <v>0.95833333333333337</v>
      </c>
      <c r="AG578">
        <v>528</v>
      </c>
    </row>
    <row r="579" spans="31:33">
      <c r="AE579">
        <v>22</v>
      </c>
      <c r="AF579" s="112">
        <v>0</v>
      </c>
      <c r="AG579">
        <v>493</v>
      </c>
    </row>
    <row r="580" spans="31:33">
      <c r="AE580">
        <v>23</v>
      </c>
      <c r="AF580" s="112">
        <v>4.1666666666666664E-2</v>
      </c>
      <c r="AG580">
        <v>481</v>
      </c>
    </row>
    <row r="581" spans="31:33">
      <c r="AE581">
        <v>23</v>
      </c>
      <c r="AF581" s="112">
        <v>8.3333333333333329E-2</v>
      </c>
      <c r="AG581">
        <v>452</v>
      </c>
    </row>
    <row r="582" spans="31:33">
      <c r="AE582">
        <v>23</v>
      </c>
      <c r="AF582" s="112">
        <v>0.125</v>
      </c>
      <c r="AG582">
        <v>185</v>
      </c>
    </row>
    <row r="583" spans="31:33">
      <c r="AE583">
        <v>23</v>
      </c>
      <c r="AF583" s="112">
        <v>0.16666666666666666</v>
      </c>
      <c r="AG583">
        <v>371</v>
      </c>
    </row>
    <row r="584" spans="31:33">
      <c r="AE584">
        <v>23</v>
      </c>
      <c r="AF584" s="112">
        <v>0.20833333333333334</v>
      </c>
      <c r="AG584">
        <v>467</v>
      </c>
    </row>
    <row r="585" spans="31:33">
      <c r="AE585">
        <v>23</v>
      </c>
      <c r="AF585" s="112">
        <v>0.25</v>
      </c>
      <c r="AG585">
        <v>504</v>
      </c>
    </row>
    <row r="586" spans="31:33">
      <c r="AE586">
        <v>23</v>
      </c>
      <c r="AF586" s="112">
        <v>0.29166666666666669</v>
      </c>
      <c r="AG586">
        <v>549</v>
      </c>
    </row>
    <row r="587" spans="31:33">
      <c r="AE587">
        <v>23</v>
      </c>
      <c r="AF587" s="112">
        <v>0.33333333333333331</v>
      </c>
      <c r="AG587">
        <v>494</v>
      </c>
    </row>
    <row r="588" spans="31:33">
      <c r="AE588">
        <v>23</v>
      </c>
      <c r="AF588" s="112">
        <v>0.375</v>
      </c>
      <c r="AG588">
        <v>470</v>
      </c>
    </row>
    <row r="589" spans="31:33">
      <c r="AE589">
        <v>23</v>
      </c>
      <c r="AF589" s="112">
        <v>0.41666666666666669</v>
      </c>
      <c r="AG589">
        <v>448</v>
      </c>
    </row>
    <row r="590" spans="31:33">
      <c r="AE590">
        <v>23</v>
      </c>
      <c r="AF590" s="112">
        <v>0.45833333333333331</v>
      </c>
      <c r="AG590">
        <v>444</v>
      </c>
    </row>
    <row r="591" spans="31:33">
      <c r="AE591">
        <v>23</v>
      </c>
      <c r="AF591" s="112">
        <v>0.5</v>
      </c>
      <c r="AG591">
        <v>341</v>
      </c>
    </row>
    <row r="592" spans="31:33">
      <c r="AE592">
        <v>23</v>
      </c>
      <c r="AF592" s="112">
        <v>0.54166666666666663</v>
      </c>
      <c r="AG592">
        <v>441</v>
      </c>
    </row>
    <row r="593" spans="31:33">
      <c r="AE593">
        <v>23</v>
      </c>
      <c r="AF593" s="112">
        <v>0.58333333333333337</v>
      </c>
      <c r="AG593">
        <v>430</v>
      </c>
    </row>
    <row r="594" spans="31:33">
      <c r="AE594">
        <v>23</v>
      </c>
      <c r="AF594" s="112">
        <v>0.625</v>
      </c>
      <c r="AG594">
        <v>400</v>
      </c>
    </row>
    <row r="595" spans="31:33">
      <c r="AE595">
        <v>23</v>
      </c>
      <c r="AF595" s="112">
        <v>0.66666666666666663</v>
      </c>
      <c r="AG595">
        <v>394</v>
      </c>
    </row>
    <row r="596" spans="31:33">
      <c r="AE596">
        <v>23</v>
      </c>
      <c r="AF596" s="112">
        <v>0.70833333333333337</v>
      </c>
      <c r="AG596">
        <v>404</v>
      </c>
    </row>
    <row r="597" spans="31:33">
      <c r="AE597">
        <v>23</v>
      </c>
      <c r="AF597" s="112">
        <v>0.75</v>
      </c>
      <c r="AG597">
        <v>443</v>
      </c>
    </row>
    <row r="598" spans="31:33">
      <c r="AE598">
        <v>23</v>
      </c>
      <c r="AF598" s="112">
        <v>0.79166666666666663</v>
      </c>
      <c r="AG598">
        <v>595</v>
      </c>
    </row>
    <row r="599" spans="31:33">
      <c r="AE599">
        <v>23</v>
      </c>
      <c r="AF599" s="112">
        <v>0.83333333333333337</v>
      </c>
      <c r="AG599">
        <v>648</v>
      </c>
    </row>
    <row r="600" spans="31:33">
      <c r="AE600">
        <v>23</v>
      </c>
      <c r="AF600" s="112">
        <v>0.875</v>
      </c>
      <c r="AG600">
        <v>601</v>
      </c>
    </row>
    <row r="601" spans="31:33">
      <c r="AE601">
        <v>23</v>
      </c>
      <c r="AF601" s="112">
        <v>0.91666666666666663</v>
      </c>
      <c r="AG601">
        <v>612</v>
      </c>
    </row>
    <row r="602" spans="31:33">
      <c r="AE602">
        <v>23</v>
      </c>
      <c r="AF602" s="112">
        <v>0.95833333333333337</v>
      </c>
      <c r="AG602">
        <v>575</v>
      </c>
    </row>
    <row r="603" spans="31:33">
      <c r="AE603">
        <v>23</v>
      </c>
      <c r="AF603" s="112">
        <v>0</v>
      </c>
      <c r="AG603">
        <v>497</v>
      </c>
    </row>
    <row r="604" spans="31:33">
      <c r="AE604">
        <v>24</v>
      </c>
      <c r="AF604" s="112">
        <v>4.1666666666666664E-2</v>
      </c>
      <c r="AG604">
        <v>484</v>
      </c>
    </row>
    <row r="605" spans="31:33">
      <c r="AE605">
        <v>24</v>
      </c>
      <c r="AF605" s="112">
        <v>8.3333333333333329E-2</v>
      </c>
      <c r="AG605">
        <v>479</v>
      </c>
    </row>
    <row r="606" spans="31:33">
      <c r="AE606">
        <v>24</v>
      </c>
      <c r="AF606" s="112">
        <v>0.125</v>
      </c>
      <c r="AG606">
        <v>455</v>
      </c>
    </row>
    <row r="607" spans="31:33">
      <c r="AE607">
        <v>24</v>
      </c>
      <c r="AF607" s="112">
        <v>0.16666666666666666</v>
      </c>
      <c r="AG607">
        <v>366</v>
      </c>
    </row>
    <row r="608" spans="31:33">
      <c r="AE608">
        <v>24</v>
      </c>
      <c r="AF608" s="112">
        <v>0.20833333333333334</v>
      </c>
      <c r="AG608">
        <v>350</v>
      </c>
    </row>
    <row r="609" spans="31:33">
      <c r="AE609">
        <v>24</v>
      </c>
      <c r="AF609" s="112">
        <v>0.25</v>
      </c>
      <c r="AG609">
        <v>370</v>
      </c>
    </row>
    <row r="610" spans="31:33">
      <c r="AE610">
        <v>24</v>
      </c>
      <c r="AF610" s="112">
        <v>0.29166666666666669</v>
      </c>
      <c r="AG610">
        <v>411</v>
      </c>
    </row>
    <row r="611" spans="31:33">
      <c r="AE611">
        <v>24</v>
      </c>
      <c r="AF611" s="112">
        <v>0.33333333333333331</v>
      </c>
      <c r="AG611">
        <v>527</v>
      </c>
    </row>
    <row r="612" spans="31:33">
      <c r="AE612">
        <v>24</v>
      </c>
      <c r="AF612" s="112">
        <v>0.375</v>
      </c>
      <c r="AG612">
        <v>500</v>
      </c>
    </row>
    <row r="613" spans="31:33">
      <c r="AE613">
        <v>24</v>
      </c>
      <c r="AF613" s="112">
        <v>0.41666666666666669</v>
      </c>
      <c r="AG613">
        <v>217</v>
      </c>
    </row>
    <row r="614" spans="31:33">
      <c r="AE614">
        <v>24</v>
      </c>
      <c r="AF614" s="112">
        <v>0.45833333333333331</v>
      </c>
      <c r="AG614">
        <v>213</v>
      </c>
    </row>
    <row r="615" spans="31:33">
      <c r="AE615">
        <v>24</v>
      </c>
      <c r="AF615" s="112">
        <v>0.5</v>
      </c>
      <c r="AG615">
        <v>201</v>
      </c>
    </row>
    <row r="616" spans="31:33">
      <c r="AE616">
        <v>24</v>
      </c>
      <c r="AF616" s="112">
        <v>0.54166666666666663</v>
      </c>
      <c r="AG616">
        <v>196</v>
      </c>
    </row>
    <row r="617" spans="31:33">
      <c r="AE617">
        <v>24</v>
      </c>
      <c r="AF617" s="112">
        <v>0.58333333333333337</v>
      </c>
      <c r="AG617">
        <v>189</v>
      </c>
    </row>
    <row r="618" spans="31:33">
      <c r="AE618">
        <v>24</v>
      </c>
      <c r="AF618" s="112">
        <v>0.625</v>
      </c>
      <c r="AG618">
        <v>184</v>
      </c>
    </row>
    <row r="619" spans="31:33">
      <c r="AE619">
        <v>24</v>
      </c>
      <c r="AF619" s="112">
        <v>0.66666666666666663</v>
      </c>
      <c r="AG619">
        <v>433</v>
      </c>
    </row>
    <row r="620" spans="31:33">
      <c r="AE620">
        <v>24</v>
      </c>
      <c r="AF620" s="112">
        <v>0.70833333333333337</v>
      </c>
      <c r="AG620">
        <v>434</v>
      </c>
    </row>
    <row r="621" spans="31:33">
      <c r="AE621">
        <v>24</v>
      </c>
      <c r="AF621" s="112">
        <v>0.75</v>
      </c>
      <c r="AG621">
        <v>437</v>
      </c>
    </row>
    <row r="622" spans="31:33">
      <c r="AE622">
        <v>24</v>
      </c>
      <c r="AF622" s="112">
        <v>0.79166666666666663</v>
      </c>
      <c r="AG622">
        <v>574</v>
      </c>
    </row>
    <row r="623" spans="31:33">
      <c r="AE623">
        <v>24</v>
      </c>
      <c r="AF623" s="112">
        <v>0.83333333333333337</v>
      </c>
      <c r="AG623">
        <v>705</v>
      </c>
    </row>
    <row r="624" spans="31:33">
      <c r="AE624">
        <v>24</v>
      </c>
      <c r="AF624" s="112">
        <v>0.875</v>
      </c>
      <c r="AG624">
        <v>594</v>
      </c>
    </row>
    <row r="625" spans="31:33">
      <c r="AE625">
        <v>24</v>
      </c>
      <c r="AF625" s="112">
        <v>0.91666666666666663</v>
      </c>
      <c r="AG625">
        <v>553</v>
      </c>
    </row>
    <row r="626" spans="31:33">
      <c r="AE626">
        <v>24</v>
      </c>
      <c r="AF626" s="112">
        <v>0.95833333333333337</v>
      </c>
      <c r="AG626">
        <v>543</v>
      </c>
    </row>
    <row r="627" spans="31:33">
      <c r="AE627">
        <v>24</v>
      </c>
      <c r="AF627" s="112">
        <v>0</v>
      </c>
      <c r="AG627">
        <v>499</v>
      </c>
    </row>
    <row r="628" spans="31:33">
      <c r="AE628">
        <v>25</v>
      </c>
      <c r="AF628" s="112">
        <v>4.1666666666666664E-2</v>
      </c>
      <c r="AG628">
        <v>533</v>
      </c>
    </row>
    <row r="629" spans="31:33">
      <c r="AE629">
        <v>25</v>
      </c>
      <c r="AF629" s="112">
        <v>8.3333333333333329E-2</v>
      </c>
      <c r="AG629">
        <v>511</v>
      </c>
    </row>
    <row r="630" spans="31:33">
      <c r="AE630">
        <v>25</v>
      </c>
      <c r="AF630" s="112">
        <v>0.125</v>
      </c>
      <c r="AG630">
        <v>483</v>
      </c>
    </row>
    <row r="631" spans="31:33">
      <c r="AE631">
        <v>25</v>
      </c>
      <c r="AF631" s="112">
        <v>0.16666666666666666</v>
      </c>
      <c r="AG631">
        <v>474</v>
      </c>
    </row>
    <row r="632" spans="31:33">
      <c r="AE632">
        <v>25</v>
      </c>
      <c r="AF632" s="112">
        <v>0.20833333333333334</v>
      </c>
      <c r="AG632">
        <v>450</v>
      </c>
    </row>
    <row r="633" spans="31:33">
      <c r="AE633">
        <v>25</v>
      </c>
      <c r="AF633" s="112">
        <v>0.25</v>
      </c>
      <c r="AG633">
        <v>392</v>
      </c>
    </row>
    <row r="634" spans="31:33">
      <c r="AE634">
        <v>25</v>
      </c>
      <c r="AF634" s="112">
        <v>0.29166666666666669</v>
      </c>
      <c r="AG634">
        <v>418</v>
      </c>
    </row>
    <row r="635" spans="31:33">
      <c r="AE635">
        <v>25</v>
      </c>
      <c r="AF635" s="112">
        <v>0.33333333333333331</v>
      </c>
      <c r="AG635">
        <v>460</v>
      </c>
    </row>
    <row r="636" spans="31:33">
      <c r="AE636">
        <v>25</v>
      </c>
      <c r="AF636" s="112">
        <v>0.375</v>
      </c>
      <c r="AG636">
        <v>442</v>
      </c>
    </row>
    <row r="637" spans="31:33">
      <c r="AE637">
        <v>25</v>
      </c>
      <c r="AF637" s="112">
        <v>0.41666666666666669</v>
      </c>
      <c r="AG637">
        <v>421</v>
      </c>
    </row>
    <row r="638" spans="31:33">
      <c r="AE638">
        <v>25</v>
      </c>
      <c r="AF638" s="112">
        <v>0.45833333333333331</v>
      </c>
      <c r="AG638">
        <v>443</v>
      </c>
    </row>
    <row r="639" spans="31:33">
      <c r="AE639">
        <v>25</v>
      </c>
      <c r="AF639" s="112">
        <v>0.5</v>
      </c>
      <c r="AG639">
        <v>439</v>
      </c>
    </row>
    <row r="640" spans="31:33">
      <c r="AE640">
        <v>25</v>
      </c>
      <c r="AF640" s="112">
        <v>0.54166666666666663</v>
      </c>
      <c r="AG640">
        <v>424</v>
      </c>
    </row>
    <row r="641" spans="31:33">
      <c r="AE641">
        <v>25</v>
      </c>
      <c r="AF641" s="112">
        <v>0.58333333333333337</v>
      </c>
      <c r="AG641">
        <v>417</v>
      </c>
    </row>
    <row r="642" spans="31:33">
      <c r="AE642">
        <v>25</v>
      </c>
      <c r="AF642" s="112">
        <v>0.625</v>
      </c>
      <c r="AG642">
        <v>403</v>
      </c>
    </row>
    <row r="643" spans="31:33">
      <c r="AE643">
        <v>25</v>
      </c>
      <c r="AF643" s="112">
        <v>0.66666666666666663</v>
      </c>
      <c r="AG643">
        <v>429</v>
      </c>
    </row>
    <row r="644" spans="31:33">
      <c r="AE644">
        <v>25</v>
      </c>
      <c r="AF644" s="112">
        <v>0.70833333333333337</v>
      </c>
      <c r="AG644">
        <v>445</v>
      </c>
    </row>
    <row r="645" spans="31:33">
      <c r="AE645">
        <v>25</v>
      </c>
      <c r="AF645" s="112">
        <v>0.75</v>
      </c>
      <c r="AG645">
        <v>472</v>
      </c>
    </row>
    <row r="646" spans="31:33">
      <c r="AE646">
        <v>25</v>
      </c>
      <c r="AF646" s="112">
        <v>0.79166666666666663</v>
      </c>
      <c r="AG646">
        <v>485</v>
      </c>
    </row>
    <row r="647" spans="31:33">
      <c r="AE647">
        <v>25</v>
      </c>
      <c r="AF647" s="112">
        <v>0.83333333333333337</v>
      </c>
      <c r="AG647">
        <v>550</v>
      </c>
    </row>
    <row r="648" spans="31:33">
      <c r="AE648">
        <v>25</v>
      </c>
      <c r="AF648" s="112">
        <v>0.875</v>
      </c>
      <c r="AG648">
        <v>669</v>
      </c>
    </row>
    <row r="649" spans="31:33">
      <c r="AE649">
        <v>25</v>
      </c>
      <c r="AF649" s="112">
        <v>0.91666666666666663</v>
      </c>
      <c r="AG649">
        <v>604</v>
      </c>
    </row>
    <row r="650" spans="31:33">
      <c r="AE650">
        <v>25</v>
      </c>
      <c r="AF650" s="112">
        <v>0.95833333333333337</v>
      </c>
      <c r="AG650">
        <v>544</v>
      </c>
    </row>
    <row r="651" spans="31:33">
      <c r="AE651">
        <v>25</v>
      </c>
      <c r="AF651" s="112">
        <v>0</v>
      </c>
      <c r="AG651">
        <v>501</v>
      </c>
    </row>
    <row r="652" spans="31:33">
      <c r="AE652">
        <v>26</v>
      </c>
      <c r="AF652" s="112">
        <v>4.1666666666666664E-2</v>
      </c>
      <c r="AG652">
        <v>469</v>
      </c>
    </row>
    <row r="653" spans="31:33">
      <c r="AE653">
        <v>26</v>
      </c>
      <c r="AF653" s="112">
        <v>8.3333333333333329E-2</v>
      </c>
      <c r="AG653">
        <v>460</v>
      </c>
    </row>
    <row r="654" spans="31:33">
      <c r="AE654">
        <v>26</v>
      </c>
      <c r="AF654" s="112">
        <v>0.125</v>
      </c>
      <c r="AG654">
        <v>447</v>
      </c>
    </row>
    <row r="655" spans="31:33">
      <c r="AE655">
        <v>26</v>
      </c>
      <c r="AF655" s="112">
        <v>0.16666666666666666</v>
      </c>
      <c r="AG655">
        <v>357</v>
      </c>
    </row>
    <row r="656" spans="31:33">
      <c r="AE656">
        <v>26</v>
      </c>
      <c r="AF656" s="112">
        <v>0.20833333333333334</v>
      </c>
      <c r="AG656">
        <v>280</v>
      </c>
    </row>
    <row r="657" spans="31:33">
      <c r="AE657">
        <v>26</v>
      </c>
      <c r="AF657" s="112">
        <v>0.25</v>
      </c>
      <c r="AG657">
        <v>383</v>
      </c>
    </row>
    <row r="658" spans="31:33">
      <c r="AE658">
        <v>26</v>
      </c>
      <c r="AF658" s="112">
        <v>0.29166666666666669</v>
      </c>
      <c r="AG658">
        <v>409</v>
      </c>
    </row>
    <row r="659" spans="31:33">
      <c r="AE659">
        <v>26</v>
      </c>
      <c r="AF659" s="112">
        <v>0.33333333333333331</v>
      </c>
      <c r="AG659">
        <v>382</v>
      </c>
    </row>
    <row r="660" spans="31:33">
      <c r="AE660">
        <v>26</v>
      </c>
      <c r="AF660" s="112">
        <v>0.375</v>
      </c>
      <c r="AG660">
        <v>353</v>
      </c>
    </row>
    <row r="661" spans="31:33">
      <c r="AE661">
        <v>26</v>
      </c>
      <c r="AF661" s="112">
        <v>0.41666666666666669</v>
      </c>
      <c r="AG661">
        <v>530</v>
      </c>
    </row>
    <row r="662" spans="31:33">
      <c r="AE662">
        <v>26</v>
      </c>
      <c r="AF662" s="112">
        <v>0.45833333333333331</v>
      </c>
      <c r="AG662">
        <v>0</v>
      </c>
    </row>
    <row r="663" spans="31:33">
      <c r="AE663">
        <v>26</v>
      </c>
      <c r="AF663" s="112">
        <v>0.5</v>
      </c>
      <c r="AG663">
        <v>0</v>
      </c>
    </row>
    <row r="664" spans="31:33">
      <c r="AE664">
        <v>26</v>
      </c>
      <c r="AF664" s="112">
        <v>0.54166666666666663</v>
      </c>
      <c r="AG664">
        <v>0</v>
      </c>
    </row>
    <row r="665" spans="31:33">
      <c r="AE665">
        <v>26</v>
      </c>
      <c r="AF665" s="112">
        <v>0.58333333333333337</v>
      </c>
      <c r="AG665">
        <v>0</v>
      </c>
    </row>
    <row r="666" spans="31:33">
      <c r="AE666">
        <v>26</v>
      </c>
      <c r="AF666" s="112">
        <v>0.625</v>
      </c>
      <c r="AG666">
        <v>376</v>
      </c>
    </row>
    <row r="667" spans="31:33">
      <c r="AE667">
        <v>26</v>
      </c>
      <c r="AF667" s="112">
        <v>0.66666666666666663</v>
      </c>
      <c r="AG667">
        <v>401</v>
      </c>
    </row>
    <row r="668" spans="31:33">
      <c r="AE668">
        <v>26</v>
      </c>
      <c r="AF668" s="112">
        <v>0.70833333333333337</v>
      </c>
      <c r="AG668">
        <v>398</v>
      </c>
    </row>
    <row r="669" spans="31:33">
      <c r="AE669">
        <v>26</v>
      </c>
      <c r="AF669" s="112">
        <v>0.75</v>
      </c>
      <c r="AG669">
        <v>364</v>
      </c>
    </row>
    <row r="670" spans="31:33">
      <c r="AE670">
        <v>26</v>
      </c>
      <c r="AF670" s="112">
        <v>0.79166666666666663</v>
      </c>
      <c r="AG670">
        <v>455</v>
      </c>
    </row>
    <row r="671" spans="31:33">
      <c r="AE671">
        <v>26</v>
      </c>
      <c r="AF671" s="112">
        <v>0.83333333333333337</v>
      </c>
      <c r="AG671">
        <v>536</v>
      </c>
    </row>
    <row r="672" spans="31:33">
      <c r="AE672">
        <v>26</v>
      </c>
      <c r="AF672" s="112">
        <v>0.875</v>
      </c>
      <c r="AG672">
        <v>580</v>
      </c>
    </row>
    <row r="673" spans="31:33">
      <c r="AE673">
        <v>26</v>
      </c>
      <c r="AF673" s="112">
        <v>0.91666666666666663</v>
      </c>
      <c r="AG673">
        <v>493</v>
      </c>
    </row>
    <row r="674" spans="31:33">
      <c r="AE674">
        <v>26</v>
      </c>
      <c r="AF674" s="112">
        <v>0.95833333333333337</v>
      </c>
      <c r="AG674">
        <v>523</v>
      </c>
    </row>
    <row r="675" spans="31:33">
      <c r="AE675">
        <v>26</v>
      </c>
      <c r="AF675" s="112">
        <v>0</v>
      </c>
      <c r="AG675">
        <v>486</v>
      </c>
    </row>
    <row r="676" spans="31:33">
      <c r="AE676">
        <v>27</v>
      </c>
      <c r="AF676" s="112">
        <v>4.1666666666666664E-2</v>
      </c>
      <c r="AG676">
        <v>464</v>
      </c>
    </row>
    <row r="677" spans="31:33">
      <c r="AE677">
        <v>27</v>
      </c>
      <c r="AF677" s="112">
        <v>8.3333333333333329E-2</v>
      </c>
      <c r="AG677">
        <v>451</v>
      </c>
    </row>
    <row r="678" spans="31:33">
      <c r="AE678">
        <v>27</v>
      </c>
      <c r="AF678" s="112">
        <v>0.125</v>
      </c>
      <c r="AG678">
        <v>436</v>
      </c>
    </row>
    <row r="679" spans="31:33">
      <c r="AE679">
        <v>27</v>
      </c>
      <c r="AF679" s="112">
        <v>0.16666666666666666</v>
      </c>
      <c r="AG679">
        <v>392</v>
      </c>
    </row>
    <row r="680" spans="31:33">
      <c r="AE680">
        <v>27</v>
      </c>
      <c r="AF680" s="112">
        <v>0.20833333333333334</v>
      </c>
      <c r="AG680">
        <v>401</v>
      </c>
    </row>
    <row r="681" spans="31:33">
      <c r="AE681">
        <v>27</v>
      </c>
      <c r="AF681" s="112">
        <v>0.25</v>
      </c>
      <c r="AG681">
        <v>426</v>
      </c>
    </row>
    <row r="682" spans="31:33">
      <c r="AE682">
        <v>27</v>
      </c>
      <c r="AF682" s="112">
        <v>0.29166666666666669</v>
      </c>
      <c r="AG682">
        <v>465</v>
      </c>
    </row>
    <row r="683" spans="31:33">
      <c r="AE683">
        <v>27</v>
      </c>
      <c r="AF683" s="112">
        <v>0.33333333333333331</v>
      </c>
      <c r="AG683">
        <v>469</v>
      </c>
    </row>
    <row r="684" spans="31:33">
      <c r="AE684">
        <v>27</v>
      </c>
      <c r="AF684" s="112">
        <v>0.375</v>
      </c>
      <c r="AG684">
        <v>446</v>
      </c>
    </row>
    <row r="685" spans="31:33">
      <c r="AE685">
        <v>27</v>
      </c>
      <c r="AF685" s="112">
        <v>0.41666666666666669</v>
      </c>
      <c r="AG685">
        <v>416</v>
      </c>
    </row>
    <row r="686" spans="31:33">
      <c r="AE686">
        <v>27</v>
      </c>
      <c r="AF686" s="112">
        <v>0.45833333333333331</v>
      </c>
      <c r="AG686">
        <v>408</v>
      </c>
    </row>
    <row r="687" spans="31:33">
      <c r="AE687">
        <v>27</v>
      </c>
      <c r="AF687" s="112">
        <v>0.5</v>
      </c>
      <c r="AG687">
        <v>407</v>
      </c>
    </row>
    <row r="688" spans="31:33">
      <c r="AE688">
        <v>27</v>
      </c>
      <c r="AF688" s="112">
        <v>0.54166666666666663</v>
      </c>
      <c r="AG688">
        <v>396</v>
      </c>
    </row>
    <row r="689" spans="31:33">
      <c r="AE689">
        <v>27</v>
      </c>
      <c r="AF689" s="112">
        <v>0.58333333333333337</v>
      </c>
      <c r="AG689">
        <v>384</v>
      </c>
    </row>
    <row r="690" spans="31:33">
      <c r="AE690">
        <v>27</v>
      </c>
      <c r="AF690" s="112">
        <v>0.625</v>
      </c>
      <c r="AG690">
        <v>377</v>
      </c>
    </row>
    <row r="691" spans="31:33">
      <c r="AE691">
        <v>27</v>
      </c>
      <c r="AF691" s="112">
        <v>0.66666666666666663</v>
      </c>
      <c r="AG691">
        <v>376</v>
      </c>
    </row>
    <row r="692" spans="31:33">
      <c r="AE692">
        <v>27</v>
      </c>
      <c r="AF692" s="112">
        <v>0.70833333333333337</v>
      </c>
      <c r="AG692">
        <v>384</v>
      </c>
    </row>
    <row r="693" spans="31:33">
      <c r="AE693">
        <v>27</v>
      </c>
      <c r="AF693" s="112">
        <v>0.75</v>
      </c>
      <c r="AG693">
        <v>401</v>
      </c>
    </row>
    <row r="694" spans="31:33">
      <c r="AE694">
        <v>27</v>
      </c>
      <c r="AF694" s="112">
        <v>0.79166666666666663</v>
      </c>
      <c r="AG694">
        <v>541</v>
      </c>
    </row>
    <row r="695" spans="31:33">
      <c r="AE695">
        <v>27</v>
      </c>
      <c r="AF695" s="112">
        <v>0.83333333333333337</v>
      </c>
      <c r="AG695">
        <v>610</v>
      </c>
    </row>
    <row r="696" spans="31:33">
      <c r="AE696">
        <v>27</v>
      </c>
      <c r="AF696" s="112">
        <v>0.875</v>
      </c>
      <c r="AG696">
        <v>555</v>
      </c>
    </row>
    <row r="697" spans="31:33">
      <c r="AE697">
        <v>27</v>
      </c>
      <c r="AF697" s="112">
        <v>0.91666666666666663</v>
      </c>
      <c r="AG697">
        <v>521</v>
      </c>
    </row>
    <row r="698" spans="31:33">
      <c r="AE698">
        <v>27</v>
      </c>
      <c r="AF698" s="112">
        <v>0.95833333333333337</v>
      </c>
      <c r="AG698">
        <v>499</v>
      </c>
    </row>
    <row r="699" spans="31:33">
      <c r="AE699">
        <v>27</v>
      </c>
      <c r="AF699" s="112">
        <v>0</v>
      </c>
      <c r="AG699">
        <v>466</v>
      </c>
    </row>
    <row r="700" spans="31:33">
      <c r="AE700">
        <v>28</v>
      </c>
      <c r="AF700" s="112">
        <v>4.1666666666666664E-2</v>
      </c>
      <c r="AG700">
        <v>407</v>
      </c>
    </row>
    <row r="701" spans="31:33">
      <c r="AE701">
        <v>28</v>
      </c>
      <c r="AF701" s="112">
        <v>8.3333333333333329E-2</v>
      </c>
      <c r="AG701">
        <v>399</v>
      </c>
    </row>
    <row r="702" spans="31:33">
      <c r="AE702">
        <v>28</v>
      </c>
      <c r="AF702" s="112">
        <v>0.125</v>
      </c>
      <c r="AG702">
        <v>387</v>
      </c>
    </row>
    <row r="703" spans="31:33">
      <c r="AE703">
        <v>28</v>
      </c>
      <c r="AF703" s="112">
        <v>0.16666666666666666</v>
      </c>
      <c r="AG703">
        <v>382</v>
      </c>
    </row>
    <row r="704" spans="31:33">
      <c r="AE704">
        <v>28</v>
      </c>
      <c r="AF704" s="112">
        <v>0.20833333333333334</v>
      </c>
      <c r="AG704">
        <v>379</v>
      </c>
    </row>
    <row r="705" spans="31:33">
      <c r="AE705">
        <v>28</v>
      </c>
      <c r="AF705" s="112">
        <v>0.25</v>
      </c>
      <c r="AG705">
        <v>401</v>
      </c>
    </row>
    <row r="706" spans="31:33">
      <c r="AE706">
        <v>28</v>
      </c>
      <c r="AF706" s="112">
        <v>0.29166666666666669</v>
      </c>
      <c r="AG706">
        <v>440</v>
      </c>
    </row>
    <row r="707" spans="31:33">
      <c r="AE707">
        <v>28</v>
      </c>
      <c r="AF707" s="112">
        <v>0.33333333333333331</v>
      </c>
      <c r="AG707">
        <v>495</v>
      </c>
    </row>
    <row r="708" spans="31:33">
      <c r="AE708">
        <v>28</v>
      </c>
      <c r="AF708" s="112">
        <v>0.375</v>
      </c>
      <c r="AG708">
        <v>481</v>
      </c>
    </row>
    <row r="709" spans="31:33">
      <c r="AE709">
        <v>28</v>
      </c>
      <c r="AF709" s="112">
        <v>0.41666666666666669</v>
      </c>
      <c r="AG709">
        <v>443</v>
      </c>
    </row>
    <row r="710" spans="31:33">
      <c r="AE710">
        <v>28</v>
      </c>
      <c r="AF710" s="112">
        <v>0.45833333333333331</v>
      </c>
      <c r="AG710">
        <v>428</v>
      </c>
    </row>
    <row r="711" spans="31:33">
      <c r="AE711">
        <v>28</v>
      </c>
      <c r="AF711" s="112">
        <v>0.5</v>
      </c>
      <c r="AG711">
        <v>412</v>
      </c>
    </row>
    <row r="712" spans="31:33">
      <c r="AE712">
        <v>28</v>
      </c>
      <c r="AF712" s="112">
        <v>0.54166666666666663</v>
      </c>
      <c r="AG712">
        <v>388</v>
      </c>
    </row>
    <row r="713" spans="31:33">
      <c r="AE713">
        <v>28</v>
      </c>
      <c r="AF713" s="112">
        <v>0.58333333333333337</v>
      </c>
      <c r="AG713">
        <v>371</v>
      </c>
    </row>
    <row r="714" spans="31:33">
      <c r="AE714">
        <v>28</v>
      </c>
      <c r="AF714" s="112">
        <v>0.625</v>
      </c>
      <c r="AG714">
        <v>363</v>
      </c>
    </row>
    <row r="715" spans="31:33">
      <c r="AE715">
        <v>28</v>
      </c>
      <c r="AF715" s="112">
        <v>0.66666666666666663</v>
      </c>
      <c r="AG715">
        <v>365</v>
      </c>
    </row>
    <row r="716" spans="31:33">
      <c r="AE716">
        <v>28</v>
      </c>
      <c r="AF716" s="112">
        <v>0.70833333333333337</v>
      </c>
      <c r="AG716">
        <v>379</v>
      </c>
    </row>
    <row r="717" spans="31:33">
      <c r="AE717">
        <v>28</v>
      </c>
      <c r="AF717" s="112">
        <v>0.75</v>
      </c>
      <c r="AG717">
        <v>394</v>
      </c>
    </row>
    <row r="718" spans="31:33">
      <c r="AE718">
        <v>28</v>
      </c>
      <c r="AF718" s="112">
        <v>0.79166666666666663</v>
      </c>
      <c r="AG718">
        <v>538</v>
      </c>
    </row>
    <row r="719" spans="31:33">
      <c r="AE719">
        <v>28</v>
      </c>
      <c r="AF719" s="112">
        <v>0.83333333333333337</v>
      </c>
      <c r="AG719">
        <v>601</v>
      </c>
    </row>
    <row r="720" spans="31:33">
      <c r="AE720">
        <v>28</v>
      </c>
      <c r="AF720" s="112">
        <v>0.875</v>
      </c>
      <c r="AG720">
        <v>563</v>
      </c>
    </row>
    <row r="721" spans="31:33">
      <c r="AE721">
        <v>28</v>
      </c>
      <c r="AF721" s="112">
        <v>0.91666666666666663</v>
      </c>
      <c r="AG721">
        <v>404</v>
      </c>
    </row>
    <row r="722" spans="31:33">
      <c r="AE722">
        <v>28</v>
      </c>
      <c r="AF722" s="112">
        <v>0.95833333333333337</v>
      </c>
      <c r="AG722">
        <v>378</v>
      </c>
    </row>
    <row r="723" spans="31:33">
      <c r="AE723">
        <v>28</v>
      </c>
      <c r="AF723" s="112">
        <v>0</v>
      </c>
      <c r="AG723">
        <v>347</v>
      </c>
    </row>
    <row r="724" spans="31:33">
      <c r="AE724">
        <v>29</v>
      </c>
      <c r="AF724" s="112">
        <v>4.1666666666666664E-2</v>
      </c>
      <c r="AG724">
        <v>450</v>
      </c>
    </row>
    <row r="725" spans="31:33">
      <c r="AE725">
        <v>29</v>
      </c>
      <c r="AF725" s="112">
        <v>8.3333333333333329E-2</v>
      </c>
      <c r="AG725">
        <v>434</v>
      </c>
    </row>
    <row r="726" spans="31:33">
      <c r="AE726">
        <v>29</v>
      </c>
      <c r="AF726" s="112">
        <v>0.125</v>
      </c>
      <c r="AG726">
        <v>119</v>
      </c>
    </row>
    <row r="727" spans="31:33">
      <c r="AE727">
        <v>29</v>
      </c>
      <c r="AF727" s="112">
        <v>0.16666666666666666</v>
      </c>
      <c r="AG727">
        <v>299</v>
      </c>
    </row>
    <row r="728" spans="31:33">
      <c r="AE728">
        <v>29</v>
      </c>
      <c r="AF728" s="112">
        <v>0.20833333333333334</v>
      </c>
      <c r="AG728">
        <v>275</v>
      </c>
    </row>
    <row r="729" spans="31:33">
      <c r="AE729">
        <v>29</v>
      </c>
      <c r="AF729" s="112">
        <v>0.25</v>
      </c>
      <c r="AG729">
        <v>297</v>
      </c>
    </row>
    <row r="730" spans="31:33">
      <c r="AE730">
        <v>29</v>
      </c>
      <c r="AF730" s="112">
        <v>0.29166666666666669</v>
      </c>
      <c r="AG730">
        <v>338</v>
      </c>
    </row>
    <row r="731" spans="31:33">
      <c r="AE731">
        <v>29</v>
      </c>
      <c r="AF731" s="112">
        <v>0.33333333333333331</v>
      </c>
      <c r="AG731">
        <v>286</v>
      </c>
    </row>
    <row r="732" spans="31:33">
      <c r="AE732">
        <v>29</v>
      </c>
      <c r="AF732" s="112">
        <v>0.375</v>
      </c>
      <c r="AG732">
        <v>346</v>
      </c>
    </row>
    <row r="733" spans="31:33">
      <c r="AE733">
        <v>29</v>
      </c>
      <c r="AF733" s="112">
        <v>0.41666666666666669</v>
      </c>
      <c r="AG733">
        <v>341</v>
      </c>
    </row>
    <row r="734" spans="31:33">
      <c r="AE734">
        <v>29</v>
      </c>
      <c r="AF734" s="112">
        <v>0.45833333333333331</v>
      </c>
      <c r="AG734">
        <v>330</v>
      </c>
    </row>
    <row r="735" spans="31:33">
      <c r="AE735">
        <v>29</v>
      </c>
      <c r="AF735" s="112">
        <v>0.5</v>
      </c>
      <c r="AG735">
        <v>354</v>
      </c>
    </row>
    <row r="736" spans="31:33">
      <c r="AE736">
        <v>29</v>
      </c>
      <c r="AF736" s="112">
        <v>0.54166666666666663</v>
      </c>
      <c r="AG736">
        <v>262</v>
      </c>
    </row>
    <row r="737" spans="31:33">
      <c r="AE737">
        <v>29</v>
      </c>
      <c r="AF737" s="112">
        <v>0.58333333333333337</v>
      </c>
      <c r="AG737">
        <v>357</v>
      </c>
    </row>
    <row r="738" spans="31:33">
      <c r="AE738">
        <v>29</v>
      </c>
      <c r="AF738" s="112">
        <v>0.625</v>
      </c>
      <c r="AG738">
        <v>176</v>
      </c>
    </row>
    <row r="739" spans="31:33">
      <c r="AE739">
        <v>29</v>
      </c>
      <c r="AF739" s="112">
        <v>0.66666666666666663</v>
      </c>
      <c r="AG739">
        <v>242</v>
      </c>
    </row>
    <row r="740" spans="31:33">
      <c r="AE740">
        <v>29</v>
      </c>
      <c r="AF740" s="112">
        <v>0.70833333333333337</v>
      </c>
      <c r="AG740">
        <v>375</v>
      </c>
    </row>
    <row r="741" spans="31:33">
      <c r="AE741">
        <v>29</v>
      </c>
      <c r="AF741" s="112">
        <v>0.75</v>
      </c>
      <c r="AG741">
        <v>423</v>
      </c>
    </row>
    <row r="742" spans="31:33">
      <c r="AE742">
        <v>29</v>
      </c>
      <c r="AF742" s="112">
        <v>0.79166666666666663</v>
      </c>
      <c r="AG742">
        <v>502</v>
      </c>
    </row>
    <row r="743" spans="31:33">
      <c r="AE743">
        <v>29</v>
      </c>
      <c r="AF743" s="112">
        <v>0.83333333333333337</v>
      </c>
      <c r="AG743">
        <v>559</v>
      </c>
    </row>
    <row r="744" spans="31:33">
      <c r="AE744">
        <v>29</v>
      </c>
      <c r="AF744" s="112">
        <v>0.875</v>
      </c>
      <c r="AG744">
        <v>576</v>
      </c>
    </row>
    <row r="745" spans="31:33">
      <c r="AE745">
        <v>29</v>
      </c>
      <c r="AF745" s="112">
        <v>0.91666666666666663</v>
      </c>
      <c r="AG745">
        <v>610</v>
      </c>
    </row>
    <row r="746" spans="31:33">
      <c r="AE746">
        <v>29</v>
      </c>
      <c r="AF746" s="112">
        <v>0.95833333333333337</v>
      </c>
      <c r="AG746">
        <v>565</v>
      </c>
    </row>
    <row r="747" spans="31:33">
      <c r="AE747">
        <v>29</v>
      </c>
      <c r="AF747" s="112">
        <v>0</v>
      </c>
      <c r="AG747">
        <v>528</v>
      </c>
    </row>
    <row r="748" spans="31:33">
      <c r="AE748">
        <v>30</v>
      </c>
      <c r="AF748" s="112">
        <v>4.1666666666666664E-2</v>
      </c>
      <c r="AG748">
        <v>490</v>
      </c>
    </row>
    <row r="749" spans="31:33">
      <c r="AE749">
        <v>30</v>
      </c>
      <c r="AF749" s="112">
        <v>8.3333333333333329E-2</v>
      </c>
      <c r="AG749">
        <v>479</v>
      </c>
    </row>
    <row r="750" spans="31:33">
      <c r="AE750">
        <v>30</v>
      </c>
      <c r="AF750" s="112">
        <v>0.125</v>
      </c>
      <c r="AG750">
        <v>367</v>
      </c>
    </row>
    <row r="751" spans="31:33">
      <c r="AE751">
        <v>30</v>
      </c>
      <c r="AF751" s="112">
        <v>0.16666666666666666</v>
      </c>
      <c r="AG751">
        <v>342</v>
      </c>
    </row>
    <row r="752" spans="31:33">
      <c r="AE752">
        <v>30</v>
      </c>
      <c r="AF752" s="112">
        <v>0.20833333333333334</v>
      </c>
      <c r="AG752">
        <v>340</v>
      </c>
    </row>
    <row r="753" spans="31:33">
      <c r="AE753">
        <v>30</v>
      </c>
      <c r="AF753" s="112">
        <v>0.25</v>
      </c>
      <c r="AG753">
        <v>363</v>
      </c>
    </row>
    <row r="754" spans="31:33">
      <c r="AE754">
        <v>30</v>
      </c>
      <c r="AF754" s="112">
        <v>0.29166666666666669</v>
      </c>
      <c r="AG754">
        <v>552</v>
      </c>
    </row>
    <row r="755" spans="31:33">
      <c r="AE755">
        <v>30</v>
      </c>
      <c r="AF755" s="112">
        <v>0.33333333333333331</v>
      </c>
      <c r="AG755">
        <v>523</v>
      </c>
    </row>
    <row r="756" spans="31:33">
      <c r="AE756">
        <v>30</v>
      </c>
      <c r="AF756" s="112">
        <v>0.375</v>
      </c>
      <c r="AG756">
        <v>477</v>
      </c>
    </row>
    <row r="757" spans="31:33">
      <c r="AE757">
        <v>30</v>
      </c>
      <c r="AF757" s="112">
        <v>0.41666666666666669</v>
      </c>
      <c r="AG757">
        <v>474</v>
      </c>
    </row>
    <row r="758" spans="31:33">
      <c r="AE758">
        <v>30</v>
      </c>
      <c r="AF758" s="112">
        <v>0.45833333333333331</v>
      </c>
      <c r="AG758">
        <v>485</v>
      </c>
    </row>
    <row r="759" spans="31:33">
      <c r="AE759">
        <v>30</v>
      </c>
      <c r="AF759" s="112">
        <v>0.5</v>
      </c>
      <c r="AG759">
        <v>452</v>
      </c>
    </row>
    <row r="760" spans="31:33">
      <c r="AE760">
        <v>30</v>
      </c>
      <c r="AF760" s="112">
        <v>0.54166666666666663</v>
      </c>
      <c r="AG760">
        <v>453</v>
      </c>
    </row>
    <row r="761" spans="31:33">
      <c r="AE761">
        <v>30</v>
      </c>
      <c r="AF761" s="112">
        <v>0.58333333333333337</v>
      </c>
      <c r="AG761">
        <v>431</v>
      </c>
    </row>
    <row r="762" spans="31:33">
      <c r="AE762">
        <v>30</v>
      </c>
      <c r="AF762" s="112">
        <v>0.625</v>
      </c>
      <c r="AG762">
        <v>436</v>
      </c>
    </row>
    <row r="763" spans="31:33">
      <c r="AE763">
        <v>30</v>
      </c>
      <c r="AF763" s="112">
        <v>0.66666666666666663</v>
      </c>
      <c r="AG763">
        <v>432</v>
      </c>
    </row>
    <row r="764" spans="31:33">
      <c r="AE764">
        <v>30</v>
      </c>
      <c r="AF764" s="112">
        <v>0.70833333333333337</v>
      </c>
      <c r="AG764">
        <v>446</v>
      </c>
    </row>
    <row r="765" spans="31:33">
      <c r="AE765">
        <v>30</v>
      </c>
      <c r="AF765" s="112">
        <v>0.75</v>
      </c>
      <c r="AG765">
        <v>453</v>
      </c>
    </row>
    <row r="766" spans="31:33">
      <c r="AE766">
        <v>30</v>
      </c>
      <c r="AF766" s="112">
        <v>0.79166666666666663</v>
      </c>
      <c r="AG766">
        <v>621</v>
      </c>
    </row>
    <row r="767" spans="31:33">
      <c r="AE767">
        <v>30</v>
      </c>
      <c r="AF767" s="112">
        <v>0.83333333333333337</v>
      </c>
      <c r="AG767">
        <v>724</v>
      </c>
    </row>
    <row r="768" spans="31:33">
      <c r="AE768">
        <v>30</v>
      </c>
      <c r="AF768" s="112">
        <v>0.875</v>
      </c>
      <c r="AG768">
        <v>642</v>
      </c>
    </row>
    <row r="769" spans="31:33">
      <c r="AE769">
        <v>30</v>
      </c>
      <c r="AF769" s="112">
        <v>0.91666666666666663</v>
      </c>
      <c r="AG769">
        <v>601</v>
      </c>
    </row>
    <row r="770" spans="31:33">
      <c r="AE770">
        <v>30</v>
      </c>
      <c r="AF770" s="112">
        <v>0.95833333333333337</v>
      </c>
      <c r="AG770">
        <v>564</v>
      </c>
    </row>
    <row r="771" spans="31:33">
      <c r="AE771">
        <v>30</v>
      </c>
      <c r="AF771" s="112">
        <v>0</v>
      </c>
      <c r="AG771">
        <v>519</v>
      </c>
    </row>
    <row r="772" spans="31:33">
      <c r="AE772">
        <v>31</v>
      </c>
      <c r="AF772" s="112">
        <v>4.1666666666666664E-2</v>
      </c>
      <c r="AG772">
        <v>499</v>
      </c>
    </row>
    <row r="773" spans="31:33">
      <c r="AE773">
        <v>31</v>
      </c>
      <c r="AF773" s="112">
        <v>8.3333333333333329E-2</v>
      </c>
      <c r="AG773">
        <v>474</v>
      </c>
    </row>
    <row r="774" spans="31:33">
      <c r="AE774">
        <v>31</v>
      </c>
      <c r="AF774" s="112">
        <v>0.125</v>
      </c>
      <c r="AG774">
        <v>440</v>
      </c>
    </row>
    <row r="775" spans="31:33">
      <c r="AE775">
        <v>31</v>
      </c>
      <c r="AF775" s="112">
        <v>0.16666666666666666</v>
      </c>
      <c r="AG775">
        <v>432</v>
      </c>
    </row>
    <row r="776" spans="31:33">
      <c r="AE776">
        <v>31</v>
      </c>
      <c r="AF776" s="112">
        <v>0.20833333333333334</v>
      </c>
      <c r="AG776">
        <v>445</v>
      </c>
    </row>
    <row r="777" spans="31:33">
      <c r="AE777">
        <v>31</v>
      </c>
      <c r="AF777" s="112">
        <v>0.25</v>
      </c>
      <c r="AG777">
        <v>472</v>
      </c>
    </row>
    <row r="778" spans="31:33">
      <c r="AE778">
        <v>31</v>
      </c>
      <c r="AF778" s="112">
        <v>0.29166666666666669</v>
      </c>
      <c r="AG778">
        <v>515</v>
      </c>
    </row>
    <row r="779" spans="31:33">
      <c r="AE779">
        <v>31</v>
      </c>
      <c r="AF779" s="112">
        <v>0.33333333333333331</v>
      </c>
      <c r="AG779">
        <v>476</v>
      </c>
    </row>
    <row r="780" spans="31:33">
      <c r="AE780">
        <v>31</v>
      </c>
      <c r="AF780" s="112">
        <v>0.375</v>
      </c>
      <c r="AG780">
        <v>447</v>
      </c>
    </row>
    <row r="781" spans="31:33">
      <c r="AE781">
        <v>31</v>
      </c>
      <c r="AF781" s="112">
        <v>0.41666666666666669</v>
      </c>
      <c r="AG781">
        <v>452</v>
      </c>
    </row>
    <row r="782" spans="31:33">
      <c r="AE782">
        <v>31</v>
      </c>
      <c r="AF782" s="112">
        <v>0.45833333333333331</v>
      </c>
      <c r="AG782">
        <v>479</v>
      </c>
    </row>
    <row r="783" spans="31:33">
      <c r="AE783">
        <v>31</v>
      </c>
      <c r="AF783" s="112">
        <v>0.5</v>
      </c>
      <c r="AG783">
        <v>460</v>
      </c>
    </row>
    <row r="784" spans="31:33">
      <c r="AE784">
        <v>31</v>
      </c>
      <c r="AF784" s="112">
        <v>0.54166666666666663</v>
      </c>
      <c r="AG784">
        <v>457</v>
      </c>
    </row>
    <row r="785" spans="31:33">
      <c r="AE785">
        <v>31</v>
      </c>
      <c r="AF785" s="112">
        <v>0.58333333333333337</v>
      </c>
      <c r="AG785">
        <v>436</v>
      </c>
    </row>
    <row r="786" spans="31:33">
      <c r="AE786">
        <v>31</v>
      </c>
      <c r="AF786" s="112">
        <v>0.625</v>
      </c>
      <c r="AG786">
        <v>432</v>
      </c>
    </row>
    <row r="787" spans="31:33">
      <c r="AE787">
        <v>31</v>
      </c>
      <c r="AF787" s="112">
        <v>0.66666666666666663</v>
      </c>
      <c r="AG787">
        <v>426</v>
      </c>
    </row>
    <row r="788" spans="31:33">
      <c r="AE788">
        <v>31</v>
      </c>
      <c r="AF788" s="112">
        <v>0.70833333333333337</v>
      </c>
      <c r="AG788">
        <v>452</v>
      </c>
    </row>
    <row r="789" spans="31:33">
      <c r="AE789">
        <v>31</v>
      </c>
      <c r="AF789" s="112">
        <v>0.75</v>
      </c>
      <c r="AG789">
        <v>523</v>
      </c>
    </row>
    <row r="790" spans="31:33">
      <c r="AE790">
        <v>31</v>
      </c>
      <c r="AF790" s="112">
        <v>0.79166666666666663</v>
      </c>
      <c r="AG790">
        <v>643</v>
      </c>
    </row>
    <row r="791" spans="31:33">
      <c r="AE791">
        <v>31</v>
      </c>
      <c r="AF791" s="112">
        <v>0.83333333333333337</v>
      </c>
      <c r="AG791">
        <v>686</v>
      </c>
    </row>
    <row r="792" spans="31:33">
      <c r="AE792">
        <v>31</v>
      </c>
      <c r="AF792" s="112">
        <v>0.875</v>
      </c>
      <c r="AG792">
        <v>649</v>
      </c>
    </row>
    <row r="793" spans="31:33">
      <c r="AE793">
        <v>31</v>
      </c>
      <c r="AF793" s="112">
        <v>0.91666666666666663</v>
      </c>
      <c r="AG793">
        <v>612</v>
      </c>
    </row>
    <row r="794" spans="31:33">
      <c r="AE794">
        <v>31</v>
      </c>
      <c r="AF794" s="112">
        <v>0.95833333333333337</v>
      </c>
      <c r="AG794">
        <v>561</v>
      </c>
    </row>
    <row r="795" spans="31:33">
      <c r="AE795">
        <v>31</v>
      </c>
      <c r="AF795" s="112">
        <v>0</v>
      </c>
      <c r="AG795">
        <v>527</v>
      </c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526" priority="11" operator="equal">
      <formula>"STB"</formula>
    </cfRule>
    <cfRule type="cellIs" dxfId="525" priority="12" operator="equal">
      <formula>"BD"</formula>
    </cfRule>
  </conditionalFormatting>
  <conditionalFormatting sqref="B8:B31">
    <cfRule type="cellIs" dxfId="524" priority="1" operator="equal">
      <formula>"STB"</formula>
    </cfRule>
    <cfRule type="cellIs" dxfId="523" priority="2" operator="equal">
      <formula>"BD"</formula>
    </cfRule>
  </conditionalFormatting>
  <conditionalFormatting sqref="D8:D31">
    <cfRule type="cellIs" dxfId="522" priority="8" operator="equal">
      <formula>"STB"</formula>
    </cfRule>
    <cfRule type="cellIs" dxfId="521" priority="9" operator="equal">
      <formula>"BD"</formula>
    </cfRule>
  </conditionalFormatting>
  <conditionalFormatting sqref="F8:F31">
    <cfRule type="cellIs" dxfId="520" priority="3" operator="equal">
      <formula>"STB"</formula>
    </cfRule>
    <cfRule type="cellIs" dxfId="519" priority="4" operator="equal">
      <formula>"BD"</formula>
    </cfRule>
  </conditionalFormatting>
  <conditionalFormatting sqref="H8:H31">
    <cfRule type="top10" dxfId="518" priority="5" bottom="1" rank="1"/>
    <cfRule type="top10" dxfId="517" priority="6" rank="1"/>
    <cfRule type="cellIs" dxfId="516" priority="7" stopIfTrue="1" operator="equal">
      <formula>28000</formula>
    </cfRule>
  </conditionalFormatting>
  <conditionalFormatting sqref="H32:H33">
    <cfRule type="top10" dxfId="515" priority="14" bottom="1" rank="1"/>
    <cfRule type="top10" dxfId="514" priority="15" rank="1"/>
    <cfRule type="cellIs" dxfId="513" priority="17" stopIfTrue="1" operator="equal">
      <formula>28000</formula>
    </cfRule>
  </conditionalFormatting>
  <conditionalFormatting sqref="N8 N9:O31">
    <cfRule type="cellIs" dxfId="512" priority="16" operator="equal">
      <formula>"BD"</formula>
    </cfRule>
  </conditionalFormatting>
  <conditionalFormatting sqref="O8">
    <cfRule type="cellIs" dxfId="511" priority="10" operator="equal">
      <formula>"N/A"</formula>
    </cfRule>
  </conditionalFormatting>
  <conditionalFormatting sqref="Y8:Y31">
    <cfRule type="containsText" dxfId="510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C68"/>
  <sheetViews>
    <sheetView zoomScale="80" zoomScaleNormal="80" workbookViewId="0">
      <pane ySplit="7" topLeftCell="A9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'[2]Taniwel daily'!C4</f>
        <v>45293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255</v>
      </c>
      <c r="E8" s="134"/>
      <c r="F8" s="133">
        <v>287</v>
      </c>
      <c r="G8" s="134"/>
      <c r="H8" s="20">
        <f t="shared" ref="H8:H31" si="0">IF(SUM(B8:G8)/1000=0,"0",SUM(B8:G8))</f>
        <v>542</v>
      </c>
      <c r="I8" s="21">
        <f t="shared" ref="I8:I31" si="1">IFERROR(AVERAGE(B8:G8),"0")</f>
        <v>271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154.69</v>
      </c>
      <c r="N8" s="26">
        <f>(M9-M8)*12000</f>
        <v>600.00000000013597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275</v>
      </c>
      <c r="E9" s="134"/>
      <c r="F9" s="133">
        <v>262</v>
      </c>
      <c r="G9" s="134"/>
      <c r="H9" s="20">
        <f t="shared" si="0"/>
        <v>537</v>
      </c>
      <c r="I9" s="21">
        <f t="shared" si="1"/>
        <v>268.5</v>
      </c>
      <c r="J9" s="22">
        <f t="shared" si="2"/>
        <v>2</v>
      </c>
      <c r="K9" s="23">
        <v>8.3333333333333301E-2</v>
      </c>
      <c r="L9" s="24">
        <v>4200</v>
      </c>
      <c r="M9" s="31">
        <v>154.74</v>
      </c>
      <c r="N9" s="26">
        <f t="shared" ref="N9:N30" si="3">(M10-M9)*12000</f>
        <v>839.99999999991803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256</v>
      </c>
      <c r="E10" s="134"/>
      <c r="F10" s="133">
        <v>248</v>
      </c>
      <c r="G10" s="134"/>
      <c r="H10" s="20">
        <f t="shared" si="0"/>
        <v>504</v>
      </c>
      <c r="I10" s="21">
        <f t="shared" si="1"/>
        <v>252</v>
      </c>
      <c r="J10" s="22">
        <f t="shared" si="2"/>
        <v>2</v>
      </c>
      <c r="K10" s="23">
        <v>0.125</v>
      </c>
      <c r="L10" s="24">
        <v>4200</v>
      </c>
      <c r="M10" s="31">
        <v>154.81</v>
      </c>
      <c r="N10" s="26">
        <f t="shared" si="3"/>
        <v>479.99999999990501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265</v>
      </c>
      <c r="E11" s="134"/>
      <c r="F11" s="133">
        <v>266</v>
      </c>
      <c r="G11" s="134"/>
      <c r="H11" s="20">
        <f t="shared" si="0"/>
        <v>531</v>
      </c>
      <c r="I11" s="21">
        <f t="shared" si="1"/>
        <v>265.5</v>
      </c>
      <c r="J11" s="22">
        <f t="shared" si="2"/>
        <v>2</v>
      </c>
      <c r="K11" s="23">
        <v>0.16666666666666699</v>
      </c>
      <c r="L11" s="24">
        <v>4000</v>
      </c>
      <c r="M11" s="31">
        <v>154.85</v>
      </c>
      <c r="N11" s="26">
        <f t="shared" si="3"/>
        <v>600.00000000013597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>
        <v>261</v>
      </c>
      <c r="E12" s="134"/>
      <c r="F12" s="133">
        <v>250</v>
      </c>
      <c r="G12" s="134"/>
      <c r="H12" s="20">
        <f t="shared" si="0"/>
        <v>511</v>
      </c>
      <c r="I12" s="21">
        <f t="shared" si="1"/>
        <v>255.5</v>
      </c>
      <c r="J12" s="22">
        <f t="shared" si="2"/>
        <v>2</v>
      </c>
      <c r="K12" s="23">
        <v>0.20833333333333301</v>
      </c>
      <c r="L12" s="24">
        <v>3900</v>
      </c>
      <c r="M12" s="31">
        <v>154.9</v>
      </c>
      <c r="N12" s="26">
        <f t="shared" si="3"/>
        <v>479.99999999990501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276</v>
      </c>
      <c r="E13" s="134"/>
      <c r="F13" s="133">
        <v>260</v>
      </c>
      <c r="G13" s="134"/>
      <c r="H13" s="20">
        <f t="shared" si="0"/>
        <v>536</v>
      </c>
      <c r="I13" s="21">
        <f t="shared" si="1"/>
        <v>268</v>
      </c>
      <c r="J13" s="22">
        <f t="shared" si="2"/>
        <v>2</v>
      </c>
      <c r="K13" s="23">
        <v>0.25</v>
      </c>
      <c r="L13" s="24">
        <v>3600</v>
      </c>
      <c r="M13" s="31">
        <v>154.94</v>
      </c>
      <c r="N13" s="26">
        <f t="shared" si="3"/>
        <v>720.00000000002694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251</v>
      </c>
      <c r="E14" s="134"/>
      <c r="F14" s="133">
        <v>296</v>
      </c>
      <c r="G14" s="134"/>
      <c r="H14" s="20">
        <f t="shared" si="0"/>
        <v>547</v>
      </c>
      <c r="I14" s="21">
        <f t="shared" si="1"/>
        <v>273.5</v>
      </c>
      <c r="J14" s="22">
        <f t="shared" si="2"/>
        <v>2</v>
      </c>
      <c r="K14" s="23">
        <v>0.29166666666666702</v>
      </c>
      <c r="L14" s="24">
        <v>3600</v>
      </c>
      <c r="M14" s="31">
        <v>155</v>
      </c>
      <c r="N14" s="26">
        <f t="shared" si="3"/>
        <v>600.00000000013597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254</v>
      </c>
      <c r="E15" s="134"/>
      <c r="F15" s="133">
        <v>289</v>
      </c>
      <c r="G15" s="134"/>
      <c r="H15" s="20">
        <f t="shared" si="0"/>
        <v>543</v>
      </c>
      <c r="I15" s="21">
        <f t="shared" si="1"/>
        <v>271.5</v>
      </c>
      <c r="J15" s="22">
        <f t="shared" si="2"/>
        <v>2</v>
      </c>
      <c r="K15" s="23">
        <v>0.33333333333333298</v>
      </c>
      <c r="L15" s="24">
        <v>3600</v>
      </c>
      <c r="M15" s="31">
        <v>155.05000000000001</v>
      </c>
      <c r="N15" s="26">
        <f t="shared" si="3"/>
        <v>599.99999999979502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284</v>
      </c>
      <c r="E16" s="134"/>
      <c r="F16" s="133">
        <v>266</v>
      </c>
      <c r="G16" s="134"/>
      <c r="H16" s="20">
        <f t="shared" si="0"/>
        <v>550</v>
      </c>
      <c r="I16" s="21">
        <f t="shared" si="1"/>
        <v>275</v>
      </c>
      <c r="J16" s="22">
        <f t="shared" si="2"/>
        <v>2</v>
      </c>
      <c r="K16" s="23">
        <v>0.375</v>
      </c>
      <c r="L16" s="24">
        <v>3600</v>
      </c>
      <c r="M16" s="31">
        <v>155.1</v>
      </c>
      <c r="N16" s="26">
        <f t="shared" si="3"/>
        <v>600.00000000013597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280</v>
      </c>
      <c r="E17" s="134"/>
      <c r="F17" s="133">
        <v>273</v>
      </c>
      <c r="G17" s="134"/>
      <c r="H17" s="20">
        <f t="shared" si="0"/>
        <v>553</v>
      </c>
      <c r="I17" s="21">
        <f t="shared" si="1"/>
        <v>276.5</v>
      </c>
      <c r="J17" s="22">
        <f t="shared" si="2"/>
        <v>2</v>
      </c>
      <c r="K17" s="23">
        <v>0.41666666666666602</v>
      </c>
      <c r="L17" s="24">
        <v>3400</v>
      </c>
      <c r="M17" s="31">
        <v>155.15</v>
      </c>
      <c r="N17" s="26">
        <f t="shared" si="3"/>
        <v>599.99999999979502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270</v>
      </c>
      <c r="E18" s="134"/>
      <c r="F18" s="133">
        <v>264</v>
      </c>
      <c r="G18" s="134"/>
      <c r="H18" s="20">
        <f t="shared" si="0"/>
        <v>534</v>
      </c>
      <c r="I18" s="21">
        <f t="shared" si="1"/>
        <v>267</v>
      </c>
      <c r="J18" s="22">
        <f t="shared" si="2"/>
        <v>2</v>
      </c>
      <c r="K18" s="23">
        <v>0.45833333333333298</v>
      </c>
      <c r="L18" s="24">
        <v>3300</v>
      </c>
      <c r="M18" s="31">
        <v>155.19999999999999</v>
      </c>
      <c r="N18" s="26">
        <f t="shared" si="3"/>
        <v>600.00000000013597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253</v>
      </c>
      <c r="E19" s="134"/>
      <c r="F19" s="133">
        <v>261</v>
      </c>
      <c r="G19" s="134"/>
      <c r="H19" s="20">
        <f t="shared" si="0"/>
        <v>514</v>
      </c>
      <c r="I19" s="21">
        <f t="shared" si="1"/>
        <v>257</v>
      </c>
      <c r="J19" s="22">
        <f t="shared" si="2"/>
        <v>2</v>
      </c>
      <c r="K19" s="23">
        <v>0.5</v>
      </c>
      <c r="L19" s="24">
        <v>3300</v>
      </c>
      <c r="M19" s="31">
        <v>155.25</v>
      </c>
      <c r="N19" s="26">
        <f t="shared" si="3"/>
        <v>600.00000000013597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261</v>
      </c>
      <c r="E20" s="134"/>
      <c r="F20" s="133">
        <v>252</v>
      </c>
      <c r="G20" s="134"/>
      <c r="H20" s="20">
        <f t="shared" si="0"/>
        <v>513</v>
      </c>
      <c r="I20" s="21">
        <f t="shared" si="1"/>
        <v>256.5</v>
      </c>
      <c r="J20" s="22">
        <f t="shared" si="2"/>
        <v>2</v>
      </c>
      <c r="K20" s="23">
        <v>0.54166666666666696</v>
      </c>
      <c r="L20" s="24">
        <v>3000</v>
      </c>
      <c r="M20" s="31">
        <v>155.30000000000001</v>
      </c>
      <c r="N20" s="26">
        <f t="shared" si="3"/>
        <v>599.99999999979502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>
        <v>244</v>
      </c>
      <c r="E21" s="134"/>
      <c r="F21" s="133">
        <v>253</v>
      </c>
      <c r="G21" s="134"/>
      <c r="H21" s="20">
        <f t="shared" si="0"/>
        <v>497</v>
      </c>
      <c r="I21" s="21">
        <f t="shared" si="1"/>
        <v>248.5</v>
      </c>
      <c r="J21" s="22">
        <f t="shared" si="2"/>
        <v>2</v>
      </c>
      <c r="K21" s="23">
        <v>0.58333333333333304</v>
      </c>
      <c r="L21" s="24">
        <v>3000</v>
      </c>
      <c r="M21" s="31">
        <v>155.35</v>
      </c>
      <c r="N21" s="26">
        <f t="shared" si="3"/>
        <v>479.99999999990501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>
        <v>290</v>
      </c>
      <c r="E22" s="134"/>
      <c r="F22" s="133">
        <v>251</v>
      </c>
      <c r="G22" s="134"/>
      <c r="H22" s="20">
        <f t="shared" si="0"/>
        <v>541</v>
      </c>
      <c r="I22" s="21">
        <f t="shared" si="1"/>
        <v>270.5</v>
      </c>
      <c r="J22" s="22">
        <f t="shared" si="2"/>
        <v>2</v>
      </c>
      <c r="K22" s="23">
        <v>0.625</v>
      </c>
      <c r="L22" s="24">
        <v>3000</v>
      </c>
      <c r="M22" s="31">
        <v>155.38999999999999</v>
      </c>
      <c r="N22" s="26">
        <f t="shared" si="3"/>
        <v>600.00000000013597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235</v>
      </c>
      <c r="E23" s="134"/>
      <c r="F23" s="133">
        <v>249</v>
      </c>
      <c r="G23" s="134"/>
      <c r="H23" s="20">
        <f t="shared" si="0"/>
        <v>484</v>
      </c>
      <c r="I23" s="21">
        <f t="shared" si="1"/>
        <v>242</v>
      </c>
      <c r="J23" s="22">
        <f t="shared" si="2"/>
        <v>2</v>
      </c>
      <c r="K23" s="23">
        <v>0.66666666666666596</v>
      </c>
      <c r="L23" s="24">
        <v>3000</v>
      </c>
      <c r="M23" s="31">
        <v>155.44</v>
      </c>
      <c r="N23" s="26">
        <f t="shared" si="3"/>
        <v>600.00000000013597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259</v>
      </c>
      <c r="E24" s="134"/>
      <c r="F24" s="133">
        <v>255</v>
      </c>
      <c r="G24" s="134"/>
      <c r="H24" s="20">
        <f t="shared" si="0"/>
        <v>514</v>
      </c>
      <c r="I24" s="21">
        <f t="shared" si="1"/>
        <v>257</v>
      </c>
      <c r="J24" s="22">
        <f t="shared" si="2"/>
        <v>2</v>
      </c>
      <c r="K24" s="23">
        <v>0.70833333333333304</v>
      </c>
      <c r="L24" s="24">
        <v>2700</v>
      </c>
      <c r="M24" s="31">
        <v>155.49</v>
      </c>
      <c r="N24" s="26">
        <f t="shared" si="3"/>
        <v>599.99999999979502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289</v>
      </c>
      <c r="E25" s="134"/>
      <c r="F25" s="133">
        <v>259</v>
      </c>
      <c r="G25" s="134"/>
      <c r="H25" s="20">
        <f t="shared" si="0"/>
        <v>548</v>
      </c>
      <c r="I25" s="21">
        <f t="shared" si="1"/>
        <v>274</v>
      </c>
      <c r="J25" s="22">
        <f t="shared" si="2"/>
        <v>2</v>
      </c>
      <c r="K25" s="23">
        <v>0.75</v>
      </c>
      <c r="L25" s="24">
        <v>2400</v>
      </c>
      <c r="M25" s="31">
        <v>155.54</v>
      </c>
      <c r="N25" s="26">
        <f t="shared" si="3"/>
        <v>720.00000000002694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359</v>
      </c>
      <c r="E26" s="134"/>
      <c r="F26" s="133">
        <v>337</v>
      </c>
      <c r="G26" s="134"/>
      <c r="H26" s="20">
        <f t="shared" si="0"/>
        <v>696</v>
      </c>
      <c r="I26" s="21">
        <f t="shared" si="1"/>
        <v>348</v>
      </c>
      <c r="J26" s="22">
        <f t="shared" si="2"/>
        <v>2</v>
      </c>
      <c r="K26" s="23">
        <v>0.79166666666666596</v>
      </c>
      <c r="L26" s="24">
        <v>2100</v>
      </c>
      <c r="M26" s="31">
        <v>155.6</v>
      </c>
      <c r="N26" s="26">
        <f t="shared" si="3"/>
        <v>720.00000000002694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335</v>
      </c>
      <c r="E27" s="134"/>
      <c r="F27" s="133">
        <v>388</v>
      </c>
      <c r="G27" s="134"/>
      <c r="H27" s="20">
        <f t="shared" si="0"/>
        <v>723</v>
      </c>
      <c r="I27" s="21">
        <f t="shared" si="1"/>
        <v>361.5</v>
      </c>
      <c r="J27" s="22">
        <f t="shared" si="2"/>
        <v>2</v>
      </c>
      <c r="K27" s="23">
        <v>0.83333333333333304</v>
      </c>
      <c r="L27" s="24">
        <v>2100</v>
      </c>
      <c r="M27" s="31">
        <v>155.66</v>
      </c>
      <c r="N27" s="26">
        <f t="shared" si="3"/>
        <v>720.00000000002694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320</v>
      </c>
      <c r="E28" s="134"/>
      <c r="F28" s="133">
        <v>335</v>
      </c>
      <c r="G28" s="134"/>
      <c r="H28" s="20">
        <f t="shared" si="0"/>
        <v>655</v>
      </c>
      <c r="I28" s="21">
        <f t="shared" si="1"/>
        <v>327.5</v>
      </c>
      <c r="J28" s="22">
        <f t="shared" si="2"/>
        <v>2</v>
      </c>
      <c r="K28" s="23">
        <v>0.875</v>
      </c>
      <c r="L28" s="24">
        <v>1800</v>
      </c>
      <c r="M28" s="31">
        <v>155.72</v>
      </c>
      <c r="N28" s="26">
        <f t="shared" si="3"/>
        <v>720.00000000002694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285</v>
      </c>
      <c r="E29" s="134"/>
      <c r="F29" s="133">
        <v>326</v>
      </c>
      <c r="G29" s="134"/>
      <c r="H29" s="20">
        <f t="shared" si="0"/>
        <v>611</v>
      </c>
      <c r="I29" s="21">
        <f t="shared" si="1"/>
        <v>305.5</v>
      </c>
      <c r="J29" s="22">
        <f t="shared" si="2"/>
        <v>2</v>
      </c>
      <c r="K29" s="23">
        <v>0.91666666666666596</v>
      </c>
      <c r="L29" s="24">
        <v>1800</v>
      </c>
      <c r="M29" s="31">
        <v>155.78</v>
      </c>
      <c r="N29" s="26">
        <f t="shared" si="3"/>
        <v>720.00000000002694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315</v>
      </c>
      <c r="E30" s="134"/>
      <c r="F30" s="133">
        <v>276</v>
      </c>
      <c r="G30" s="134"/>
      <c r="H30" s="20">
        <f t="shared" si="0"/>
        <v>591</v>
      </c>
      <c r="I30" s="21">
        <f t="shared" si="1"/>
        <v>295.5</v>
      </c>
      <c r="J30" s="22">
        <f t="shared" si="2"/>
        <v>2</v>
      </c>
      <c r="K30" s="23">
        <v>0.95833333333333304</v>
      </c>
      <c r="L30" s="24">
        <v>1800</v>
      </c>
      <c r="M30" s="31">
        <v>155.84</v>
      </c>
      <c r="N30" s="26">
        <f t="shared" si="3"/>
        <v>599.99999999979502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290</v>
      </c>
      <c r="E31" s="134"/>
      <c r="F31" s="133">
        <v>267</v>
      </c>
      <c r="G31" s="134"/>
      <c r="H31" s="20">
        <f t="shared" si="0"/>
        <v>557</v>
      </c>
      <c r="I31" s="35">
        <f t="shared" si="1"/>
        <v>278.5</v>
      </c>
      <c r="J31" s="36">
        <f t="shared" si="2"/>
        <v>2</v>
      </c>
      <c r="K31" s="37">
        <v>1</v>
      </c>
      <c r="L31" s="24">
        <v>4500</v>
      </c>
      <c r="M31" s="38">
        <v>155.88999999999999</v>
      </c>
      <c r="N31" s="26">
        <f>H31</f>
        <v>557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6.6619999999999999</v>
      </c>
      <c r="E32" s="136"/>
      <c r="F32" s="135">
        <f>SUM(F8:F31)/1000</f>
        <v>6.67</v>
      </c>
      <c r="G32" s="136"/>
      <c r="H32" s="40">
        <f>SUM(H8:H31)</f>
        <v>13332</v>
      </c>
      <c r="I32" s="41" t="s">
        <v>13</v>
      </c>
      <c r="J32" s="42"/>
      <c r="K32" s="43"/>
      <c r="L32" s="44"/>
      <c r="M32" s="45">
        <f>SUM(M31-M8+N8)</f>
        <v>601.20000000013601</v>
      </c>
      <c r="N32" s="46">
        <f>SUM(N8:N31)</f>
        <v>14956.9999999999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277.58333333333297</v>
      </c>
      <c r="E33" s="116"/>
      <c r="F33" s="119">
        <f>IFERROR((AVERAGE(F8:F31)),"0")</f>
        <v>277.91666666666703</v>
      </c>
      <c r="G33" s="121"/>
      <c r="H33" s="147">
        <f>H32*1000</f>
        <v>13332000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24</v>
      </c>
      <c r="E35" s="162"/>
      <c r="F35" s="163">
        <f>COUNT(F8:F31)</f>
        <v>24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48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723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555.5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484</v>
      </c>
      <c r="D41" s="126"/>
      <c r="E41" s="73">
        <f>VLOOKUP(C41,H8:L31,4,FALSE)</f>
        <v>0.66666666666666596</v>
      </c>
      <c r="F41" s="85"/>
      <c r="G41" s="74"/>
      <c r="H41" s="127" t="s">
        <v>22</v>
      </c>
      <c r="I41" s="128"/>
      <c r="J41" s="129"/>
      <c r="K41" s="75">
        <f>MIN(J8:J31)</f>
        <v>2</v>
      </c>
      <c r="L41" s="76"/>
      <c r="N41" s="127" t="s">
        <v>23</v>
      </c>
      <c r="O41" s="128"/>
      <c r="P41" s="128"/>
      <c r="Q41" s="129"/>
      <c r="R41" s="86">
        <f>AVERAGE(I8:I31)</f>
        <v>277.75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-530.44999999999402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509" priority="11" operator="equal">
      <formula>"STB"</formula>
    </cfRule>
    <cfRule type="cellIs" dxfId="508" priority="12" operator="equal">
      <formula>"BD"</formula>
    </cfRule>
  </conditionalFormatting>
  <conditionalFormatting sqref="B8:B31">
    <cfRule type="cellIs" dxfId="507" priority="1" operator="equal">
      <formula>"STB"</formula>
    </cfRule>
    <cfRule type="cellIs" dxfId="506" priority="2" operator="equal">
      <formula>"BD"</formula>
    </cfRule>
  </conditionalFormatting>
  <conditionalFormatting sqref="D8:D31">
    <cfRule type="cellIs" dxfId="505" priority="8" operator="equal">
      <formula>"STB"</formula>
    </cfRule>
    <cfRule type="cellIs" dxfId="504" priority="9" operator="equal">
      <formula>"BD"</formula>
    </cfRule>
  </conditionalFormatting>
  <conditionalFormatting sqref="F8:F31">
    <cfRule type="cellIs" dxfId="503" priority="3" operator="equal">
      <formula>"STB"</formula>
    </cfRule>
    <cfRule type="cellIs" dxfId="502" priority="4" operator="equal">
      <formula>"BD"</formula>
    </cfRule>
  </conditionalFormatting>
  <conditionalFormatting sqref="H8:H31">
    <cfRule type="top10" dxfId="501" priority="5" bottom="1" rank="1"/>
    <cfRule type="top10" dxfId="500" priority="6" rank="1"/>
    <cfRule type="cellIs" dxfId="499" priority="7" stopIfTrue="1" operator="equal">
      <formula>28000</formula>
    </cfRule>
  </conditionalFormatting>
  <conditionalFormatting sqref="H32:H33">
    <cfRule type="top10" dxfId="498" priority="14" bottom="1" rank="1"/>
    <cfRule type="top10" dxfId="497" priority="15" rank="1"/>
    <cfRule type="cellIs" dxfId="496" priority="17" stopIfTrue="1" operator="equal">
      <formula>28000</formula>
    </cfRule>
  </conditionalFormatting>
  <conditionalFormatting sqref="N8 N9:O31">
    <cfRule type="cellIs" dxfId="495" priority="16" operator="equal">
      <formula>"BD"</formula>
    </cfRule>
  </conditionalFormatting>
  <conditionalFormatting sqref="O8">
    <cfRule type="cellIs" dxfId="494" priority="10" operator="equal">
      <formula>"N/A"</formula>
    </cfRule>
  </conditionalFormatting>
  <conditionalFormatting sqref="Y8:Y31">
    <cfRule type="containsText" dxfId="493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C68"/>
  <sheetViews>
    <sheetView zoomScale="80" zoomScaleNormal="80" workbookViewId="0">
      <pane ySplit="7" topLeftCell="A9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'[3]Taniwel daily'!C4</f>
        <v>45294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261</v>
      </c>
      <c r="E8" s="134"/>
      <c r="F8" s="133">
        <v>275</v>
      </c>
      <c r="G8" s="134"/>
      <c r="H8" s="20">
        <f t="shared" ref="H8:H31" si="0">IF(SUM(B8:G8)/1000=0,"0",SUM(B8:G8))</f>
        <v>536</v>
      </c>
      <c r="I8" s="21">
        <f t="shared" ref="I8:I31" si="1">IFERROR(AVERAGE(B8:G8),"0")</f>
        <v>268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155.94999999999999</v>
      </c>
      <c r="N8" s="26">
        <f>(M9-M8)*12000</f>
        <v>600.00000000013597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261</v>
      </c>
      <c r="E9" s="134"/>
      <c r="F9" s="133">
        <v>275</v>
      </c>
      <c r="G9" s="134"/>
      <c r="H9" s="20">
        <f t="shared" si="0"/>
        <v>536</v>
      </c>
      <c r="I9" s="21">
        <f t="shared" si="1"/>
        <v>268</v>
      </c>
      <c r="J9" s="22">
        <f t="shared" si="2"/>
        <v>2</v>
      </c>
      <c r="K9" s="23">
        <v>8.3333333333333301E-2</v>
      </c>
      <c r="L9" s="24">
        <v>4200</v>
      </c>
      <c r="M9" s="31">
        <v>156</v>
      </c>
      <c r="N9" s="26">
        <f t="shared" ref="N9:N30" si="3">(M10-M9)*12000</f>
        <v>479.99999999990501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211</v>
      </c>
      <c r="E10" s="134"/>
      <c r="F10" s="133">
        <v>239</v>
      </c>
      <c r="G10" s="134"/>
      <c r="H10" s="20">
        <f t="shared" si="0"/>
        <v>450</v>
      </c>
      <c r="I10" s="21">
        <f t="shared" si="1"/>
        <v>225</v>
      </c>
      <c r="J10" s="22">
        <f t="shared" si="2"/>
        <v>2</v>
      </c>
      <c r="K10" s="23">
        <v>0.125</v>
      </c>
      <c r="L10" s="24">
        <v>4200</v>
      </c>
      <c r="M10" s="31">
        <v>156.04</v>
      </c>
      <c r="N10" s="26">
        <f t="shared" si="3"/>
        <v>600.00000000013597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 t="s">
        <v>26</v>
      </c>
      <c r="E11" s="134"/>
      <c r="F11" s="133">
        <v>440</v>
      </c>
      <c r="G11" s="134"/>
      <c r="H11" s="20">
        <f t="shared" si="0"/>
        <v>440</v>
      </c>
      <c r="I11" s="21">
        <f t="shared" si="1"/>
        <v>440</v>
      </c>
      <c r="J11" s="22">
        <f t="shared" si="2"/>
        <v>1</v>
      </c>
      <c r="K11" s="23">
        <v>0.16666666666666699</v>
      </c>
      <c r="L11" s="24">
        <v>4000</v>
      </c>
      <c r="M11" s="31">
        <v>156.09</v>
      </c>
      <c r="N11" s="26">
        <f t="shared" si="3"/>
        <v>720.00000000002694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 t="s">
        <v>26</v>
      </c>
      <c r="E12" s="134"/>
      <c r="F12" s="133">
        <v>444</v>
      </c>
      <c r="G12" s="134"/>
      <c r="H12" s="20">
        <f t="shared" si="0"/>
        <v>444</v>
      </c>
      <c r="I12" s="21">
        <f t="shared" si="1"/>
        <v>444</v>
      </c>
      <c r="J12" s="22">
        <f t="shared" si="2"/>
        <v>1</v>
      </c>
      <c r="K12" s="23">
        <v>0.20833333333333301</v>
      </c>
      <c r="L12" s="24">
        <v>3900</v>
      </c>
      <c r="M12" s="31">
        <v>156.15</v>
      </c>
      <c r="N12" s="26">
        <f t="shared" si="3"/>
        <v>239.99999999978201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 t="s">
        <v>26</v>
      </c>
      <c r="E13" s="134"/>
      <c r="F13" s="133">
        <v>448</v>
      </c>
      <c r="G13" s="134"/>
      <c r="H13" s="20">
        <f t="shared" si="0"/>
        <v>448</v>
      </c>
      <c r="I13" s="21">
        <f t="shared" si="1"/>
        <v>448</v>
      </c>
      <c r="J13" s="22">
        <f t="shared" si="2"/>
        <v>1</v>
      </c>
      <c r="K13" s="23">
        <v>0.25</v>
      </c>
      <c r="L13" s="24">
        <v>3600</v>
      </c>
      <c r="M13" s="31">
        <v>156.16999999999999</v>
      </c>
      <c r="N13" s="26">
        <f t="shared" si="3"/>
        <v>480.00000000024602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246</v>
      </c>
      <c r="E14" s="134"/>
      <c r="F14" s="133">
        <v>220</v>
      </c>
      <c r="G14" s="134"/>
      <c r="H14" s="20">
        <f t="shared" si="0"/>
        <v>466</v>
      </c>
      <c r="I14" s="21">
        <f t="shared" si="1"/>
        <v>233</v>
      </c>
      <c r="J14" s="22">
        <f t="shared" si="2"/>
        <v>2</v>
      </c>
      <c r="K14" s="23">
        <v>0.29166666666666702</v>
      </c>
      <c r="L14" s="24">
        <v>3600</v>
      </c>
      <c r="M14" s="31">
        <v>156.21</v>
      </c>
      <c r="N14" s="26">
        <f t="shared" si="3"/>
        <v>599.99999999979502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238</v>
      </c>
      <c r="E15" s="134"/>
      <c r="F15" s="133">
        <v>215</v>
      </c>
      <c r="G15" s="134"/>
      <c r="H15" s="20">
        <f t="shared" si="0"/>
        <v>453</v>
      </c>
      <c r="I15" s="21">
        <f t="shared" si="1"/>
        <v>226.5</v>
      </c>
      <c r="J15" s="22">
        <f t="shared" si="2"/>
        <v>2</v>
      </c>
      <c r="K15" s="23">
        <v>0.33333333333333298</v>
      </c>
      <c r="L15" s="24">
        <v>3600</v>
      </c>
      <c r="M15" s="31">
        <v>156.26</v>
      </c>
      <c r="N15" s="26">
        <f t="shared" si="3"/>
        <v>480.00000000024602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 t="s">
        <v>26</v>
      </c>
      <c r="E16" s="134"/>
      <c r="F16" s="133">
        <v>449</v>
      </c>
      <c r="G16" s="134"/>
      <c r="H16" s="20">
        <f t="shared" si="0"/>
        <v>449</v>
      </c>
      <c r="I16" s="21">
        <f t="shared" si="1"/>
        <v>449</v>
      </c>
      <c r="J16" s="22">
        <f t="shared" si="2"/>
        <v>1</v>
      </c>
      <c r="K16" s="23">
        <v>0.375</v>
      </c>
      <c r="L16" s="24">
        <v>3600</v>
      </c>
      <c r="M16" s="31">
        <v>156.30000000000001</v>
      </c>
      <c r="N16" s="26">
        <f t="shared" si="3"/>
        <v>360.00000000001398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455</v>
      </c>
      <c r="E17" s="134"/>
      <c r="F17" s="133" t="s">
        <v>26</v>
      </c>
      <c r="G17" s="134"/>
      <c r="H17" s="20">
        <f t="shared" si="0"/>
        <v>455</v>
      </c>
      <c r="I17" s="21">
        <f t="shared" si="1"/>
        <v>455</v>
      </c>
      <c r="J17" s="22">
        <f t="shared" si="2"/>
        <v>1</v>
      </c>
      <c r="K17" s="23">
        <v>0.41666666666666602</v>
      </c>
      <c r="L17" s="24">
        <v>3400</v>
      </c>
      <c r="M17" s="31">
        <v>156.33000000000001</v>
      </c>
      <c r="N17" s="26">
        <f t="shared" si="3"/>
        <v>599.99999999979502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274</v>
      </c>
      <c r="E18" s="134"/>
      <c r="F18" s="133">
        <v>264</v>
      </c>
      <c r="G18" s="134"/>
      <c r="H18" s="20">
        <f t="shared" si="0"/>
        <v>538</v>
      </c>
      <c r="I18" s="21">
        <f t="shared" si="1"/>
        <v>269</v>
      </c>
      <c r="J18" s="22">
        <f t="shared" si="2"/>
        <v>2</v>
      </c>
      <c r="K18" s="23">
        <v>0.45833333333333298</v>
      </c>
      <c r="L18" s="24">
        <v>3300</v>
      </c>
      <c r="M18" s="31">
        <v>156.38</v>
      </c>
      <c r="N18" s="26">
        <f t="shared" si="3"/>
        <v>600.00000000013597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252</v>
      </c>
      <c r="E19" s="134"/>
      <c r="F19" s="133">
        <v>273</v>
      </c>
      <c r="G19" s="134"/>
      <c r="H19" s="20">
        <f t="shared" si="0"/>
        <v>525</v>
      </c>
      <c r="I19" s="21">
        <f t="shared" si="1"/>
        <v>262.5</v>
      </c>
      <c r="J19" s="22">
        <f t="shared" si="2"/>
        <v>2</v>
      </c>
      <c r="K19" s="23">
        <v>0.5</v>
      </c>
      <c r="L19" s="24">
        <v>3300</v>
      </c>
      <c r="M19" s="31">
        <v>156.43</v>
      </c>
      <c r="N19" s="26">
        <f t="shared" si="3"/>
        <v>599.99999999979502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249</v>
      </c>
      <c r="E20" s="134"/>
      <c r="F20" s="133">
        <v>238</v>
      </c>
      <c r="G20" s="134"/>
      <c r="H20" s="20">
        <f t="shared" si="0"/>
        <v>487</v>
      </c>
      <c r="I20" s="21">
        <f t="shared" si="1"/>
        <v>243.5</v>
      </c>
      <c r="J20" s="22">
        <f t="shared" si="2"/>
        <v>2</v>
      </c>
      <c r="K20" s="23">
        <v>0.54166666666666696</v>
      </c>
      <c r="L20" s="24">
        <v>3000</v>
      </c>
      <c r="M20" s="31">
        <v>156.47999999999999</v>
      </c>
      <c r="N20" s="26">
        <f t="shared" si="3"/>
        <v>600.00000000013597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>
        <v>257</v>
      </c>
      <c r="E21" s="134"/>
      <c r="F21" s="133">
        <v>243</v>
      </c>
      <c r="G21" s="134"/>
      <c r="H21" s="20">
        <f t="shared" si="0"/>
        <v>500</v>
      </c>
      <c r="I21" s="21">
        <f t="shared" si="1"/>
        <v>250</v>
      </c>
      <c r="J21" s="22">
        <f t="shared" si="2"/>
        <v>2</v>
      </c>
      <c r="K21" s="23">
        <v>0.58333333333333304</v>
      </c>
      <c r="L21" s="24">
        <v>3000</v>
      </c>
      <c r="M21" s="31">
        <v>156.53</v>
      </c>
      <c r="N21" s="26">
        <f t="shared" si="3"/>
        <v>600.00000000013597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>
        <v>469</v>
      </c>
      <c r="E22" s="134"/>
      <c r="F22" s="133" t="s">
        <v>26</v>
      </c>
      <c r="G22" s="134"/>
      <c r="H22" s="20">
        <f t="shared" si="0"/>
        <v>469</v>
      </c>
      <c r="I22" s="21">
        <f t="shared" si="1"/>
        <v>469</v>
      </c>
      <c r="J22" s="22">
        <f t="shared" si="2"/>
        <v>1</v>
      </c>
      <c r="K22" s="23">
        <v>0.625</v>
      </c>
      <c r="L22" s="24">
        <v>3000</v>
      </c>
      <c r="M22" s="31">
        <v>156.58000000000001</v>
      </c>
      <c r="N22" s="26">
        <f t="shared" si="3"/>
        <v>479.99999999990501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457</v>
      </c>
      <c r="E23" s="134"/>
      <c r="F23" s="133" t="s">
        <v>26</v>
      </c>
      <c r="G23" s="134"/>
      <c r="H23" s="20">
        <f t="shared" si="0"/>
        <v>457</v>
      </c>
      <c r="I23" s="21">
        <f t="shared" si="1"/>
        <v>457</v>
      </c>
      <c r="J23" s="22">
        <f t="shared" si="2"/>
        <v>1</v>
      </c>
      <c r="K23" s="23">
        <v>0.66666666666666596</v>
      </c>
      <c r="L23" s="24">
        <v>3000</v>
      </c>
      <c r="M23" s="31">
        <v>156.62</v>
      </c>
      <c r="N23" s="26">
        <f t="shared" si="3"/>
        <v>479.99999999990501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245</v>
      </c>
      <c r="E24" s="134"/>
      <c r="F24" s="133">
        <v>234</v>
      </c>
      <c r="G24" s="134"/>
      <c r="H24" s="20">
        <f t="shared" si="0"/>
        <v>479</v>
      </c>
      <c r="I24" s="21">
        <f t="shared" si="1"/>
        <v>239.5</v>
      </c>
      <c r="J24" s="22">
        <f t="shared" si="2"/>
        <v>2</v>
      </c>
      <c r="K24" s="23">
        <v>0.70833333333333304</v>
      </c>
      <c r="L24" s="24">
        <v>2700</v>
      </c>
      <c r="M24" s="31">
        <v>156.66</v>
      </c>
      <c r="N24" s="26">
        <f t="shared" si="3"/>
        <v>600.00000000013597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270</v>
      </c>
      <c r="E25" s="134"/>
      <c r="F25" s="133">
        <v>262</v>
      </c>
      <c r="G25" s="134"/>
      <c r="H25" s="20">
        <f t="shared" si="0"/>
        <v>532</v>
      </c>
      <c r="I25" s="21">
        <f t="shared" si="1"/>
        <v>266</v>
      </c>
      <c r="J25" s="22">
        <f t="shared" si="2"/>
        <v>2</v>
      </c>
      <c r="K25" s="23">
        <v>0.75</v>
      </c>
      <c r="L25" s="24">
        <v>2400</v>
      </c>
      <c r="M25" s="31">
        <v>156.71</v>
      </c>
      <c r="N25" s="26">
        <f t="shared" si="3"/>
        <v>720.00000000002694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340</v>
      </c>
      <c r="E26" s="134"/>
      <c r="F26" s="133">
        <v>344</v>
      </c>
      <c r="G26" s="134"/>
      <c r="H26" s="20">
        <f t="shared" si="0"/>
        <v>684</v>
      </c>
      <c r="I26" s="21">
        <f t="shared" si="1"/>
        <v>342</v>
      </c>
      <c r="J26" s="22">
        <f t="shared" si="2"/>
        <v>2</v>
      </c>
      <c r="K26" s="23">
        <v>0.79166666666666596</v>
      </c>
      <c r="L26" s="24">
        <v>2100</v>
      </c>
      <c r="M26" s="31">
        <v>156.77000000000001</v>
      </c>
      <c r="N26" s="26">
        <f t="shared" si="3"/>
        <v>720.00000000002694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351</v>
      </c>
      <c r="E27" s="134"/>
      <c r="F27" s="133">
        <v>350</v>
      </c>
      <c r="G27" s="134"/>
      <c r="H27" s="20">
        <f t="shared" si="0"/>
        <v>701</v>
      </c>
      <c r="I27" s="21">
        <f t="shared" si="1"/>
        <v>350.5</v>
      </c>
      <c r="J27" s="22">
        <f t="shared" si="2"/>
        <v>2</v>
      </c>
      <c r="K27" s="23">
        <v>0.83333333333333304</v>
      </c>
      <c r="L27" s="24">
        <v>2100</v>
      </c>
      <c r="M27" s="31">
        <v>156.83000000000001</v>
      </c>
      <c r="N27" s="26">
        <f t="shared" si="3"/>
        <v>839.99999999991803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333</v>
      </c>
      <c r="E28" s="134"/>
      <c r="F28" s="133">
        <v>323</v>
      </c>
      <c r="G28" s="134"/>
      <c r="H28" s="20">
        <f t="shared" si="0"/>
        <v>656</v>
      </c>
      <c r="I28" s="21">
        <f t="shared" si="1"/>
        <v>328</v>
      </c>
      <c r="J28" s="22">
        <f t="shared" si="2"/>
        <v>2</v>
      </c>
      <c r="K28" s="23">
        <v>0.875</v>
      </c>
      <c r="L28" s="24">
        <v>1800</v>
      </c>
      <c r="M28" s="31">
        <v>156.9</v>
      </c>
      <c r="N28" s="26">
        <f t="shared" si="3"/>
        <v>599.99999999979502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309</v>
      </c>
      <c r="E29" s="134"/>
      <c r="F29" s="133">
        <v>317</v>
      </c>
      <c r="G29" s="134"/>
      <c r="H29" s="20">
        <f t="shared" si="0"/>
        <v>626</v>
      </c>
      <c r="I29" s="21">
        <f t="shared" si="1"/>
        <v>313</v>
      </c>
      <c r="J29" s="22">
        <f t="shared" si="2"/>
        <v>2</v>
      </c>
      <c r="K29" s="23">
        <v>0.91666666666666596</v>
      </c>
      <c r="L29" s="24">
        <v>1800</v>
      </c>
      <c r="M29" s="31">
        <v>156.94999999999999</v>
      </c>
      <c r="N29" s="26">
        <f t="shared" si="3"/>
        <v>600.00000000013597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281</v>
      </c>
      <c r="E30" s="134"/>
      <c r="F30" s="133">
        <v>297</v>
      </c>
      <c r="G30" s="134"/>
      <c r="H30" s="20">
        <f t="shared" si="0"/>
        <v>578</v>
      </c>
      <c r="I30" s="21">
        <f t="shared" si="1"/>
        <v>289</v>
      </c>
      <c r="J30" s="22">
        <f t="shared" si="2"/>
        <v>2</v>
      </c>
      <c r="K30" s="23">
        <v>0.95833333333333304</v>
      </c>
      <c r="L30" s="24">
        <v>1800</v>
      </c>
      <c r="M30" s="31">
        <v>157</v>
      </c>
      <c r="N30" s="26">
        <f t="shared" si="3"/>
        <v>720.00000000002694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263</v>
      </c>
      <c r="E31" s="134"/>
      <c r="F31" s="133">
        <v>289</v>
      </c>
      <c r="G31" s="134"/>
      <c r="H31" s="20">
        <f t="shared" si="0"/>
        <v>552</v>
      </c>
      <c r="I31" s="35">
        <f t="shared" si="1"/>
        <v>276</v>
      </c>
      <c r="J31" s="36">
        <f t="shared" si="2"/>
        <v>2</v>
      </c>
      <c r="K31" s="37">
        <v>1</v>
      </c>
      <c r="L31" s="24">
        <v>4500</v>
      </c>
      <c r="M31" s="38">
        <v>157.06</v>
      </c>
      <c r="N31" s="26">
        <f>H31</f>
        <v>552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6.0220000000000002</v>
      </c>
      <c r="E32" s="136"/>
      <c r="F32" s="135">
        <f>SUM(F8:F31)/1000</f>
        <v>6.4390000000000001</v>
      </c>
      <c r="G32" s="136"/>
      <c r="H32" s="40">
        <f>SUM(H8:H31)</f>
        <v>12461</v>
      </c>
      <c r="I32" s="41" t="s">
        <v>13</v>
      </c>
      <c r="J32" s="42"/>
      <c r="K32" s="43"/>
      <c r="L32" s="44"/>
      <c r="M32" s="45">
        <f>SUM(M31-M8+N8)</f>
        <v>601.11000000013598</v>
      </c>
      <c r="N32" s="46">
        <f>SUM(N8:N31)</f>
        <v>13872.0000000002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301.10000000000002</v>
      </c>
      <c r="E33" s="116"/>
      <c r="F33" s="119">
        <f>IFERROR((AVERAGE(F8:F31)),"0")</f>
        <v>306.61904761904799</v>
      </c>
      <c r="G33" s="121"/>
      <c r="H33" s="147">
        <f>H32*1000</f>
        <v>12461000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20</v>
      </c>
      <c r="E35" s="162"/>
      <c r="F35" s="163">
        <f>COUNT(F8:F31)</f>
        <v>21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41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701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519.20833333333303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440</v>
      </c>
      <c r="D41" s="126"/>
      <c r="E41" s="73">
        <f>VLOOKUP(C41,H8:L31,4,FALSE)</f>
        <v>0.16666666666666699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325.47916666666703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-494.16208333332798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492" priority="11" operator="equal">
      <formula>"STB"</formula>
    </cfRule>
    <cfRule type="cellIs" dxfId="491" priority="12" operator="equal">
      <formula>"BD"</formula>
    </cfRule>
  </conditionalFormatting>
  <conditionalFormatting sqref="B8:B31">
    <cfRule type="cellIs" dxfId="490" priority="1" operator="equal">
      <formula>"STB"</formula>
    </cfRule>
    <cfRule type="cellIs" dxfId="489" priority="2" operator="equal">
      <formula>"BD"</formula>
    </cfRule>
  </conditionalFormatting>
  <conditionalFormatting sqref="D8:D31">
    <cfRule type="cellIs" dxfId="488" priority="8" operator="equal">
      <formula>"STB"</formula>
    </cfRule>
    <cfRule type="cellIs" dxfId="487" priority="9" operator="equal">
      <formula>"BD"</formula>
    </cfRule>
  </conditionalFormatting>
  <conditionalFormatting sqref="F8:F31">
    <cfRule type="cellIs" dxfId="486" priority="3" operator="equal">
      <formula>"STB"</formula>
    </cfRule>
    <cfRule type="cellIs" dxfId="485" priority="4" operator="equal">
      <formula>"BD"</formula>
    </cfRule>
  </conditionalFormatting>
  <conditionalFormatting sqref="H8:H31">
    <cfRule type="top10" dxfId="484" priority="5" bottom="1" rank="1"/>
    <cfRule type="top10" dxfId="483" priority="6" rank="1"/>
    <cfRule type="cellIs" dxfId="482" priority="7" stopIfTrue="1" operator="equal">
      <formula>28000</formula>
    </cfRule>
  </conditionalFormatting>
  <conditionalFormatting sqref="H32:H33">
    <cfRule type="top10" dxfId="481" priority="14" bottom="1" rank="1"/>
    <cfRule type="top10" dxfId="480" priority="15" rank="1"/>
    <cfRule type="cellIs" dxfId="479" priority="17" stopIfTrue="1" operator="equal">
      <formula>28000</formula>
    </cfRule>
  </conditionalFormatting>
  <conditionalFormatting sqref="N8 N9:O31">
    <cfRule type="cellIs" dxfId="478" priority="16" operator="equal">
      <formula>"BD"</formula>
    </cfRule>
  </conditionalFormatting>
  <conditionalFormatting sqref="O8">
    <cfRule type="cellIs" dxfId="477" priority="10" operator="equal">
      <formula>"N/A"</formula>
    </cfRule>
  </conditionalFormatting>
  <conditionalFormatting sqref="Y8:Y31">
    <cfRule type="containsText" dxfId="476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C68"/>
  <sheetViews>
    <sheetView zoomScale="80" zoomScaleNormal="80" workbookViewId="0">
      <pane ySplit="7" topLeftCell="A9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'[4]Taniwel daily'!C4</f>
        <v>45295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260</v>
      </c>
      <c r="E8" s="134"/>
      <c r="F8" s="133">
        <v>257</v>
      </c>
      <c r="G8" s="134"/>
      <c r="H8" s="20">
        <f t="shared" ref="H8:H31" si="0">IF(SUM(B8:G8)/1000=0,"0",SUM(B8:G8))</f>
        <v>517</v>
      </c>
      <c r="I8" s="21">
        <f t="shared" ref="I8:I31" si="1">IFERROR(AVERAGE(B8:G8),"0")</f>
        <v>258.5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157.11000000000001</v>
      </c>
      <c r="N8" s="26">
        <f>(M9-M8)*12000</f>
        <v>599.99999999979502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255</v>
      </c>
      <c r="E9" s="134"/>
      <c r="F9" s="133">
        <v>260</v>
      </c>
      <c r="G9" s="134"/>
      <c r="H9" s="20">
        <f t="shared" si="0"/>
        <v>515</v>
      </c>
      <c r="I9" s="21">
        <f t="shared" si="1"/>
        <v>257.5</v>
      </c>
      <c r="J9" s="22">
        <f t="shared" si="2"/>
        <v>2</v>
      </c>
      <c r="K9" s="23">
        <v>8.3333333333333301E-2</v>
      </c>
      <c r="L9" s="24">
        <v>4200</v>
      </c>
      <c r="M9" s="31">
        <v>157.16</v>
      </c>
      <c r="N9" s="26">
        <f t="shared" ref="N9:N30" si="3">(M10-M9)*12000</f>
        <v>600.00000000013597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249</v>
      </c>
      <c r="E10" s="134"/>
      <c r="F10" s="133">
        <v>262</v>
      </c>
      <c r="G10" s="134"/>
      <c r="H10" s="20">
        <f t="shared" si="0"/>
        <v>511</v>
      </c>
      <c r="I10" s="21">
        <f t="shared" si="1"/>
        <v>255.5</v>
      </c>
      <c r="J10" s="22">
        <f t="shared" si="2"/>
        <v>2</v>
      </c>
      <c r="K10" s="23">
        <v>0.125</v>
      </c>
      <c r="L10" s="24">
        <v>4200</v>
      </c>
      <c r="M10" s="31">
        <v>157.21</v>
      </c>
      <c r="N10" s="26">
        <f t="shared" si="3"/>
        <v>479.99999999990501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247</v>
      </c>
      <c r="E11" s="134"/>
      <c r="F11" s="133">
        <v>260</v>
      </c>
      <c r="G11" s="134"/>
      <c r="H11" s="20">
        <f t="shared" si="0"/>
        <v>507</v>
      </c>
      <c r="I11" s="21">
        <f t="shared" si="1"/>
        <v>253.5</v>
      </c>
      <c r="J11" s="22">
        <f t="shared" si="2"/>
        <v>2</v>
      </c>
      <c r="K11" s="23">
        <v>0.16666666666666699</v>
      </c>
      <c r="L11" s="24">
        <v>4000</v>
      </c>
      <c r="M11" s="31">
        <v>157.25</v>
      </c>
      <c r="N11" s="26">
        <f t="shared" si="3"/>
        <v>600.00000000013597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>
        <v>252</v>
      </c>
      <c r="E12" s="134"/>
      <c r="F12" s="133">
        <v>250</v>
      </c>
      <c r="G12" s="134"/>
      <c r="H12" s="20">
        <f t="shared" si="0"/>
        <v>502</v>
      </c>
      <c r="I12" s="21">
        <f t="shared" si="1"/>
        <v>251</v>
      </c>
      <c r="J12" s="22">
        <f t="shared" si="2"/>
        <v>2</v>
      </c>
      <c r="K12" s="23">
        <v>0.20833333333333301</v>
      </c>
      <c r="L12" s="24">
        <v>3900</v>
      </c>
      <c r="M12" s="31">
        <v>157.30000000000001</v>
      </c>
      <c r="N12" s="26">
        <f t="shared" si="3"/>
        <v>479.99999999990501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249</v>
      </c>
      <c r="E13" s="134"/>
      <c r="F13" s="133">
        <v>240</v>
      </c>
      <c r="G13" s="134"/>
      <c r="H13" s="20">
        <f t="shared" si="0"/>
        <v>489</v>
      </c>
      <c r="I13" s="21">
        <f t="shared" si="1"/>
        <v>244.5</v>
      </c>
      <c r="J13" s="22">
        <f t="shared" si="2"/>
        <v>2</v>
      </c>
      <c r="K13" s="23">
        <v>0.25</v>
      </c>
      <c r="L13" s="24">
        <v>3600</v>
      </c>
      <c r="M13" s="31">
        <v>157.34</v>
      </c>
      <c r="N13" s="26">
        <f t="shared" si="3"/>
        <v>599.99999999979502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259</v>
      </c>
      <c r="E14" s="134"/>
      <c r="F14" s="133">
        <v>235</v>
      </c>
      <c r="G14" s="134"/>
      <c r="H14" s="20">
        <f t="shared" si="0"/>
        <v>494</v>
      </c>
      <c r="I14" s="21">
        <f t="shared" si="1"/>
        <v>247</v>
      </c>
      <c r="J14" s="22">
        <f t="shared" si="2"/>
        <v>2</v>
      </c>
      <c r="K14" s="23">
        <v>0.29166666666666702</v>
      </c>
      <c r="L14" s="24">
        <v>3600</v>
      </c>
      <c r="M14" s="31">
        <v>157.38999999999999</v>
      </c>
      <c r="N14" s="26">
        <f t="shared" si="3"/>
        <v>480.00000000024602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248</v>
      </c>
      <c r="E15" s="134"/>
      <c r="F15" s="133">
        <v>234</v>
      </c>
      <c r="G15" s="134"/>
      <c r="H15" s="20">
        <f t="shared" si="0"/>
        <v>482</v>
      </c>
      <c r="I15" s="21">
        <f t="shared" si="1"/>
        <v>241</v>
      </c>
      <c r="J15" s="22">
        <f t="shared" si="2"/>
        <v>2</v>
      </c>
      <c r="K15" s="23">
        <v>0.33333333333333298</v>
      </c>
      <c r="L15" s="24">
        <v>3600</v>
      </c>
      <c r="M15" s="31">
        <v>157.43</v>
      </c>
      <c r="N15" s="26">
        <f t="shared" si="3"/>
        <v>599.99999999979502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232</v>
      </c>
      <c r="E16" s="134"/>
      <c r="F16" s="133">
        <v>240</v>
      </c>
      <c r="G16" s="134"/>
      <c r="H16" s="20">
        <f t="shared" si="0"/>
        <v>472</v>
      </c>
      <c r="I16" s="21">
        <f t="shared" si="1"/>
        <v>236</v>
      </c>
      <c r="J16" s="22">
        <f t="shared" si="2"/>
        <v>2</v>
      </c>
      <c r="K16" s="23">
        <v>0.375</v>
      </c>
      <c r="L16" s="24">
        <v>3600</v>
      </c>
      <c r="M16" s="31">
        <v>157.47999999999999</v>
      </c>
      <c r="N16" s="26">
        <f t="shared" si="3"/>
        <v>480.00000000024602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244</v>
      </c>
      <c r="E17" s="134"/>
      <c r="F17" s="133">
        <v>257</v>
      </c>
      <c r="G17" s="134"/>
      <c r="H17" s="20">
        <f t="shared" si="0"/>
        <v>501</v>
      </c>
      <c r="I17" s="21">
        <f t="shared" si="1"/>
        <v>250.5</v>
      </c>
      <c r="J17" s="22">
        <f t="shared" si="2"/>
        <v>2</v>
      </c>
      <c r="K17" s="23">
        <v>0.41666666666666602</v>
      </c>
      <c r="L17" s="24">
        <v>3400</v>
      </c>
      <c r="M17" s="31">
        <v>157.52000000000001</v>
      </c>
      <c r="N17" s="26">
        <f t="shared" si="3"/>
        <v>599.99999999979502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247</v>
      </c>
      <c r="E18" s="134"/>
      <c r="F18" s="133">
        <v>253</v>
      </c>
      <c r="G18" s="134"/>
      <c r="H18" s="20">
        <f t="shared" si="0"/>
        <v>500</v>
      </c>
      <c r="I18" s="21">
        <f t="shared" si="1"/>
        <v>250</v>
      </c>
      <c r="J18" s="22">
        <f t="shared" si="2"/>
        <v>2</v>
      </c>
      <c r="K18" s="23">
        <v>0.45833333333333298</v>
      </c>
      <c r="L18" s="24">
        <v>3300</v>
      </c>
      <c r="M18" s="31">
        <v>157.57</v>
      </c>
      <c r="N18" s="26">
        <f t="shared" si="3"/>
        <v>600.00000000013597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230</v>
      </c>
      <c r="E19" s="134"/>
      <c r="F19" s="133">
        <v>252</v>
      </c>
      <c r="G19" s="134"/>
      <c r="H19" s="20">
        <f t="shared" si="0"/>
        <v>482</v>
      </c>
      <c r="I19" s="21">
        <f t="shared" si="1"/>
        <v>241</v>
      </c>
      <c r="J19" s="22">
        <f t="shared" si="2"/>
        <v>2</v>
      </c>
      <c r="K19" s="23">
        <v>0.5</v>
      </c>
      <c r="L19" s="24">
        <v>3300</v>
      </c>
      <c r="M19" s="31">
        <v>157.62</v>
      </c>
      <c r="N19" s="26">
        <f t="shared" si="3"/>
        <v>479.99999999990501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219</v>
      </c>
      <c r="E20" s="134"/>
      <c r="F20" s="133">
        <v>229</v>
      </c>
      <c r="G20" s="134"/>
      <c r="H20" s="20">
        <f t="shared" si="0"/>
        <v>448</v>
      </c>
      <c r="I20" s="21">
        <f t="shared" si="1"/>
        <v>224</v>
      </c>
      <c r="J20" s="22">
        <f t="shared" si="2"/>
        <v>2</v>
      </c>
      <c r="K20" s="23">
        <v>0.54166666666666696</v>
      </c>
      <c r="L20" s="24">
        <v>3000</v>
      </c>
      <c r="M20" s="31">
        <v>157.66</v>
      </c>
      <c r="N20" s="26">
        <f t="shared" si="3"/>
        <v>600.00000000013597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 t="s">
        <v>26</v>
      </c>
      <c r="E21" s="134"/>
      <c r="F21" s="133">
        <v>462</v>
      </c>
      <c r="G21" s="134"/>
      <c r="H21" s="20">
        <f t="shared" si="0"/>
        <v>462</v>
      </c>
      <c r="I21" s="21">
        <f t="shared" si="1"/>
        <v>462</v>
      </c>
      <c r="J21" s="22">
        <f t="shared" si="2"/>
        <v>1</v>
      </c>
      <c r="K21" s="23">
        <v>0.58333333333333304</v>
      </c>
      <c r="L21" s="24">
        <v>3000</v>
      </c>
      <c r="M21" s="31">
        <v>157.71</v>
      </c>
      <c r="N21" s="26">
        <f t="shared" si="3"/>
        <v>599.99999999979502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 t="s">
        <v>26</v>
      </c>
      <c r="E22" s="134"/>
      <c r="F22" s="133">
        <v>448</v>
      </c>
      <c r="G22" s="134"/>
      <c r="H22" s="20">
        <f t="shared" si="0"/>
        <v>448</v>
      </c>
      <c r="I22" s="21">
        <f t="shared" si="1"/>
        <v>448</v>
      </c>
      <c r="J22" s="22">
        <f t="shared" si="2"/>
        <v>1</v>
      </c>
      <c r="K22" s="23">
        <v>0.625</v>
      </c>
      <c r="L22" s="24">
        <v>3000</v>
      </c>
      <c r="M22" s="31">
        <v>157.76</v>
      </c>
      <c r="N22" s="26">
        <f t="shared" si="3"/>
        <v>360.00000000001398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 t="s">
        <v>26</v>
      </c>
      <c r="E23" s="134"/>
      <c r="F23" s="133">
        <v>455</v>
      </c>
      <c r="G23" s="134"/>
      <c r="H23" s="20">
        <f t="shared" si="0"/>
        <v>455</v>
      </c>
      <c r="I23" s="21">
        <f t="shared" si="1"/>
        <v>455</v>
      </c>
      <c r="J23" s="22">
        <f t="shared" si="2"/>
        <v>1</v>
      </c>
      <c r="K23" s="23">
        <v>0.66666666666666596</v>
      </c>
      <c r="L23" s="24">
        <v>3000</v>
      </c>
      <c r="M23" s="31">
        <v>157.79</v>
      </c>
      <c r="N23" s="26">
        <f t="shared" si="3"/>
        <v>600.00000000013597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233</v>
      </c>
      <c r="E24" s="134"/>
      <c r="F24" s="133">
        <v>232</v>
      </c>
      <c r="G24" s="134"/>
      <c r="H24" s="20">
        <f t="shared" si="0"/>
        <v>465</v>
      </c>
      <c r="I24" s="21">
        <f t="shared" si="1"/>
        <v>232.5</v>
      </c>
      <c r="J24" s="22">
        <f t="shared" si="2"/>
        <v>2</v>
      </c>
      <c r="K24" s="23">
        <v>0.70833333333333304</v>
      </c>
      <c r="L24" s="24">
        <v>2700</v>
      </c>
      <c r="M24" s="31">
        <v>157.84</v>
      </c>
      <c r="N24" s="26">
        <f t="shared" si="3"/>
        <v>479.99999999990501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246</v>
      </c>
      <c r="E25" s="134"/>
      <c r="F25" s="133">
        <v>285</v>
      </c>
      <c r="G25" s="134"/>
      <c r="H25" s="20">
        <f t="shared" si="0"/>
        <v>531</v>
      </c>
      <c r="I25" s="21">
        <f t="shared" si="1"/>
        <v>265.5</v>
      </c>
      <c r="J25" s="22">
        <f t="shared" si="2"/>
        <v>2</v>
      </c>
      <c r="K25" s="23">
        <v>0.75</v>
      </c>
      <c r="L25" s="24">
        <v>2400</v>
      </c>
      <c r="M25" s="31">
        <v>157.88</v>
      </c>
      <c r="N25" s="26">
        <f t="shared" si="3"/>
        <v>720.00000000002694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363</v>
      </c>
      <c r="E26" s="134"/>
      <c r="F26" s="133">
        <v>336</v>
      </c>
      <c r="G26" s="134"/>
      <c r="H26" s="20">
        <f t="shared" si="0"/>
        <v>699</v>
      </c>
      <c r="I26" s="21">
        <f t="shared" si="1"/>
        <v>349.5</v>
      </c>
      <c r="J26" s="22">
        <f t="shared" si="2"/>
        <v>2</v>
      </c>
      <c r="K26" s="23">
        <v>0.79166666666666596</v>
      </c>
      <c r="L26" s="24">
        <v>2100</v>
      </c>
      <c r="M26" s="31">
        <v>157.94</v>
      </c>
      <c r="N26" s="26">
        <f t="shared" si="3"/>
        <v>839.99999999991803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365</v>
      </c>
      <c r="E27" s="134"/>
      <c r="F27" s="133">
        <v>375</v>
      </c>
      <c r="G27" s="134"/>
      <c r="H27" s="20">
        <f t="shared" si="0"/>
        <v>740</v>
      </c>
      <c r="I27" s="21">
        <f t="shared" si="1"/>
        <v>370</v>
      </c>
      <c r="J27" s="22">
        <f t="shared" si="2"/>
        <v>2</v>
      </c>
      <c r="K27" s="23">
        <v>0.83333333333333304</v>
      </c>
      <c r="L27" s="24">
        <v>2100</v>
      </c>
      <c r="M27" s="31">
        <v>158.01</v>
      </c>
      <c r="N27" s="26">
        <f t="shared" si="3"/>
        <v>720.00000000002694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335</v>
      </c>
      <c r="E28" s="134"/>
      <c r="F28" s="133">
        <v>331</v>
      </c>
      <c r="G28" s="134"/>
      <c r="H28" s="20">
        <f t="shared" si="0"/>
        <v>666</v>
      </c>
      <c r="I28" s="21">
        <f t="shared" si="1"/>
        <v>333</v>
      </c>
      <c r="J28" s="22">
        <f t="shared" si="2"/>
        <v>2</v>
      </c>
      <c r="K28" s="23">
        <v>0.875</v>
      </c>
      <c r="L28" s="24">
        <v>1800</v>
      </c>
      <c r="M28" s="31">
        <v>158.07</v>
      </c>
      <c r="N28" s="26">
        <f t="shared" si="3"/>
        <v>720.00000000002694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292</v>
      </c>
      <c r="E29" s="134"/>
      <c r="F29" s="133">
        <v>234</v>
      </c>
      <c r="G29" s="134"/>
      <c r="H29" s="20">
        <f t="shared" si="0"/>
        <v>526</v>
      </c>
      <c r="I29" s="21">
        <f t="shared" si="1"/>
        <v>263</v>
      </c>
      <c r="J29" s="22">
        <f t="shared" si="2"/>
        <v>2</v>
      </c>
      <c r="K29" s="23">
        <v>0.91666666666666596</v>
      </c>
      <c r="L29" s="24">
        <v>1800</v>
      </c>
      <c r="M29" s="31">
        <v>158.13</v>
      </c>
      <c r="N29" s="26">
        <f t="shared" si="3"/>
        <v>720.00000000002694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274</v>
      </c>
      <c r="E30" s="134"/>
      <c r="F30" s="133">
        <v>295</v>
      </c>
      <c r="G30" s="134"/>
      <c r="H30" s="20">
        <f t="shared" si="0"/>
        <v>569</v>
      </c>
      <c r="I30" s="21">
        <f t="shared" si="1"/>
        <v>284.5</v>
      </c>
      <c r="J30" s="22">
        <f t="shared" si="2"/>
        <v>2</v>
      </c>
      <c r="K30" s="23">
        <v>0.95833333333333304</v>
      </c>
      <c r="L30" s="24">
        <v>1800</v>
      </c>
      <c r="M30" s="31">
        <v>158.19</v>
      </c>
      <c r="N30" s="26">
        <f t="shared" si="3"/>
        <v>600.00000000013597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255</v>
      </c>
      <c r="E31" s="134"/>
      <c r="F31" s="133">
        <v>302</v>
      </c>
      <c r="G31" s="134"/>
      <c r="H31" s="20">
        <f t="shared" si="0"/>
        <v>557</v>
      </c>
      <c r="I31" s="35">
        <f t="shared" si="1"/>
        <v>278.5</v>
      </c>
      <c r="J31" s="36">
        <f t="shared" si="2"/>
        <v>2</v>
      </c>
      <c r="K31" s="37">
        <v>1</v>
      </c>
      <c r="L31" s="24">
        <v>4500</v>
      </c>
      <c r="M31" s="38">
        <v>158.24</v>
      </c>
      <c r="N31" s="26">
        <f>H31</f>
        <v>557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5.5540000000000003</v>
      </c>
      <c r="E32" s="136"/>
      <c r="F32" s="135">
        <f>SUM(F8:F31)/1000</f>
        <v>6.984</v>
      </c>
      <c r="G32" s="136"/>
      <c r="H32" s="40">
        <f>SUM(H8:H31)</f>
        <v>12538</v>
      </c>
      <c r="I32" s="41" t="s">
        <v>13</v>
      </c>
      <c r="J32" s="42"/>
      <c r="K32" s="43"/>
      <c r="L32" s="44"/>
      <c r="M32" s="45">
        <f>SUM(M31-M8+N8)</f>
        <v>601.12999999979502</v>
      </c>
      <c r="N32" s="46">
        <f>SUM(N8:N31)</f>
        <v>14116.9999999999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264.47619047619003</v>
      </c>
      <c r="E33" s="116"/>
      <c r="F33" s="119">
        <f>IFERROR((AVERAGE(F8:F31)),"0")</f>
        <v>291</v>
      </c>
      <c r="G33" s="121"/>
      <c r="H33" s="147">
        <f>H32*1000</f>
        <v>12538000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21</v>
      </c>
      <c r="E35" s="162"/>
      <c r="F35" s="163">
        <f>COUNT(F8:F31)</f>
        <v>24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45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740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522.41666666666697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448</v>
      </c>
      <c r="D41" s="126"/>
      <c r="E41" s="73">
        <f>VLOOKUP(C41,H8:L31,4,FALSE)</f>
        <v>0.54166666666666696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289.64583333333297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-497.36958333334201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475" priority="11" operator="equal">
      <formula>"STB"</formula>
    </cfRule>
    <cfRule type="cellIs" dxfId="474" priority="12" operator="equal">
      <formula>"BD"</formula>
    </cfRule>
  </conditionalFormatting>
  <conditionalFormatting sqref="B8:B31">
    <cfRule type="cellIs" dxfId="473" priority="1" operator="equal">
      <formula>"STB"</formula>
    </cfRule>
    <cfRule type="cellIs" dxfId="472" priority="2" operator="equal">
      <formula>"BD"</formula>
    </cfRule>
  </conditionalFormatting>
  <conditionalFormatting sqref="D8:D31">
    <cfRule type="cellIs" dxfId="471" priority="8" operator="equal">
      <formula>"STB"</formula>
    </cfRule>
    <cfRule type="cellIs" dxfId="470" priority="9" operator="equal">
      <formula>"BD"</formula>
    </cfRule>
  </conditionalFormatting>
  <conditionalFormatting sqref="F8:F31">
    <cfRule type="cellIs" dxfId="469" priority="3" operator="equal">
      <formula>"STB"</formula>
    </cfRule>
    <cfRule type="cellIs" dxfId="468" priority="4" operator="equal">
      <formula>"BD"</formula>
    </cfRule>
  </conditionalFormatting>
  <conditionalFormatting sqref="H8:H31">
    <cfRule type="top10" dxfId="467" priority="5" bottom="1" rank="1"/>
    <cfRule type="top10" dxfId="466" priority="6" rank="1"/>
    <cfRule type="cellIs" dxfId="465" priority="7" stopIfTrue="1" operator="equal">
      <formula>28000</formula>
    </cfRule>
  </conditionalFormatting>
  <conditionalFormatting sqref="H32:H33">
    <cfRule type="top10" dxfId="464" priority="14" bottom="1" rank="1"/>
    <cfRule type="top10" dxfId="463" priority="15" rank="1"/>
    <cfRule type="cellIs" dxfId="462" priority="17" stopIfTrue="1" operator="equal">
      <formula>28000</formula>
    </cfRule>
  </conditionalFormatting>
  <conditionalFormatting sqref="N8 N9:O31">
    <cfRule type="cellIs" dxfId="461" priority="16" operator="equal">
      <formula>"BD"</formula>
    </cfRule>
  </conditionalFormatting>
  <conditionalFormatting sqref="O8">
    <cfRule type="cellIs" dxfId="460" priority="10" operator="equal">
      <formula>"N/A"</formula>
    </cfRule>
  </conditionalFormatting>
  <conditionalFormatting sqref="Y8:Y31">
    <cfRule type="containsText" dxfId="459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C68"/>
  <sheetViews>
    <sheetView zoomScale="80" zoomScaleNormal="80" workbookViewId="0">
      <pane ySplit="7" topLeftCell="A9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'[5]Taniwel daily'!C4</f>
        <v>45296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261</v>
      </c>
      <c r="E8" s="134"/>
      <c r="F8" s="133">
        <v>275</v>
      </c>
      <c r="G8" s="134"/>
      <c r="H8" s="20">
        <f t="shared" ref="H8:H31" si="0">IF(SUM(B8:G8)/1000=0,"0",SUM(B8:G8))</f>
        <v>536</v>
      </c>
      <c r="I8" s="21">
        <f t="shared" ref="I8:I31" si="1">IFERROR(AVERAGE(B8:G8),"0")</f>
        <v>268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158.29</v>
      </c>
      <c r="N8" s="26">
        <f>(M9-M8)*12000</f>
        <v>600.00000000013597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264</v>
      </c>
      <c r="E9" s="134"/>
      <c r="F9" s="133">
        <v>247</v>
      </c>
      <c r="G9" s="134"/>
      <c r="H9" s="20">
        <f t="shared" si="0"/>
        <v>511</v>
      </c>
      <c r="I9" s="21">
        <f t="shared" si="1"/>
        <v>255.5</v>
      </c>
      <c r="J9" s="22">
        <f t="shared" si="2"/>
        <v>2</v>
      </c>
      <c r="K9" s="23">
        <v>8.3333333333333301E-2</v>
      </c>
      <c r="L9" s="24">
        <v>4200</v>
      </c>
      <c r="M9" s="31">
        <v>158.34</v>
      </c>
      <c r="N9" s="26">
        <f t="shared" ref="N9:N30" si="3">(M10-M9)*12000</f>
        <v>599.99999999979502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254</v>
      </c>
      <c r="E10" s="134"/>
      <c r="F10" s="133">
        <v>262</v>
      </c>
      <c r="G10" s="134"/>
      <c r="H10" s="20">
        <f t="shared" si="0"/>
        <v>516</v>
      </c>
      <c r="I10" s="21">
        <f t="shared" si="1"/>
        <v>258</v>
      </c>
      <c r="J10" s="22">
        <f t="shared" si="2"/>
        <v>2</v>
      </c>
      <c r="K10" s="23">
        <v>0.125</v>
      </c>
      <c r="L10" s="24">
        <v>4200</v>
      </c>
      <c r="M10" s="31">
        <v>158.38999999999999</v>
      </c>
      <c r="N10" s="26">
        <f t="shared" si="3"/>
        <v>480.00000000024602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234</v>
      </c>
      <c r="E11" s="134"/>
      <c r="F11" s="133">
        <v>258</v>
      </c>
      <c r="G11" s="134"/>
      <c r="H11" s="20">
        <f t="shared" si="0"/>
        <v>492</v>
      </c>
      <c r="I11" s="21">
        <f t="shared" si="1"/>
        <v>246</v>
      </c>
      <c r="J11" s="22">
        <f t="shared" si="2"/>
        <v>2</v>
      </c>
      <c r="K11" s="23">
        <v>0.16666666666666699</v>
      </c>
      <c r="L11" s="24">
        <v>4000</v>
      </c>
      <c r="M11" s="31">
        <v>158.43</v>
      </c>
      <c r="N11" s="26">
        <f t="shared" si="3"/>
        <v>599.99999999979502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>
        <v>251</v>
      </c>
      <c r="E12" s="134"/>
      <c r="F12" s="133">
        <v>253</v>
      </c>
      <c r="G12" s="134"/>
      <c r="H12" s="20">
        <f t="shared" si="0"/>
        <v>504</v>
      </c>
      <c r="I12" s="21">
        <f t="shared" si="1"/>
        <v>252</v>
      </c>
      <c r="J12" s="22">
        <f t="shared" si="2"/>
        <v>2</v>
      </c>
      <c r="K12" s="23">
        <v>0.20833333333333301</v>
      </c>
      <c r="L12" s="24">
        <v>3900</v>
      </c>
      <c r="M12" s="31">
        <v>158.47999999999999</v>
      </c>
      <c r="N12" s="26">
        <f t="shared" si="3"/>
        <v>600.00000000013597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274</v>
      </c>
      <c r="E13" s="134"/>
      <c r="F13" s="133">
        <v>262</v>
      </c>
      <c r="G13" s="134"/>
      <c r="H13" s="20">
        <f t="shared" si="0"/>
        <v>536</v>
      </c>
      <c r="I13" s="21">
        <f t="shared" si="1"/>
        <v>268</v>
      </c>
      <c r="J13" s="22">
        <f t="shared" si="2"/>
        <v>2</v>
      </c>
      <c r="K13" s="23">
        <v>0.25</v>
      </c>
      <c r="L13" s="24">
        <v>3600</v>
      </c>
      <c r="M13" s="31">
        <v>158.53</v>
      </c>
      <c r="N13" s="26">
        <f t="shared" si="3"/>
        <v>600.00000000013597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269</v>
      </c>
      <c r="E14" s="134"/>
      <c r="F14" s="133">
        <v>277</v>
      </c>
      <c r="G14" s="134"/>
      <c r="H14" s="20">
        <f t="shared" si="0"/>
        <v>546</v>
      </c>
      <c r="I14" s="21">
        <f t="shared" si="1"/>
        <v>273</v>
      </c>
      <c r="J14" s="22">
        <f t="shared" si="2"/>
        <v>2</v>
      </c>
      <c r="K14" s="23">
        <v>0.29166666666666702</v>
      </c>
      <c r="L14" s="24">
        <v>3600</v>
      </c>
      <c r="M14" s="31">
        <v>158.58000000000001</v>
      </c>
      <c r="N14" s="26">
        <f t="shared" si="3"/>
        <v>599.99999999979502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254</v>
      </c>
      <c r="E15" s="134"/>
      <c r="F15" s="133">
        <v>261</v>
      </c>
      <c r="G15" s="134"/>
      <c r="H15" s="20">
        <f t="shared" si="0"/>
        <v>515</v>
      </c>
      <c r="I15" s="21">
        <f t="shared" si="1"/>
        <v>257.5</v>
      </c>
      <c r="J15" s="22">
        <f t="shared" si="2"/>
        <v>2</v>
      </c>
      <c r="K15" s="23">
        <v>0.33333333333333298</v>
      </c>
      <c r="L15" s="24">
        <v>3600</v>
      </c>
      <c r="M15" s="31">
        <v>158.63</v>
      </c>
      <c r="N15" s="26">
        <f t="shared" si="3"/>
        <v>600.00000000013597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250</v>
      </c>
      <c r="E16" s="134"/>
      <c r="F16" s="133">
        <v>253</v>
      </c>
      <c r="G16" s="134"/>
      <c r="H16" s="20">
        <f t="shared" si="0"/>
        <v>503</v>
      </c>
      <c r="I16" s="21">
        <f t="shared" si="1"/>
        <v>251.5</v>
      </c>
      <c r="J16" s="22">
        <f t="shared" si="2"/>
        <v>2</v>
      </c>
      <c r="K16" s="23">
        <v>0.375</v>
      </c>
      <c r="L16" s="24">
        <v>3600</v>
      </c>
      <c r="M16" s="31">
        <v>158.68</v>
      </c>
      <c r="N16" s="26">
        <f t="shared" si="3"/>
        <v>599.99999999979502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231</v>
      </c>
      <c r="E17" s="134"/>
      <c r="F17" s="133">
        <v>250</v>
      </c>
      <c r="G17" s="134"/>
      <c r="H17" s="20">
        <f t="shared" si="0"/>
        <v>481</v>
      </c>
      <c r="I17" s="21">
        <f t="shared" si="1"/>
        <v>240.5</v>
      </c>
      <c r="J17" s="22">
        <f t="shared" si="2"/>
        <v>2</v>
      </c>
      <c r="K17" s="23">
        <v>0.41666666666666602</v>
      </c>
      <c r="L17" s="24">
        <v>3400</v>
      </c>
      <c r="M17" s="31">
        <v>158.72999999999999</v>
      </c>
      <c r="N17" s="26">
        <f t="shared" si="3"/>
        <v>600.00000000013597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247</v>
      </c>
      <c r="E18" s="134"/>
      <c r="F18" s="133">
        <v>249</v>
      </c>
      <c r="G18" s="134"/>
      <c r="H18" s="20">
        <f t="shared" si="0"/>
        <v>496</v>
      </c>
      <c r="I18" s="21">
        <f t="shared" si="1"/>
        <v>248</v>
      </c>
      <c r="J18" s="22">
        <f t="shared" si="2"/>
        <v>2</v>
      </c>
      <c r="K18" s="23">
        <v>0.45833333333333298</v>
      </c>
      <c r="L18" s="24">
        <v>3300</v>
      </c>
      <c r="M18" s="31">
        <v>158.78</v>
      </c>
      <c r="N18" s="26">
        <f t="shared" si="3"/>
        <v>600.00000000013597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235</v>
      </c>
      <c r="E19" s="134"/>
      <c r="F19" s="133">
        <v>250</v>
      </c>
      <c r="G19" s="134"/>
      <c r="H19" s="20">
        <f t="shared" si="0"/>
        <v>485</v>
      </c>
      <c r="I19" s="21">
        <f t="shared" si="1"/>
        <v>242.5</v>
      </c>
      <c r="J19" s="22">
        <f t="shared" si="2"/>
        <v>2</v>
      </c>
      <c r="K19" s="23">
        <v>0.5</v>
      </c>
      <c r="L19" s="24">
        <v>3300</v>
      </c>
      <c r="M19" s="31">
        <v>158.83000000000001</v>
      </c>
      <c r="N19" s="26">
        <f t="shared" si="3"/>
        <v>479.99999999990501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232</v>
      </c>
      <c r="E20" s="134"/>
      <c r="F20" s="133">
        <v>350</v>
      </c>
      <c r="G20" s="134"/>
      <c r="H20" s="20">
        <f t="shared" si="0"/>
        <v>582</v>
      </c>
      <c r="I20" s="21">
        <f t="shared" si="1"/>
        <v>291</v>
      </c>
      <c r="J20" s="22">
        <f t="shared" si="2"/>
        <v>2</v>
      </c>
      <c r="K20" s="23">
        <v>0.54166666666666696</v>
      </c>
      <c r="L20" s="24">
        <v>3000</v>
      </c>
      <c r="M20" s="31">
        <v>158.87</v>
      </c>
      <c r="N20" s="26">
        <f t="shared" si="3"/>
        <v>479.99999999990501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>
        <v>463</v>
      </c>
      <c r="E21" s="134"/>
      <c r="F21" s="133" t="s">
        <v>26</v>
      </c>
      <c r="G21" s="134"/>
      <c r="H21" s="20">
        <f t="shared" si="0"/>
        <v>463</v>
      </c>
      <c r="I21" s="21">
        <f t="shared" si="1"/>
        <v>463</v>
      </c>
      <c r="J21" s="22">
        <f t="shared" si="2"/>
        <v>1</v>
      </c>
      <c r="K21" s="23">
        <v>0.58333333333333304</v>
      </c>
      <c r="L21" s="24">
        <v>3000</v>
      </c>
      <c r="M21" s="31">
        <v>158.91</v>
      </c>
      <c r="N21" s="26">
        <f t="shared" si="3"/>
        <v>600.00000000013597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>
        <v>455</v>
      </c>
      <c r="E22" s="134"/>
      <c r="F22" s="133" t="s">
        <v>26</v>
      </c>
      <c r="G22" s="134"/>
      <c r="H22" s="20">
        <f t="shared" si="0"/>
        <v>455</v>
      </c>
      <c r="I22" s="21">
        <f t="shared" si="1"/>
        <v>455</v>
      </c>
      <c r="J22" s="22">
        <f t="shared" si="2"/>
        <v>1</v>
      </c>
      <c r="K22" s="23">
        <v>0.625</v>
      </c>
      <c r="L22" s="24">
        <v>3000</v>
      </c>
      <c r="M22" s="31">
        <v>158.96</v>
      </c>
      <c r="N22" s="26">
        <f t="shared" si="3"/>
        <v>479.99999999990501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 t="s">
        <v>26</v>
      </c>
      <c r="E23" s="134"/>
      <c r="F23" s="133">
        <v>445</v>
      </c>
      <c r="G23" s="134"/>
      <c r="H23" s="20">
        <f t="shared" si="0"/>
        <v>445</v>
      </c>
      <c r="I23" s="21">
        <f t="shared" si="1"/>
        <v>445</v>
      </c>
      <c r="J23" s="22">
        <f t="shared" si="2"/>
        <v>1</v>
      </c>
      <c r="K23" s="23">
        <v>0.66666666666666596</v>
      </c>
      <c r="L23" s="24">
        <v>3000</v>
      </c>
      <c r="M23" s="31">
        <v>159</v>
      </c>
      <c r="N23" s="26">
        <f t="shared" si="3"/>
        <v>479.99999999990501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 t="s">
        <v>26</v>
      </c>
      <c r="E24" s="134"/>
      <c r="F24" s="133">
        <v>470</v>
      </c>
      <c r="G24" s="134"/>
      <c r="H24" s="20">
        <f t="shared" si="0"/>
        <v>470</v>
      </c>
      <c r="I24" s="21">
        <f t="shared" si="1"/>
        <v>470</v>
      </c>
      <c r="J24" s="22">
        <f t="shared" si="2"/>
        <v>1</v>
      </c>
      <c r="K24" s="23">
        <v>0.70833333333333304</v>
      </c>
      <c r="L24" s="24">
        <v>2700</v>
      </c>
      <c r="M24" s="31">
        <v>159.04</v>
      </c>
      <c r="N24" s="26">
        <f t="shared" si="3"/>
        <v>600.00000000013597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260</v>
      </c>
      <c r="E25" s="134"/>
      <c r="F25" s="133">
        <v>246</v>
      </c>
      <c r="G25" s="134"/>
      <c r="H25" s="20">
        <f t="shared" si="0"/>
        <v>506</v>
      </c>
      <c r="I25" s="21">
        <f t="shared" si="1"/>
        <v>253</v>
      </c>
      <c r="J25" s="22">
        <f t="shared" si="2"/>
        <v>2</v>
      </c>
      <c r="K25" s="23">
        <v>0.75</v>
      </c>
      <c r="L25" s="24">
        <v>2400</v>
      </c>
      <c r="M25" s="31">
        <v>159.09</v>
      </c>
      <c r="N25" s="26">
        <f t="shared" si="3"/>
        <v>720.00000000002694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315</v>
      </c>
      <c r="E26" s="134"/>
      <c r="F26" s="133">
        <v>339</v>
      </c>
      <c r="G26" s="134"/>
      <c r="H26" s="20">
        <f t="shared" si="0"/>
        <v>654</v>
      </c>
      <c r="I26" s="21">
        <f t="shared" si="1"/>
        <v>327</v>
      </c>
      <c r="J26" s="22">
        <f t="shared" si="2"/>
        <v>2</v>
      </c>
      <c r="K26" s="23">
        <v>0.79166666666666596</v>
      </c>
      <c r="L26" s="24">
        <v>2100</v>
      </c>
      <c r="M26" s="31">
        <v>159.15</v>
      </c>
      <c r="N26" s="26">
        <f t="shared" si="3"/>
        <v>720.00000000002694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347</v>
      </c>
      <c r="E27" s="134"/>
      <c r="F27" s="133">
        <v>351</v>
      </c>
      <c r="G27" s="134"/>
      <c r="H27" s="20">
        <f t="shared" si="0"/>
        <v>698</v>
      </c>
      <c r="I27" s="21">
        <f t="shared" si="1"/>
        <v>349</v>
      </c>
      <c r="J27" s="22">
        <f t="shared" si="2"/>
        <v>2</v>
      </c>
      <c r="K27" s="23">
        <v>0.83333333333333304</v>
      </c>
      <c r="L27" s="24">
        <v>2100</v>
      </c>
      <c r="M27" s="31">
        <v>159.21</v>
      </c>
      <c r="N27" s="26">
        <f t="shared" si="3"/>
        <v>720.00000000002694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275</v>
      </c>
      <c r="E28" s="134"/>
      <c r="F28" s="133">
        <v>295</v>
      </c>
      <c r="G28" s="134"/>
      <c r="H28" s="20">
        <f t="shared" si="0"/>
        <v>570</v>
      </c>
      <c r="I28" s="21">
        <f t="shared" si="1"/>
        <v>285</v>
      </c>
      <c r="J28" s="22">
        <f t="shared" si="2"/>
        <v>2</v>
      </c>
      <c r="K28" s="23">
        <v>0.875</v>
      </c>
      <c r="L28" s="24">
        <v>1800</v>
      </c>
      <c r="M28" s="31">
        <v>159.27000000000001</v>
      </c>
      <c r="N28" s="26">
        <f t="shared" si="3"/>
        <v>599.99999999979502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283</v>
      </c>
      <c r="E29" s="134"/>
      <c r="F29" s="133">
        <v>269</v>
      </c>
      <c r="G29" s="134"/>
      <c r="H29" s="20">
        <f t="shared" si="0"/>
        <v>552</v>
      </c>
      <c r="I29" s="21">
        <f t="shared" si="1"/>
        <v>276</v>
      </c>
      <c r="J29" s="22">
        <f t="shared" si="2"/>
        <v>2</v>
      </c>
      <c r="K29" s="23">
        <v>0.91666666666666596</v>
      </c>
      <c r="L29" s="24">
        <v>1800</v>
      </c>
      <c r="M29" s="31">
        <v>159.32</v>
      </c>
      <c r="N29" s="26">
        <f t="shared" si="3"/>
        <v>600.00000000013597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249</v>
      </c>
      <c r="E30" s="134"/>
      <c r="F30" s="133">
        <v>253</v>
      </c>
      <c r="G30" s="134"/>
      <c r="H30" s="20">
        <f t="shared" si="0"/>
        <v>502</v>
      </c>
      <c r="I30" s="21">
        <f t="shared" si="1"/>
        <v>251</v>
      </c>
      <c r="J30" s="22">
        <f t="shared" si="2"/>
        <v>2</v>
      </c>
      <c r="K30" s="23">
        <v>0.95833333333333304</v>
      </c>
      <c r="L30" s="24">
        <v>1800</v>
      </c>
      <c r="M30" s="31">
        <v>159.37</v>
      </c>
      <c r="N30" s="26">
        <f t="shared" si="3"/>
        <v>599.99999999979502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240</v>
      </c>
      <c r="E31" s="134"/>
      <c r="F31" s="133">
        <v>234</v>
      </c>
      <c r="G31" s="134"/>
      <c r="H31" s="20">
        <f t="shared" si="0"/>
        <v>474</v>
      </c>
      <c r="I31" s="35">
        <f t="shared" si="1"/>
        <v>237</v>
      </c>
      <c r="J31" s="36">
        <f t="shared" si="2"/>
        <v>2</v>
      </c>
      <c r="K31" s="37">
        <v>1</v>
      </c>
      <c r="L31" s="24">
        <v>4500</v>
      </c>
      <c r="M31" s="38">
        <v>159.41999999999999</v>
      </c>
      <c r="N31" s="26">
        <f>H31</f>
        <v>474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6.1429999999999998</v>
      </c>
      <c r="E32" s="136"/>
      <c r="F32" s="135">
        <f>SUM(F8:F31)/1000</f>
        <v>6.3490000000000002</v>
      </c>
      <c r="G32" s="136"/>
      <c r="H32" s="40">
        <f>SUM(H8:H31)</f>
        <v>12492</v>
      </c>
      <c r="I32" s="41" t="s">
        <v>13</v>
      </c>
      <c r="J32" s="42"/>
      <c r="K32" s="43"/>
      <c r="L32" s="44"/>
      <c r="M32" s="45">
        <f>SUM(M31-M8+N8)</f>
        <v>601.13000000013596</v>
      </c>
      <c r="N32" s="46">
        <f>SUM(N8:N31)</f>
        <v>14033.9999999999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279.22727272727298</v>
      </c>
      <c r="E33" s="116"/>
      <c r="F33" s="119">
        <f>IFERROR((AVERAGE(F8:F31)),"0")</f>
        <v>288.59090909090901</v>
      </c>
      <c r="G33" s="121"/>
      <c r="H33" s="147">
        <f>H32*1000</f>
        <v>12492000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22</v>
      </c>
      <c r="E35" s="162"/>
      <c r="F35" s="163">
        <f>COUNT(F8:F31)</f>
        <v>22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44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698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520.5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445</v>
      </c>
      <c r="D41" s="126"/>
      <c r="E41" s="73">
        <f>VLOOKUP(C41,H8:L31,4,FALSE)</f>
        <v>0.66666666666666596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298.4375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-495.452916666661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458" priority="11" operator="equal">
      <formula>"STB"</formula>
    </cfRule>
    <cfRule type="cellIs" dxfId="457" priority="12" operator="equal">
      <formula>"BD"</formula>
    </cfRule>
  </conditionalFormatting>
  <conditionalFormatting sqref="B8:B31">
    <cfRule type="cellIs" dxfId="456" priority="1" operator="equal">
      <formula>"STB"</formula>
    </cfRule>
    <cfRule type="cellIs" dxfId="455" priority="2" operator="equal">
      <formula>"BD"</formula>
    </cfRule>
  </conditionalFormatting>
  <conditionalFormatting sqref="D8:D31">
    <cfRule type="cellIs" dxfId="454" priority="8" operator="equal">
      <formula>"STB"</formula>
    </cfRule>
    <cfRule type="cellIs" dxfId="453" priority="9" operator="equal">
      <formula>"BD"</formula>
    </cfRule>
  </conditionalFormatting>
  <conditionalFormatting sqref="F8:F31">
    <cfRule type="cellIs" dxfId="452" priority="3" operator="equal">
      <formula>"STB"</formula>
    </cfRule>
    <cfRule type="cellIs" dxfId="451" priority="4" operator="equal">
      <formula>"BD"</formula>
    </cfRule>
  </conditionalFormatting>
  <conditionalFormatting sqref="H8:H31">
    <cfRule type="top10" dxfId="450" priority="5" bottom="1" rank="1"/>
    <cfRule type="top10" dxfId="449" priority="6" rank="1"/>
    <cfRule type="cellIs" dxfId="448" priority="7" stopIfTrue="1" operator="equal">
      <formula>28000</formula>
    </cfRule>
  </conditionalFormatting>
  <conditionalFormatting sqref="H32:H33">
    <cfRule type="top10" dxfId="447" priority="14" bottom="1" rank="1"/>
    <cfRule type="top10" dxfId="446" priority="15" rank="1"/>
    <cfRule type="cellIs" dxfId="445" priority="17" stopIfTrue="1" operator="equal">
      <formula>28000</formula>
    </cfRule>
  </conditionalFormatting>
  <conditionalFormatting sqref="N8 N9:O31">
    <cfRule type="cellIs" dxfId="444" priority="16" operator="equal">
      <formula>"BD"</formula>
    </cfRule>
  </conditionalFormatting>
  <conditionalFormatting sqref="O8">
    <cfRule type="cellIs" dxfId="443" priority="10" operator="equal">
      <formula>"N/A"</formula>
    </cfRule>
  </conditionalFormatting>
  <conditionalFormatting sqref="Y8:Y31">
    <cfRule type="containsText" dxfId="442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C68"/>
  <sheetViews>
    <sheetView zoomScale="80" zoomScaleNormal="80" workbookViewId="0">
      <pane ySplit="7" topLeftCell="A9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'[6]Taniwel daily'!C4</f>
        <v>45297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226</v>
      </c>
      <c r="E8" s="134"/>
      <c r="F8" s="133">
        <v>234</v>
      </c>
      <c r="G8" s="134"/>
      <c r="H8" s="20">
        <f t="shared" ref="H8:H31" si="0">IF(SUM(B8:G8)/1000=0,"0",SUM(B8:G8))</f>
        <v>460</v>
      </c>
      <c r="I8" s="21">
        <f t="shared" ref="I8:I31" si="1">IFERROR(AVERAGE(B8:G8),"0")</f>
        <v>230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159.46</v>
      </c>
      <c r="N8" s="26">
        <f>(M9-M8)*12000</f>
        <v>479.99999999990501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 t="s">
        <v>26</v>
      </c>
      <c r="E9" s="134"/>
      <c r="F9" s="133">
        <v>442</v>
      </c>
      <c r="G9" s="134"/>
      <c r="H9" s="20">
        <f t="shared" si="0"/>
        <v>442</v>
      </c>
      <c r="I9" s="21">
        <f t="shared" si="1"/>
        <v>442</v>
      </c>
      <c r="J9" s="22">
        <f t="shared" si="2"/>
        <v>1</v>
      </c>
      <c r="K9" s="23">
        <v>8.3333333333333301E-2</v>
      </c>
      <c r="L9" s="24">
        <v>4200</v>
      </c>
      <c r="M9" s="31">
        <v>159.5</v>
      </c>
      <c r="N9" s="26">
        <f t="shared" ref="N9:N30" si="3">(M10-M9)*12000</f>
        <v>479.99999999990501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 t="s">
        <v>26</v>
      </c>
      <c r="E10" s="134"/>
      <c r="F10" s="133">
        <v>438</v>
      </c>
      <c r="G10" s="134"/>
      <c r="H10" s="20">
        <f t="shared" si="0"/>
        <v>438</v>
      </c>
      <c r="I10" s="21">
        <f t="shared" si="1"/>
        <v>438</v>
      </c>
      <c r="J10" s="22">
        <f t="shared" si="2"/>
        <v>1</v>
      </c>
      <c r="K10" s="23">
        <v>0.125</v>
      </c>
      <c r="L10" s="24">
        <v>4200</v>
      </c>
      <c r="M10" s="31">
        <v>159.54</v>
      </c>
      <c r="N10" s="26">
        <f t="shared" si="3"/>
        <v>480.00000000024602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 t="s">
        <v>26</v>
      </c>
      <c r="E11" s="134"/>
      <c r="F11" s="133">
        <v>433</v>
      </c>
      <c r="G11" s="134"/>
      <c r="H11" s="20">
        <f t="shared" si="0"/>
        <v>433</v>
      </c>
      <c r="I11" s="21">
        <f t="shared" si="1"/>
        <v>433</v>
      </c>
      <c r="J11" s="22">
        <f t="shared" si="2"/>
        <v>1</v>
      </c>
      <c r="K11" s="23">
        <v>0.16666666666666699</v>
      </c>
      <c r="L11" s="24">
        <v>4000</v>
      </c>
      <c r="M11" s="31">
        <v>159.58000000000001</v>
      </c>
      <c r="N11" s="26">
        <f t="shared" si="3"/>
        <v>479.99999999990501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 t="s">
        <v>26</v>
      </c>
      <c r="E12" s="134"/>
      <c r="F12" s="133">
        <v>436</v>
      </c>
      <c r="G12" s="134"/>
      <c r="H12" s="20">
        <f t="shared" si="0"/>
        <v>436</v>
      </c>
      <c r="I12" s="21">
        <f t="shared" si="1"/>
        <v>436</v>
      </c>
      <c r="J12" s="22">
        <f t="shared" si="2"/>
        <v>1</v>
      </c>
      <c r="K12" s="23">
        <v>0.20833333333333301</v>
      </c>
      <c r="L12" s="24">
        <v>3900</v>
      </c>
      <c r="M12" s="31">
        <v>159.62</v>
      </c>
      <c r="N12" s="26">
        <f t="shared" si="3"/>
        <v>479.99999999990501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 t="s">
        <v>26</v>
      </c>
      <c r="E13" s="134"/>
      <c r="F13" s="133">
        <v>406</v>
      </c>
      <c r="G13" s="134"/>
      <c r="H13" s="20">
        <f t="shared" si="0"/>
        <v>406</v>
      </c>
      <c r="I13" s="21">
        <f t="shared" si="1"/>
        <v>406</v>
      </c>
      <c r="J13" s="22">
        <f t="shared" si="2"/>
        <v>1</v>
      </c>
      <c r="K13" s="23">
        <v>0.25</v>
      </c>
      <c r="L13" s="24">
        <v>3600</v>
      </c>
      <c r="M13" s="31">
        <v>159.66</v>
      </c>
      <c r="N13" s="26">
        <f t="shared" si="3"/>
        <v>479.99999999990501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 t="s">
        <v>26</v>
      </c>
      <c r="E14" s="134"/>
      <c r="F14" s="133">
        <v>433</v>
      </c>
      <c r="G14" s="134"/>
      <c r="H14" s="20">
        <f t="shared" si="0"/>
        <v>433</v>
      </c>
      <c r="I14" s="21">
        <f t="shared" si="1"/>
        <v>433</v>
      </c>
      <c r="J14" s="22">
        <f t="shared" si="2"/>
        <v>1</v>
      </c>
      <c r="K14" s="23">
        <v>0.29166666666666702</v>
      </c>
      <c r="L14" s="24">
        <v>3600</v>
      </c>
      <c r="M14" s="31">
        <v>159.69999999999999</v>
      </c>
      <c r="N14" s="26">
        <f t="shared" si="3"/>
        <v>480.00000000024602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 t="s">
        <v>26</v>
      </c>
      <c r="E15" s="134"/>
      <c r="F15" s="133">
        <v>430</v>
      </c>
      <c r="G15" s="134"/>
      <c r="H15" s="20">
        <f t="shared" si="0"/>
        <v>430</v>
      </c>
      <c r="I15" s="21">
        <f t="shared" si="1"/>
        <v>430</v>
      </c>
      <c r="J15" s="22">
        <f t="shared" si="2"/>
        <v>1</v>
      </c>
      <c r="K15" s="23">
        <v>0.33333333333333298</v>
      </c>
      <c r="L15" s="24">
        <v>3600</v>
      </c>
      <c r="M15" s="31">
        <v>159.74</v>
      </c>
      <c r="N15" s="26">
        <f t="shared" si="3"/>
        <v>599.99999999979502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418</v>
      </c>
      <c r="E16" s="134"/>
      <c r="F16" s="133" t="s">
        <v>26</v>
      </c>
      <c r="G16" s="134"/>
      <c r="H16" s="20">
        <f t="shared" si="0"/>
        <v>418</v>
      </c>
      <c r="I16" s="21">
        <f t="shared" si="1"/>
        <v>418</v>
      </c>
      <c r="J16" s="22">
        <f t="shared" si="2"/>
        <v>1</v>
      </c>
      <c r="K16" s="23">
        <v>0.375</v>
      </c>
      <c r="L16" s="24">
        <v>3600</v>
      </c>
      <c r="M16" s="31">
        <v>159.79</v>
      </c>
      <c r="N16" s="26">
        <f t="shared" si="3"/>
        <v>480.00000000024602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415</v>
      </c>
      <c r="E17" s="134"/>
      <c r="F17" s="133" t="s">
        <v>26</v>
      </c>
      <c r="G17" s="134"/>
      <c r="H17" s="20">
        <f t="shared" si="0"/>
        <v>415</v>
      </c>
      <c r="I17" s="21">
        <f t="shared" si="1"/>
        <v>415</v>
      </c>
      <c r="J17" s="22">
        <f t="shared" si="2"/>
        <v>1</v>
      </c>
      <c r="K17" s="23">
        <v>0.41666666666666602</v>
      </c>
      <c r="L17" s="24">
        <v>3400</v>
      </c>
      <c r="M17" s="31">
        <v>159.83000000000001</v>
      </c>
      <c r="N17" s="26">
        <f t="shared" si="3"/>
        <v>360.00000000001398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394</v>
      </c>
      <c r="E18" s="134"/>
      <c r="F18" s="133" t="s">
        <v>26</v>
      </c>
      <c r="G18" s="134"/>
      <c r="H18" s="20">
        <f t="shared" si="0"/>
        <v>394</v>
      </c>
      <c r="I18" s="21">
        <f t="shared" si="1"/>
        <v>394</v>
      </c>
      <c r="J18" s="22">
        <f t="shared" si="2"/>
        <v>1</v>
      </c>
      <c r="K18" s="23">
        <v>0.45833333333333298</v>
      </c>
      <c r="L18" s="24">
        <v>3300</v>
      </c>
      <c r="M18" s="31">
        <v>159.86000000000001</v>
      </c>
      <c r="N18" s="26">
        <f t="shared" si="3"/>
        <v>479.99999999990501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235</v>
      </c>
      <c r="E19" s="134"/>
      <c r="F19" s="133">
        <v>200</v>
      </c>
      <c r="G19" s="134"/>
      <c r="H19" s="20">
        <f t="shared" si="0"/>
        <v>435</v>
      </c>
      <c r="I19" s="21">
        <f t="shared" si="1"/>
        <v>217.5</v>
      </c>
      <c r="J19" s="22">
        <f t="shared" si="2"/>
        <v>2</v>
      </c>
      <c r="K19" s="23">
        <v>0.5</v>
      </c>
      <c r="L19" s="24">
        <v>3300</v>
      </c>
      <c r="M19" s="31">
        <v>159.9</v>
      </c>
      <c r="N19" s="26">
        <f t="shared" si="3"/>
        <v>479.99999999990501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445</v>
      </c>
      <c r="E20" s="134"/>
      <c r="F20" s="133" t="s">
        <v>26</v>
      </c>
      <c r="G20" s="134"/>
      <c r="H20" s="20">
        <f t="shared" si="0"/>
        <v>445</v>
      </c>
      <c r="I20" s="21">
        <f t="shared" si="1"/>
        <v>445</v>
      </c>
      <c r="J20" s="22">
        <f t="shared" si="2"/>
        <v>1</v>
      </c>
      <c r="K20" s="23">
        <v>0.54166666666666696</v>
      </c>
      <c r="L20" s="24">
        <v>3000</v>
      </c>
      <c r="M20" s="31">
        <v>159.94</v>
      </c>
      <c r="N20" s="26">
        <f t="shared" si="3"/>
        <v>479.99999999990501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>
        <v>422</v>
      </c>
      <c r="E21" s="134"/>
      <c r="F21" s="133" t="s">
        <v>26</v>
      </c>
      <c r="G21" s="134"/>
      <c r="H21" s="20">
        <f t="shared" si="0"/>
        <v>422</v>
      </c>
      <c r="I21" s="21">
        <f t="shared" si="1"/>
        <v>422</v>
      </c>
      <c r="J21" s="22">
        <f t="shared" si="2"/>
        <v>1</v>
      </c>
      <c r="K21" s="23">
        <v>0.58333333333333304</v>
      </c>
      <c r="L21" s="24">
        <v>3000</v>
      </c>
      <c r="M21" s="31">
        <v>159.97999999999999</v>
      </c>
      <c r="N21" s="26">
        <f t="shared" si="3"/>
        <v>480.00000000024602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>
        <v>417</v>
      </c>
      <c r="E22" s="134"/>
      <c r="F22" s="133" t="s">
        <v>26</v>
      </c>
      <c r="G22" s="134"/>
      <c r="H22" s="20">
        <f t="shared" si="0"/>
        <v>417</v>
      </c>
      <c r="I22" s="21">
        <f t="shared" si="1"/>
        <v>417</v>
      </c>
      <c r="J22" s="22">
        <f t="shared" si="2"/>
        <v>1</v>
      </c>
      <c r="K22" s="23">
        <v>0.625</v>
      </c>
      <c r="L22" s="24">
        <v>3000</v>
      </c>
      <c r="M22" s="31">
        <v>160.02000000000001</v>
      </c>
      <c r="N22" s="26">
        <f t="shared" si="3"/>
        <v>479.99999999990501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409</v>
      </c>
      <c r="E23" s="134"/>
      <c r="F23" s="133" t="s">
        <v>26</v>
      </c>
      <c r="G23" s="134"/>
      <c r="H23" s="20">
        <f t="shared" si="0"/>
        <v>409</v>
      </c>
      <c r="I23" s="21">
        <f t="shared" si="1"/>
        <v>409</v>
      </c>
      <c r="J23" s="22">
        <f t="shared" si="2"/>
        <v>1</v>
      </c>
      <c r="K23" s="23">
        <v>0.66666666666666596</v>
      </c>
      <c r="L23" s="24">
        <v>3000</v>
      </c>
      <c r="M23" s="31">
        <v>160.06</v>
      </c>
      <c r="N23" s="26">
        <f t="shared" si="3"/>
        <v>479.99999999990501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469</v>
      </c>
      <c r="E24" s="134"/>
      <c r="F24" s="133" t="s">
        <v>26</v>
      </c>
      <c r="G24" s="134"/>
      <c r="H24" s="20">
        <f t="shared" si="0"/>
        <v>469</v>
      </c>
      <c r="I24" s="21">
        <f t="shared" si="1"/>
        <v>469</v>
      </c>
      <c r="J24" s="22">
        <f t="shared" si="2"/>
        <v>1</v>
      </c>
      <c r="K24" s="23">
        <v>0.70833333333333304</v>
      </c>
      <c r="L24" s="24">
        <v>2700</v>
      </c>
      <c r="M24" s="31">
        <v>160.1</v>
      </c>
      <c r="N24" s="26">
        <f t="shared" si="3"/>
        <v>600.00000000013597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247</v>
      </c>
      <c r="E25" s="134"/>
      <c r="F25" s="133">
        <v>239</v>
      </c>
      <c r="G25" s="134"/>
      <c r="H25" s="20">
        <f t="shared" si="0"/>
        <v>486</v>
      </c>
      <c r="I25" s="21">
        <f t="shared" si="1"/>
        <v>243</v>
      </c>
      <c r="J25" s="22">
        <f t="shared" si="2"/>
        <v>2</v>
      </c>
      <c r="K25" s="23">
        <v>0.75</v>
      </c>
      <c r="L25" s="24">
        <v>2400</v>
      </c>
      <c r="M25" s="31">
        <v>160.15</v>
      </c>
      <c r="N25" s="26">
        <f t="shared" si="3"/>
        <v>599.99999999979502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330</v>
      </c>
      <c r="E26" s="134"/>
      <c r="F26" s="133">
        <v>339</v>
      </c>
      <c r="G26" s="134"/>
      <c r="H26" s="20">
        <f t="shared" si="0"/>
        <v>669</v>
      </c>
      <c r="I26" s="21">
        <f t="shared" si="1"/>
        <v>334.5</v>
      </c>
      <c r="J26" s="22">
        <f t="shared" si="2"/>
        <v>2</v>
      </c>
      <c r="K26" s="23">
        <v>0.79166666666666596</v>
      </c>
      <c r="L26" s="24">
        <v>2100</v>
      </c>
      <c r="M26" s="31">
        <v>160.19999999999999</v>
      </c>
      <c r="N26" s="26">
        <f t="shared" si="3"/>
        <v>840.00000000025898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366</v>
      </c>
      <c r="E27" s="134"/>
      <c r="F27" s="133">
        <v>330</v>
      </c>
      <c r="G27" s="134"/>
      <c r="H27" s="20">
        <f t="shared" si="0"/>
        <v>696</v>
      </c>
      <c r="I27" s="21">
        <f t="shared" si="1"/>
        <v>348</v>
      </c>
      <c r="J27" s="22">
        <f t="shared" si="2"/>
        <v>2</v>
      </c>
      <c r="K27" s="23">
        <v>0.83333333333333304</v>
      </c>
      <c r="L27" s="24">
        <v>2100</v>
      </c>
      <c r="M27" s="31">
        <v>160.27000000000001</v>
      </c>
      <c r="N27" s="26">
        <f t="shared" si="3"/>
        <v>839.99999999991803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338</v>
      </c>
      <c r="E28" s="134"/>
      <c r="F28" s="133">
        <v>330</v>
      </c>
      <c r="G28" s="134"/>
      <c r="H28" s="20">
        <f t="shared" si="0"/>
        <v>668</v>
      </c>
      <c r="I28" s="21">
        <f t="shared" si="1"/>
        <v>334</v>
      </c>
      <c r="J28" s="22">
        <f t="shared" si="2"/>
        <v>2</v>
      </c>
      <c r="K28" s="23">
        <v>0.875</v>
      </c>
      <c r="L28" s="24">
        <v>1800</v>
      </c>
      <c r="M28" s="31">
        <v>160.34</v>
      </c>
      <c r="N28" s="26">
        <f t="shared" si="3"/>
        <v>720.00000000002694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309</v>
      </c>
      <c r="E29" s="134"/>
      <c r="F29" s="133">
        <v>296</v>
      </c>
      <c r="G29" s="134"/>
      <c r="H29" s="20">
        <f t="shared" si="0"/>
        <v>605</v>
      </c>
      <c r="I29" s="21">
        <f t="shared" si="1"/>
        <v>302.5</v>
      </c>
      <c r="J29" s="22">
        <f t="shared" si="2"/>
        <v>2</v>
      </c>
      <c r="K29" s="23">
        <v>0.91666666666666596</v>
      </c>
      <c r="L29" s="24">
        <v>1800</v>
      </c>
      <c r="M29" s="31">
        <v>160.4</v>
      </c>
      <c r="N29" s="26">
        <f t="shared" si="3"/>
        <v>599.99999999979502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284</v>
      </c>
      <c r="E30" s="134"/>
      <c r="F30" s="133">
        <v>273</v>
      </c>
      <c r="G30" s="134"/>
      <c r="H30" s="20">
        <f t="shared" si="0"/>
        <v>557</v>
      </c>
      <c r="I30" s="21">
        <f t="shared" si="1"/>
        <v>278.5</v>
      </c>
      <c r="J30" s="22">
        <f t="shared" si="2"/>
        <v>2</v>
      </c>
      <c r="K30" s="23">
        <v>0.95833333333333304</v>
      </c>
      <c r="L30" s="24">
        <v>1800</v>
      </c>
      <c r="M30" s="31">
        <v>160.44999999999999</v>
      </c>
      <c r="N30" s="26">
        <f t="shared" si="3"/>
        <v>600.00000000013597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276</v>
      </c>
      <c r="E31" s="134"/>
      <c r="F31" s="133">
        <v>263</v>
      </c>
      <c r="G31" s="134"/>
      <c r="H31" s="20">
        <f t="shared" si="0"/>
        <v>539</v>
      </c>
      <c r="I31" s="35">
        <f t="shared" si="1"/>
        <v>269.5</v>
      </c>
      <c r="J31" s="36">
        <f t="shared" si="2"/>
        <v>2</v>
      </c>
      <c r="K31" s="37">
        <v>1</v>
      </c>
      <c r="L31" s="24">
        <v>4500</v>
      </c>
      <c r="M31" s="38">
        <v>160.5</v>
      </c>
      <c r="N31" s="26">
        <f>H31</f>
        <v>539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6</v>
      </c>
      <c r="E32" s="136"/>
      <c r="F32" s="135">
        <f>SUM(F8:F31)/1000</f>
        <v>5.5220000000000002</v>
      </c>
      <c r="G32" s="136"/>
      <c r="H32" s="40">
        <f>SUM(H8:H31)</f>
        <v>11522</v>
      </c>
      <c r="I32" s="41" t="s">
        <v>13</v>
      </c>
      <c r="J32" s="42"/>
      <c r="K32" s="43"/>
      <c r="L32" s="44"/>
      <c r="M32" s="45">
        <f>SUM(M31-M8+N8)</f>
        <v>481.03999999990401</v>
      </c>
      <c r="N32" s="46">
        <f>SUM(N8:N31)</f>
        <v>13018.9999999999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352.941176470588</v>
      </c>
      <c r="E33" s="116"/>
      <c r="F33" s="119">
        <f>IFERROR((AVERAGE(F8:F31)),"0")</f>
        <v>345.125</v>
      </c>
      <c r="G33" s="121"/>
      <c r="H33" s="147">
        <f>H32*1000</f>
        <v>11522000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17</v>
      </c>
      <c r="E35" s="162"/>
      <c r="F35" s="163">
        <f>COUNT(F8:F31)</f>
        <v>16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33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696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480.08333333333297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394</v>
      </c>
      <c r="D41" s="126"/>
      <c r="E41" s="73">
        <f>VLOOKUP(C41,H8:L31,4,FALSE)</f>
        <v>0.45833333333333298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373.52083333333297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-460.040000000004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441" priority="11" operator="equal">
      <formula>"STB"</formula>
    </cfRule>
    <cfRule type="cellIs" dxfId="440" priority="12" operator="equal">
      <formula>"BD"</formula>
    </cfRule>
  </conditionalFormatting>
  <conditionalFormatting sqref="B8:B31">
    <cfRule type="cellIs" dxfId="439" priority="1" operator="equal">
      <formula>"STB"</formula>
    </cfRule>
    <cfRule type="cellIs" dxfId="438" priority="2" operator="equal">
      <formula>"BD"</formula>
    </cfRule>
  </conditionalFormatting>
  <conditionalFormatting sqref="D8:D31">
    <cfRule type="cellIs" dxfId="437" priority="8" operator="equal">
      <formula>"STB"</formula>
    </cfRule>
    <cfRule type="cellIs" dxfId="436" priority="9" operator="equal">
      <formula>"BD"</formula>
    </cfRule>
  </conditionalFormatting>
  <conditionalFormatting sqref="F8:F31">
    <cfRule type="cellIs" dxfId="435" priority="3" operator="equal">
      <formula>"STB"</formula>
    </cfRule>
    <cfRule type="cellIs" dxfId="434" priority="4" operator="equal">
      <formula>"BD"</formula>
    </cfRule>
  </conditionalFormatting>
  <conditionalFormatting sqref="H8:H31">
    <cfRule type="top10" dxfId="433" priority="5" bottom="1" rank="1"/>
    <cfRule type="top10" dxfId="432" priority="6" rank="1"/>
    <cfRule type="cellIs" dxfId="431" priority="7" stopIfTrue="1" operator="equal">
      <formula>28000</formula>
    </cfRule>
  </conditionalFormatting>
  <conditionalFormatting sqref="H32:H33">
    <cfRule type="top10" dxfId="430" priority="14" bottom="1" rank="1"/>
    <cfRule type="top10" dxfId="429" priority="15" rank="1"/>
    <cfRule type="cellIs" dxfId="428" priority="17" stopIfTrue="1" operator="equal">
      <formula>28000</formula>
    </cfRule>
  </conditionalFormatting>
  <conditionalFormatting sqref="N8 N9:O31">
    <cfRule type="cellIs" dxfId="427" priority="16" operator="equal">
      <formula>"BD"</formula>
    </cfRule>
  </conditionalFormatting>
  <conditionalFormatting sqref="O8">
    <cfRule type="cellIs" dxfId="426" priority="10" operator="equal">
      <formula>"N/A"</formula>
    </cfRule>
  </conditionalFormatting>
  <conditionalFormatting sqref="Y8:Y31">
    <cfRule type="containsText" dxfId="425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C68"/>
  <sheetViews>
    <sheetView zoomScale="80" zoomScaleNormal="80" workbookViewId="0">
      <pane ySplit="7" topLeftCell="A9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'[7]Taniwel daily'!C4</f>
        <v>45298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265</v>
      </c>
      <c r="E8" s="134"/>
      <c r="F8" s="133">
        <v>250</v>
      </c>
      <c r="G8" s="134"/>
      <c r="H8" s="20">
        <f t="shared" ref="H8:H31" si="0">IF(SUM(B8:G8)/1000=0,"0",SUM(B8:G8))</f>
        <v>515</v>
      </c>
      <c r="I8" s="21">
        <f t="shared" ref="I8:I31" si="1">IFERROR(AVERAGE(B8:G8),"0")</f>
        <v>257.5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160.55000000000001</v>
      </c>
      <c r="N8" s="26">
        <f>(M9-M8)*12000</f>
        <v>599.99999999979502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237</v>
      </c>
      <c r="E9" s="134"/>
      <c r="F9" s="133">
        <v>257</v>
      </c>
      <c r="G9" s="134"/>
      <c r="H9" s="20">
        <f t="shared" si="0"/>
        <v>494</v>
      </c>
      <c r="I9" s="21">
        <f t="shared" si="1"/>
        <v>247</v>
      </c>
      <c r="J9" s="22">
        <f t="shared" si="2"/>
        <v>2</v>
      </c>
      <c r="K9" s="23">
        <v>8.3333333333333301E-2</v>
      </c>
      <c r="L9" s="24">
        <v>4200</v>
      </c>
      <c r="M9" s="31">
        <v>160.6</v>
      </c>
      <c r="N9" s="26">
        <f t="shared" ref="N9:N30" si="3">(M10-M9)*12000</f>
        <v>600.00000000013597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231</v>
      </c>
      <c r="E10" s="134"/>
      <c r="F10" s="133">
        <v>261</v>
      </c>
      <c r="G10" s="134"/>
      <c r="H10" s="20">
        <f t="shared" si="0"/>
        <v>492</v>
      </c>
      <c r="I10" s="21">
        <f t="shared" si="1"/>
        <v>246</v>
      </c>
      <c r="J10" s="22">
        <f t="shared" si="2"/>
        <v>2</v>
      </c>
      <c r="K10" s="23">
        <v>0.125</v>
      </c>
      <c r="L10" s="24">
        <v>4200</v>
      </c>
      <c r="M10" s="31">
        <v>160.65</v>
      </c>
      <c r="N10" s="26">
        <f t="shared" si="3"/>
        <v>479.99999999990501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273</v>
      </c>
      <c r="E11" s="134"/>
      <c r="F11" s="133">
        <v>253</v>
      </c>
      <c r="G11" s="134"/>
      <c r="H11" s="20">
        <f t="shared" si="0"/>
        <v>526</v>
      </c>
      <c r="I11" s="21">
        <f t="shared" si="1"/>
        <v>263</v>
      </c>
      <c r="J11" s="22">
        <f t="shared" si="2"/>
        <v>2</v>
      </c>
      <c r="K11" s="23">
        <v>0.16666666666666699</v>
      </c>
      <c r="L11" s="24">
        <v>4000</v>
      </c>
      <c r="M11" s="31">
        <v>160.69</v>
      </c>
      <c r="N11" s="26">
        <f t="shared" si="3"/>
        <v>600.00000000013597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>
        <v>262</v>
      </c>
      <c r="E12" s="134"/>
      <c r="F12" s="133">
        <v>256</v>
      </c>
      <c r="G12" s="134"/>
      <c r="H12" s="20">
        <f t="shared" si="0"/>
        <v>518</v>
      </c>
      <c r="I12" s="21">
        <f t="shared" si="1"/>
        <v>259</v>
      </c>
      <c r="J12" s="22">
        <f t="shared" si="2"/>
        <v>2</v>
      </c>
      <c r="K12" s="23">
        <v>0.20833333333333301</v>
      </c>
      <c r="L12" s="24">
        <v>3900</v>
      </c>
      <c r="M12" s="31">
        <v>160.74</v>
      </c>
      <c r="N12" s="26">
        <f t="shared" si="3"/>
        <v>599.99999999979502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232</v>
      </c>
      <c r="E13" s="134"/>
      <c r="F13" s="133">
        <v>235</v>
      </c>
      <c r="G13" s="134"/>
      <c r="H13" s="20">
        <f t="shared" si="0"/>
        <v>467</v>
      </c>
      <c r="I13" s="21">
        <f t="shared" si="1"/>
        <v>233.5</v>
      </c>
      <c r="J13" s="22">
        <f t="shared" si="2"/>
        <v>2</v>
      </c>
      <c r="K13" s="23">
        <v>0.25</v>
      </c>
      <c r="L13" s="24">
        <v>3600</v>
      </c>
      <c r="M13" s="31">
        <v>160.79</v>
      </c>
      <c r="N13" s="26">
        <f t="shared" si="3"/>
        <v>600.00000000013597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265</v>
      </c>
      <c r="E14" s="134"/>
      <c r="F14" s="133">
        <v>158</v>
      </c>
      <c r="G14" s="134"/>
      <c r="H14" s="20">
        <f t="shared" si="0"/>
        <v>423</v>
      </c>
      <c r="I14" s="21">
        <f t="shared" si="1"/>
        <v>211.5</v>
      </c>
      <c r="J14" s="22">
        <f t="shared" si="2"/>
        <v>2</v>
      </c>
      <c r="K14" s="23">
        <v>0.29166666666666702</v>
      </c>
      <c r="L14" s="24">
        <v>3600</v>
      </c>
      <c r="M14" s="31">
        <v>160.84</v>
      </c>
      <c r="N14" s="26">
        <f t="shared" si="3"/>
        <v>479.99999999990501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274</v>
      </c>
      <c r="E15" s="134"/>
      <c r="F15" s="133">
        <v>265</v>
      </c>
      <c r="G15" s="134"/>
      <c r="H15" s="20">
        <f t="shared" si="0"/>
        <v>539</v>
      </c>
      <c r="I15" s="21">
        <f t="shared" si="1"/>
        <v>269.5</v>
      </c>
      <c r="J15" s="22">
        <f t="shared" si="2"/>
        <v>2</v>
      </c>
      <c r="K15" s="23">
        <v>0.33333333333333298</v>
      </c>
      <c r="L15" s="24">
        <v>3600</v>
      </c>
      <c r="M15" s="31">
        <v>160.88</v>
      </c>
      <c r="N15" s="26">
        <f t="shared" si="3"/>
        <v>720.00000000002694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264</v>
      </c>
      <c r="E16" s="134"/>
      <c r="F16" s="133">
        <v>276</v>
      </c>
      <c r="G16" s="134"/>
      <c r="H16" s="20">
        <f t="shared" si="0"/>
        <v>540</v>
      </c>
      <c r="I16" s="21">
        <f t="shared" si="1"/>
        <v>270</v>
      </c>
      <c r="J16" s="22">
        <f t="shared" si="2"/>
        <v>2</v>
      </c>
      <c r="K16" s="23">
        <v>0.375</v>
      </c>
      <c r="L16" s="24">
        <v>3600</v>
      </c>
      <c r="M16" s="31">
        <v>160.94</v>
      </c>
      <c r="N16" s="26">
        <f t="shared" si="3"/>
        <v>479.99999999990501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268</v>
      </c>
      <c r="E17" s="134"/>
      <c r="F17" s="133">
        <v>254</v>
      </c>
      <c r="G17" s="134"/>
      <c r="H17" s="20">
        <f t="shared" si="0"/>
        <v>522</v>
      </c>
      <c r="I17" s="21">
        <f t="shared" si="1"/>
        <v>261</v>
      </c>
      <c r="J17" s="22">
        <f t="shared" si="2"/>
        <v>2</v>
      </c>
      <c r="K17" s="23">
        <v>0.41666666666666602</v>
      </c>
      <c r="L17" s="24">
        <v>3400</v>
      </c>
      <c r="M17" s="31">
        <v>160.97999999999999</v>
      </c>
      <c r="N17" s="26">
        <f t="shared" si="3"/>
        <v>600.00000000013597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236</v>
      </c>
      <c r="E18" s="134"/>
      <c r="F18" s="133">
        <v>247</v>
      </c>
      <c r="G18" s="134"/>
      <c r="H18" s="20">
        <f t="shared" si="0"/>
        <v>483</v>
      </c>
      <c r="I18" s="21">
        <f t="shared" si="1"/>
        <v>241.5</v>
      </c>
      <c r="J18" s="22">
        <f t="shared" si="2"/>
        <v>2</v>
      </c>
      <c r="K18" s="23">
        <v>0.45833333333333298</v>
      </c>
      <c r="L18" s="24">
        <v>3300</v>
      </c>
      <c r="M18" s="31">
        <v>161.03</v>
      </c>
      <c r="N18" s="26">
        <f t="shared" si="3"/>
        <v>600.00000000013597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226</v>
      </c>
      <c r="E19" s="134"/>
      <c r="F19" s="133">
        <v>239</v>
      </c>
      <c r="G19" s="134"/>
      <c r="H19" s="20">
        <f t="shared" si="0"/>
        <v>465</v>
      </c>
      <c r="I19" s="21">
        <f t="shared" si="1"/>
        <v>232.5</v>
      </c>
      <c r="J19" s="22">
        <f t="shared" si="2"/>
        <v>2</v>
      </c>
      <c r="K19" s="23">
        <v>0.5</v>
      </c>
      <c r="L19" s="24">
        <v>3300</v>
      </c>
      <c r="M19" s="31">
        <v>161.08000000000001</v>
      </c>
      <c r="N19" s="26">
        <f t="shared" si="3"/>
        <v>479.99999999990501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214</v>
      </c>
      <c r="E20" s="134"/>
      <c r="F20" s="133">
        <v>234</v>
      </c>
      <c r="G20" s="134"/>
      <c r="H20" s="20">
        <f t="shared" si="0"/>
        <v>448</v>
      </c>
      <c r="I20" s="21">
        <f t="shared" si="1"/>
        <v>224</v>
      </c>
      <c r="J20" s="22">
        <f t="shared" si="2"/>
        <v>2</v>
      </c>
      <c r="K20" s="23">
        <v>0.54166666666666696</v>
      </c>
      <c r="L20" s="24">
        <v>3000</v>
      </c>
      <c r="M20" s="31">
        <v>161.12</v>
      </c>
      <c r="N20" s="26">
        <f t="shared" si="3"/>
        <v>479.99999999990501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 t="s">
        <v>26</v>
      </c>
      <c r="E21" s="134"/>
      <c r="F21" s="133">
        <v>433</v>
      </c>
      <c r="G21" s="134"/>
      <c r="H21" s="20">
        <f t="shared" si="0"/>
        <v>433</v>
      </c>
      <c r="I21" s="21">
        <f t="shared" si="1"/>
        <v>433</v>
      </c>
      <c r="J21" s="22">
        <f t="shared" si="2"/>
        <v>1</v>
      </c>
      <c r="K21" s="23">
        <v>0.58333333333333304</v>
      </c>
      <c r="L21" s="24">
        <v>3000</v>
      </c>
      <c r="M21" s="31">
        <v>161.16</v>
      </c>
      <c r="N21" s="26">
        <f t="shared" si="3"/>
        <v>479.99999999990501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 t="s">
        <v>26</v>
      </c>
      <c r="E22" s="134"/>
      <c r="F22" s="133">
        <v>416</v>
      </c>
      <c r="G22" s="134"/>
      <c r="H22" s="20">
        <f t="shared" si="0"/>
        <v>416</v>
      </c>
      <c r="I22" s="21">
        <f t="shared" si="1"/>
        <v>416</v>
      </c>
      <c r="J22" s="22">
        <f t="shared" si="2"/>
        <v>1</v>
      </c>
      <c r="K22" s="23">
        <v>0.625</v>
      </c>
      <c r="L22" s="24">
        <v>3000</v>
      </c>
      <c r="M22" s="31">
        <v>161.19999999999999</v>
      </c>
      <c r="N22" s="26">
        <f t="shared" si="3"/>
        <v>480.00000000024602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436</v>
      </c>
      <c r="E23" s="134"/>
      <c r="F23" s="133" t="s">
        <v>26</v>
      </c>
      <c r="G23" s="134"/>
      <c r="H23" s="20">
        <f t="shared" si="0"/>
        <v>436</v>
      </c>
      <c r="I23" s="21">
        <f t="shared" si="1"/>
        <v>436</v>
      </c>
      <c r="J23" s="22">
        <f t="shared" si="2"/>
        <v>1</v>
      </c>
      <c r="K23" s="23">
        <v>0.66666666666666596</v>
      </c>
      <c r="L23" s="24">
        <v>3000</v>
      </c>
      <c r="M23" s="31">
        <v>161.24</v>
      </c>
      <c r="N23" s="26">
        <f t="shared" si="3"/>
        <v>479.99999999990501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236</v>
      </c>
      <c r="E24" s="134"/>
      <c r="F24" s="133">
        <v>234</v>
      </c>
      <c r="G24" s="134"/>
      <c r="H24" s="20">
        <f t="shared" si="0"/>
        <v>470</v>
      </c>
      <c r="I24" s="21">
        <f t="shared" si="1"/>
        <v>235</v>
      </c>
      <c r="J24" s="22">
        <f t="shared" si="2"/>
        <v>2</v>
      </c>
      <c r="K24" s="23">
        <v>0.70833333333333304</v>
      </c>
      <c r="L24" s="24">
        <v>2700</v>
      </c>
      <c r="M24" s="31">
        <v>161.28</v>
      </c>
      <c r="N24" s="26">
        <f t="shared" si="3"/>
        <v>600.00000000013597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254</v>
      </c>
      <c r="E25" s="134"/>
      <c r="F25" s="133">
        <v>236</v>
      </c>
      <c r="G25" s="134"/>
      <c r="H25" s="20">
        <f t="shared" si="0"/>
        <v>490</v>
      </c>
      <c r="I25" s="21">
        <f t="shared" si="1"/>
        <v>245</v>
      </c>
      <c r="J25" s="22">
        <f t="shared" si="2"/>
        <v>2</v>
      </c>
      <c r="K25" s="23">
        <v>0.75</v>
      </c>
      <c r="L25" s="24">
        <v>2400</v>
      </c>
      <c r="M25" s="31">
        <v>161.33000000000001</v>
      </c>
      <c r="N25" s="26">
        <f t="shared" si="3"/>
        <v>599.99999999979502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310</v>
      </c>
      <c r="E26" s="134"/>
      <c r="F26" s="133">
        <v>308</v>
      </c>
      <c r="G26" s="134"/>
      <c r="H26" s="20">
        <f t="shared" si="0"/>
        <v>618</v>
      </c>
      <c r="I26" s="21">
        <f t="shared" si="1"/>
        <v>309</v>
      </c>
      <c r="J26" s="22">
        <f t="shared" si="2"/>
        <v>2</v>
      </c>
      <c r="K26" s="23">
        <v>0.79166666666666596</v>
      </c>
      <c r="L26" s="24">
        <v>2100</v>
      </c>
      <c r="M26" s="31">
        <v>161.38</v>
      </c>
      <c r="N26" s="26">
        <f t="shared" si="3"/>
        <v>839.99999999991803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349</v>
      </c>
      <c r="E27" s="134"/>
      <c r="F27" s="133">
        <v>342</v>
      </c>
      <c r="G27" s="134"/>
      <c r="H27" s="20">
        <f t="shared" si="0"/>
        <v>691</v>
      </c>
      <c r="I27" s="21">
        <f t="shared" si="1"/>
        <v>345.5</v>
      </c>
      <c r="J27" s="22">
        <f t="shared" si="2"/>
        <v>2</v>
      </c>
      <c r="K27" s="23">
        <v>0.83333333333333304</v>
      </c>
      <c r="L27" s="24">
        <v>2100</v>
      </c>
      <c r="M27" s="31">
        <v>161.44999999999999</v>
      </c>
      <c r="N27" s="26">
        <f t="shared" si="3"/>
        <v>600.00000000013597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320</v>
      </c>
      <c r="E28" s="134"/>
      <c r="F28" s="133">
        <v>334</v>
      </c>
      <c r="G28" s="134"/>
      <c r="H28" s="20">
        <f t="shared" si="0"/>
        <v>654</v>
      </c>
      <c r="I28" s="21">
        <f t="shared" si="1"/>
        <v>327</v>
      </c>
      <c r="J28" s="22">
        <f t="shared" si="2"/>
        <v>2</v>
      </c>
      <c r="K28" s="23">
        <v>0.875</v>
      </c>
      <c r="L28" s="24">
        <v>1800</v>
      </c>
      <c r="M28" s="31">
        <v>161.5</v>
      </c>
      <c r="N28" s="26">
        <f t="shared" si="3"/>
        <v>720.00000000002694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302</v>
      </c>
      <c r="E29" s="134"/>
      <c r="F29" s="133">
        <v>218</v>
      </c>
      <c r="G29" s="134"/>
      <c r="H29" s="20">
        <f t="shared" si="0"/>
        <v>520</v>
      </c>
      <c r="I29" s="21">
        <f t="shared" si="1"/>
        <v>260</v>
      </c>
      <c r="J29" s="22">
        <f t="shared" si="2"/>
        <v>2</v>
      </c>
      <c r="K29" s="23">
        <v>0.91666666666666596</v>
      </c>
      <c r="L29" s="24">
        <v>1800</v>
      </c>
      <c r="M29" s="31">
        <v>161.56</v>
      </c>
      <c r="N29" s="26">
        <f t="shared" si="3"/>
        <v>479.99999999990501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298</v>
      </c>
      <c r="E30" s="134"/>
      <c r="F30" s="133">
        <v>306</v>
      </c>
      <c r="G30" s="134"/>
      <c r="H30" s="20">
        <f t="shared" si="0"/>
        <v>604</v>
      </c>
      <c r="I30" s="21">
        <f t="shared" si="1"/>
        <v>302</v>
      </c>
      <c r="J30" s="22">
        <f t="shared" si="2"/>
        <v>2</v>
      </c>
      <c r="K30" s="23">
        <v>0.95833333333333304</v>
      </c>
      <c r="L30" s="24">
        <v>1800</v>
      </c>
      <c r="M30" s="31">
        <v>161.6</v>
      </c>
      <c r="N30" s="26">
        <f t="shared" si="3"/>
        <v>720.00000000002694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279</v>
      </c>
      <c r="E31" s="134"/>
      <c r="F31" s="133">
        <v>268</v>
      </c>
      <c r="G31" s="134"/>
      <c r="H31" s="20">
        <f t="shared" si="0"/>
        <v>547</v>
      </c>
      <c r="I31" s="35">
        <f t="shared" si="1"/>
        <v>273.5</v>
      </c>
      <c r="J31" s="36">
        <f t="shared" si="2"/>
        <v>2</v>
      </c>
      <c r="K31" s="37">
        <v>1</v>
      </c>
      <c r="L31" s="24">
        <v>4500</v>
      </c>
      <c r="M31" s="38">
        <v>161.66</v>
      </c>
      <c r="N31" s="26">
        <f>H31</f>
        <v>547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6.0309999999999997</v>
      </c>
      <c r="E32" s="136"/>
      <c r="F32" s="135">
        <f>SUM(F8:F31)/1000</f>
        <v>6.28</v>
      </c>
      <c r="G32" s="136"/>
      <c r="H32" s="40">
        <f>SUM(H8:H31)</f>
        <v>12311</v>
      </c>
      <c r="I32" s="41" t="s">
        <v>13</v>
      </c>
      <c r="J32" s="42"/>
      <c r="K32" s="43"/>
      <c r="L32" s="44"/>
      <c r="M32" s="45">
        <f>SUM(M31-M8+N8)</f>
        <v>601.10999999979504</v>
      </c>
      <c r="N32" s="46">
        <f>SUM(N8:N31)</f>
        <v>13866.9999999998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274.13636363636402</v>
      </c>
      <c r="E33" s="116"/>
      <c r="F33" s="119">
        <f>IFERROR((AVERAGE(F8:F31)),"0")</f>
        <v>273.04347826087002</v>
      </c>
      <c r="G33" s="121"/>
      <c r="H33" s="147">
        <f>H32*1000</f>
        <v>12311000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22</v>
      </c>
      <c r="E35" s="162"/>
      <c r="F35" s="163">
        <f>COUNT(F8:F31)</f>
        <v>23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45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691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512.95833333333303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416</v>
      </c>
      <c r="D41" s="126"/>
      <c r="E41" s="73">
        <f>VLOOKUP(C41,H8:L31,4,FALSE)</f>
        <v>0.625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283.25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-487.91208333334203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424" priority="11" operator="equal">
      <formula>"STB"</formula>
    </cfRule>
    <cfRule type="cellIs" dxfId="423" priority="12" operator="equal">
      <formula>"BD"</formula>
    </cfRule>
  </conditionalFormatting>
  <conditionalFormatting sqref="B8:B31">
    <cfRule type="cellIs" dxfId="422" priority="1" operator="equal">
      <formula>"STB"</formula>
    </cfRule>
    <cfRule type="cellIs" dxfId="421" priority="2" operator="equal">
      <formula>"BD"</formula>
    </cfRule>
  </conditionalFormatting>
  <conditionalFormatting sqref="D8:D31">
    <cfRule type="cellIs" dxfId="420" priority="8" operator="equal">
      <formula>"STB"</formula>
    </cfRule>
    <cfRule type="cellIs" dxfId="419" priority="9" operator="equal">
      <formula>"BD"</formula>
    </cfRule>
  </conditionalFormatting>
  <conditionalFormatting sqref="F8:F31">
    <cfRule type="cellIs" dxfId="418" priority="3" operator="equal">
      <formula>"STB"</formula>
    </cfRule>
    <cfRule type="cellIs" dxfId="417" priority="4" operator="equal">
      <formula>"BD"</formula>
    </cfRule>
  </conditionalFormatting>
  <conditionalFormatting sqref="H8:H31">
    <cfRule type="top10" dxfId="416" priority="5" bottom="1" rank="1"/>
    <cfRule type="top10" dxfId="415" priority="6" rank="1"/>
    <cfRule type="cellIs" dxfId="414" priority="7" stopIfTrue="1" operator="equal">
      <formula>28000</formula>
    </cfRule>
  </conditionalFormatting>
  <conditionalFormatting sqref="H32:H33">
    <cfRule type="top10" dxfId="413" priority="14" bottom="1" rank="1"/>
    <cfRule type="top10" dxfId="412" priority="15" rank="1"/>
    <cfRule type="cellIs" dxfId="411" priority="17" stopIfTrue="1" operator="equal">
      <formula>28000</formula>
    </cfRule>
  </conditionalFormatting>
  <conditionalFormatting sqref="N8 N9:O31">
    <cfRule type="cellIs" dxfId="410" priority="16" operator="equal">
      <formula>"BD"</formula>
    </cfRule>
  </conditionalFormatting>
  <conditionalFormatting sqref="O8">
    <cfRule type="cellIs" dxfId="409" priority="10" operator="equal">
      <formula>"N/A"</formula>
    </cfRule>
  </conditionalFormatting>
  <conditionalFormatting sqref="Y8:Y31">
    <cfRule type="containsText" dxfId="408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AC68"/>
  <sheetViews>
    <sheetView zoomScale="80" zoomScaleNormal="80" workbookViewId="0">
      <pane ySplit="7" topLeftCell="A9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'[8]Taniwel daily'!C4</f>
        <v>45299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254</v>
      </c>
      <c r="E8" s="134"/>
      <c r="F8" s="133">
        <v>264</v>
      </c>
      <c r="G8" s="134"/>
      <c r="H8" s="20">
        <f t="shared" ref="H8:H31" si="0">IF(SUM(B8:G8)/1000=0,"0",SUM(B8:G8))</f>
        <v>518</v>
      </c>
      <c r="I8" s="21">
        <f t="shared" ref="I8:I31" si="1">IFERROR(AVERAGE(B8:G8),"0")</f>
        <v>259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161.71</v>
      </c>
      <c r="N8" s="26">
        <f>(M9-M8)*12000</f>
        <v>479.99999999990501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290</v>
      </c>
      <c r="E9" s="134"/>
      <c r="F9" s="133">
        <v>259</v>
      </c>
      <c r="G9" s="134"/>
      <c r="H9" s="20">
        <f t="shared" si="0"/>
        <v>549</v>
      </c>
      <c r="I9" s="21">
        <f t="shared" si="1"/>
        <v>274.5</v>
      </c>
      <c r="J9" s="22">
        <f t="shared" si="2"/>
        <v>2</v>
      </c>
      <c r="K9" s="23">
        <v>8.3333333333333301E-2</v>
      </c>
      <c r="L9" s="24">
        <v>4200</v>
      </c>
      <c r="M9" s="31">
        <v>161.75</v>
      </c>
      <c r="N9" s="26">
        <f t="shared" ref="N9:N30" si="3">(M10-M9)*12000</f>
        <v>600.00000000013597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238</v>
      </c>
      <c r="E10" s="134"/>
      <c r="F10" s="133">
        <v>245</v>
      </c>
      <c r="G10" s="134"/>
      <c r="H10" s="20">
        <f t="shared" si="0"/>
        <v>483</v>
      </c>
      <c r="I10" s="21">
        <f t="shared" si="1"/>
        <v>241.5</v>
      </c>
      <c r="J10" s="22">
        <f t="shared" si="2"/>
        <v>2</v>
      </c>
      <c r="K10" s="23">
        <v>0.125</v>
      </c>
      <c r="L10" s="24">
        <v>4200</v>
      </c>
      <c r="M10" s="31">
        <v>161.80000000000001</v>
      </c>
      <c r="N10" s="26">
        <f t="shared" si="3"/>
        <v>479.99999999990501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239</v>
      </c>
      <c r="E11" s="134"/>
      <c r="F11" s="133">
        <v>241</v>
      </c>
      <c r="G11" s="134"/>
      <c r="H11" s="20">
        <f t="shared" si="0"/>
        <v>480</v>
      </c>
      <c r="I11" s="21">
        <f t="shared" si="1"/>
        <v>240</v>
      </c>
      <c r="J11" s="22">
        <f t="shared" si="2"/>
        <v>2</v>
      </c>
      <c r="K11" s="23">
        <v>0.16666666666666699</v>
      </c>
      <c r="L11" s="24">
        <v>4000</v>
      </c>
      <c r="M11" s="31">
        <v>161.84</v>
      </c>
      <c r="N11" s="26">
        <f t="shared" si="3"/>
        <v>599.99999999979502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>
        <v>235</v>
      </c>
      <c r="E12" s="134"/>
      <c r="F12" s="133">
        <v>242</v>
      </c>
      <c r="G12" s="134"/>
      <c r="H12" s="20">
        <f t="shared" si="0"/>
        <v>477</v>
      </c>
      <c r="I12" s="21">
        <f t="shared" si="1"/>
        <v>238.5</v>
      </c>
      <c r="J12" s="22">
        <f t="shared" si="2"/>
        <v>2</v>
      </c>
      <c r="K12" s="23">
        <v>0.20833333333333301</v>
      </c>
      <c r="L12" s="24">
        <v>3900</v>
      </c>
      <c r="M12" s="31">
        <v>161.88999999999999</v>
      </c>
      <c r="N12" s="26">
        <f t="shared" si="3"/>
        <v>600.00000000013597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261</v>
      </c>
      <c r="E13" s="134"/>
      <c r="F13" s="133">
        <v>244</v>
      </c>
      <c r="G13" s="134"/>
      <c r="H13" s="20">
        <f t="shared" si="0"/>
        <v>505</v>
      </c>
      <c r="I13" s="21">
        <f t="shared" si="1"/>
        <v>252.5</v>
      </c>
      <c r="J13" s="22">
        <f t="shared" si="2"/>
        <v>2</v>
      </c>
      <c r="K13" s="23">
        <v>0.25</v>
      </c>
      <c r="L13" s="24">
        <v>3600</v>
      </c>
      <c r="M13" s="31">
        <v>161.94</v>
      </c>
      <c r="N13" s="26">
        <f t="shared" si="3"/>
        <v>600.00000000013597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270</v>
      </c>
      <c r="E14" s="134"/>
      <c r="F14" s="133">
        <v>278</v>
      </c>
      <c r="G14" s="134"/>
      <c r="H14" s="20">
        <f t="shared" si="0"/>
        <v>548</v>
      </c>
      <c r="I14" s="21">
        <f t="shared" si="1"/>
        <v>274</v>
      </c>
      <c r="J14" s="22">
        <f t="shared" si="2"/>
        <v>2</v>
      </c>
      <c r="K14" s="23">
        <v>0.29166666666666702</v>
      </c>
      <c r="L14" s="24">
        <v>3600</v>
      </c>
      <c r="M14" s="31">
        <v>161.99</v>
      </c>
      <c r="N14" s="26">
        <f t="shared" si="3"/>
        <v>599.99999999979502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255</v>
      </c>
      <c r="E15" s="134"/>
      <c r="F15" s="133">
        <v>253</v>
      </c>
      <c r="G15" s="134"/>
      <c r="H15" s="20">
        <f t="shared" si="0"/>
        <v>508</v>
      </c>
      <c r="I15" s="21">
        <f t="shared" si="1"/>
        <v>254</v>
      </c>
      <c r="J15" s="22">
        <f t="shared" si="2"/>
        <v>2</v>
      </c>
      <c r="K15" s="23">
        <v>0.33333333333333298</v>
      </c>
      <c r="L15" s="24">
        <v>3600</v>
      </c>
      <c r="M15" s="31">
        <v>162.04</v>
      </c>
      <c r="N15" s="26">
        <f t="shared" si="3"/>
        <v>600.00000000013597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249</v>
      </c>
      <c r="E16" s="134"/>
      <c r="F16" s="133">
        <v>245</v>
      </c>
      <c r="G16" s="134"/>
      <c r="H16" s="20">
        <f t="shared" si="0"/>
        <v>494</v>
      </c>
      <c r="I16" s="21">
        <f t="shared" si="1"/>
        <v>247</v>
      </c>
      <c r="J16" s="22">
        <f t="shared" si="2"/>
        <v>2</v>
      </c>
      <c r="K16" s="23">
        <v>0.375</v>
      </c>
      <c r="L16" s="24">
        <v>3600</v>
      </c>
      <c r="M16" s="31">
        <v>162.09</v>
      </c>
      <c r="N16" s="26">
        <f t="shared" si="3"/>
        <v>720.00000000002694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236</v>
      </c>
      <c r="E17" s="134"/>
      <c r="F17" s="133">
        <v>238</v>
      </c>
      <c r="G17" s="134"/>
      <c r="H17" s="20">
        <f t="shared" si="0"/>
        <v>474</v>
      </c>
      <c r="I17" s="21">
        <f t="shared" si="1"/>
        <v>237</v>
      </c>
      <c r="J17" s="22">
        <f t="shared" si="2"/>
        <v>2</v>
      </c>
      <c r="K17" s="23">
        <v>0.41666666666666602</v>
      </c>
      <c r="L17" s="24">
        <v>3400</v>
      </c>
      <c r="M17" s="31">
        <v>162.15</v>
      </c>
      <c r="N17" s="26">
        <f t="shared" si="3"/>
        <v>360.00000000001398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240</v>
      </c>
      <c r="E18" s="134"/>
      <c r="F18" s="133">
        <v>237</v>
      </c>
      <c r="G18" s="134"/>
      <c r="H18" s="20">
        <f t="shared" si="0"/>
        <v>477</v>
      </c>
      <c r="I18" s="21">
        <f t="shared" si="1"/>
        <v>238.5</v>
      </c>
      <c r="J18" s="22">
        <f t="shared" si="2"/>
        <v>2</v>
      </c>
      <c r="K18" s="23">
        <v>0.45833333333333298</v>
      </c>
      <c r="L18" s="24">
        <v>3300</v>
      </c>
      <c r="M18" s="31">
        <v>162.18</v>
      </c>
      <c r="N18" s="26">
        <f t="shared" si="3"/>
        <v>479.99999999990501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231</v>
      </c>
      <c r="E19" s="134"/>
      <c r="F19" s="133">
        <v>234</v>
      </c>
      <c r="G19" s="134"/>
      <c r="H19" s="20">
        <f t="shared" si="0"/>
        <v>465</v>
      </c>
      <c r="I19" s="21">
        <f t="shared" si="1"/>
        <v>232.5</v>
      </c>
      <c r="J19" s="22">
        <f t="shared" si="2"/>
        <v>2</v>
      </c>
      <c r="K19" s="23">
        <v>0.5</v>
      </c>
      <c r="L19" s="24">
        <v>3300</v>
      </c>
      <c r="M19" s="31">
        <v>162.22</v>
      </c>
      <c r="N19" s="26">
        <f t="shared" si="3"/>
        <v>479.99999999990501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222</v>
      </c>
      <c r="E20" s="134"/>
      <c r="F20" s="133">
        <v>225</v>
      </c>
      <c r="G20" s="134"/>
      <c r="H20" s="20">
        <f t="shared" si="0"/>
        <v>447</v>
      </c>
      <c r="I20" s="21">
        <f t="shared" si="1"/>
        <v>223.5</v>
      </c>
      <c r="J20" s="22">
        <f t="shared" si="2"/>
        <v>2</v>
      </c>
      <c r="K20" s="23">
        <v>0.54166666666666696</v>
      </c>
      <c r="L20" s="24">
        <v>3000</v>
      </c>
      <c r="M20" s="31">
        <v>162.26</v>
      </c>
      <c r="N20" s="26">
        <f t="shared" si="3"/>
        <v>480.00000000024602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>
        <v>220</v>
      </c>
      <c r="E21" s="134"/>
      <c r="F21" s="133">
        <v>213</v>
      </c>
      <c r="G21" s="134"/>
      <c r="H21" s="20">
        <f t="shared" si="0"/>
        <v>433</v>
      </c>
      <c r="I21" s="21">
        <f t="shared" si="1"/>
        <v>216.5</v>
      </c>
      <c r="J21" s="22">
        <f t="shared" si="2"/>
        <v>2</v>
      </c>
      <c r="K21" s="23">
        <v>0.58333333333333304</v>
      </c>
      <c r="L21" s="24">
        <v>3000</v>
      </c>
      <c r="M21" s="31">
        <v>162.30000000000001</v>
      </c>
      <c r="N21" s="26">
        <f t="shared" si="3"/>
        <v>599.99999999979502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>
        <v>419</v>
      </c>
      <c r="E22" s="134"/>
      <c r="F22" s="133" t="s">
        <v>26</v>
      </c>
      <c r="G22" s="134"/>
      <c r="H22" s="20">
        <f t="shared" si="0"/>
        <v>419</v>
      </c>
      <c r="I22" s="21">
        <f t="shared" si="1"/>
        <v>419</v>
      </c>
      <c r="J22" s="22">
        <f t="shared" si="2"/>
        <v>1</v>
      </c>
      <c r="K22" s="23">
        <v>0.625</v>
      </c>
      <c r="L22" s="24">
        <v>3000</v>
      </c>
      <c r="M22" s="31">
        <v>162.35</v>
      </c>
      <c r="N22" s="26">
        <f t="shared" si="3"/>
        <v>360.00000000001398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429</v>
      </c>
      <c r="E23" s="134"/>
      <c r="F23" s="133" t="s">
        <v>26</v>
      </c>
      <c r="G23" s="134"/>
      <c r="H23" s="20">
        <f t="shared" si="0"/>
        <v>429</v>
      </c>
      <c r="I23" s="21">
        <f t="shared" si="1"/>
        <v>429</v>
      </c>
      <c r="J23" s="22">
        <f t="shared" si="2"/>
        <v>1</v>
      </c>
      <c r="K23" s="23">
        <v>0.66666666666666596</v>
      </c>
      <c r="L23" s="24">
        <v>3000</v>
      </c>
      <c r="M23" s="31">
        <v>162.38</v>
      </c>
      <c r="N23" s="26">
        <f t="shared" si="3"/>
        <v>479.99999999990501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448</v>
      </c>
      <c r="E24" s="134"/>
      <c r="F24" s="133" t="s">
        <v>26</v>
      </c>
      <c r="G24" s="134"/>
      <c r="H24" s="20">
        <f t="shared" si="0"/>
        <v>448</v>
      </c>
      <c r="I24" s="21">
        <f t="shared" si="1"/>
        <v>448</v>
      </c>
      <c r="J24" s="22">
        <f t="shared" si="2"/>
        <v>1</v>
      </c>
      <c r="K24" s="23">
        <v>0.70833333333333304</v>
      </c>
      <c r="L24" s="24">
        <v>2700</v>
      </c>
      <c r="M24" s="31">
        <v>162.41999999999999</v>
      </c>
      <c r="N24" s="26">
        <f t="shared" si="3"/>
        <v>600.00000000013597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238</v>
      </c>
      <c r="E25" s="134"/>
      <c r="F25" s="133">
        <v>239</v>
      </c>
      <c r="G25" s="134"/>
      <c r="H25" s="20">
        <f t="shared" si="0"/>
        <v>477</v>
      </c>
      <c r="I25" s="21">
        <f t="shared" si="1"/>
        <v>238.5</v>
      </c>
      <c r="J25" s="22">
        <f t="shared" si="2"/>
        <v>2</v>
      </c>
      <c r="K25" s="23">
        <v>0.75</v>
      </c>
      <c r="L25" s="24">
        <v>2400</v>
      </c>
      <c r="M25" s="31">
        <v>162.47</v>
      </c>
      <c r="N25" s="26">
        <f t="shared" si="3"/>
        <v>600.00000000013597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311</v>
      </c>
      <c r="E26" s="134"/>
      <c r="F26" s="133">
        <v>312</v>
      </c>
      <c r="G26" s="134"/>
      <c r="H26" s="20">
        <f t="shared" si="0"/>
        <v>623</v>
      </c>
      <c r="I26" s="21">
        <f t="shared" si="1"/>
        <v>311.5</v>
      </c>
      <c r="J26" s="22">
        <f t="shared" si="2"/>
        <v>2</v>
      </c>
      <c r="K26" s="23">
        <v>0.79166666666666596</v>
      </c>
      <c r="L26" s="24">
        <v>2100</v>
      </c>
      <c r="M26" s="31">
        <v>162.52000000000001</v>
      </c>
      <c r="N26" s="26">
        <f t="shared" si="3"/>
        <v>839.99999999991803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342</v>
      </c>
      <c r="E27" s="134"/>
      <c r="F27" s="133">
        <v>363</v>
      </c>
      <c r="G27" s="134"/>
      <c r="H27" s="20">
        <f t="shared" si="0"/>
        <v>705</v>
      </c>
      <c r="I27" s="21">
        <f t="shared" si="1"/>
        <v>352.5</v>
      </c>
      <c r="J27" s="22">
        <f t="shared" si="2"/>
        <v>2</v>
      </c>
      <c r="K27" s="23">
        <v>0.83333333333333304</v>
      </c>
      <c r="L27" s="24">
        <v>2100</v>
      </c>
      <c r="M27" s="31">
        <v>162.59</v>
      </c>
      <c r="N27" s="26">
        <f t="shared" si="3"/>
        <v>720.00000000002694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330</v>
      </c>
      <c r="E28" s="134"/>
      <c r="F28" s="133">
        <v>332</v>
      </c>
      <c r="G28" s="134"/>
      <c r="H28" s="20">
        <f t="shared" si="0"/>
        <v>662</v>
      </c>
      <c r="I28" s="21">
        <f t="shared" si="1"/>
        <v>331</v>
      </c>
      <c r="J28" s="22">
        <f t="shared" si="2"/>
        <v>2</v>
      </c>
      <c r="K28" s="23">
        <v>0.875</v>
      </c>
      <c r="L28" s="24">
        <v>1800</v>
      </c>
      <c r="M28" s="31">
        <v>162.65</v>
      </c>
      <c r="N28" s="26">
        <f t="shared" si="3"/>
        <v>720.00000000002694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312</v>
      </c>
      <c r="E29" s="134"/>
      <c r="F29" s="133">
        <v>319</v>
      </c>
      <c r="G29" s="134"/>
      <c r="H29" s="20">
        <f t="shared" si="0"/>
        <v>631</v>
      </c>
      <c r="I29" s="21">
        <f t="shared" si="1"/>
        <v>315.5</v>
      </c>
      <c r="J29" s="22">
        <f t="shared" si="2"/>
        <v>2</v>
      </c>
      <c r="K29" s="23">
        <v>0.91666666666666596</v>
      </c>
      <c r="L29" s="24">
        <v>1800</v>
      </c>
      <c r="M29" s="31">
        <v>162.71</v>
      </c>
      <c r="N29" s="26">
        <f t="shared" si="3"/>
        <v>720.00000000002694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298</v>
      </c>
      <c r="E30" s="134"/>
      <c r="F30" s="133">
        <v>284</v>
      </c>
      <c r="G30" s="134"/>
      <c r="H30" s="20">
        <f t="shared" si="0"/>
        <v>582</v>
      </c>
      <c r="I30" s="21">
        <f t="shared" si="1"/>
        <v>291</v>
      </c>
      <c r="J30" s="22">
        <f t="shared" si="2"/>
        <v>2</v>
      </c>
      <c r="K30" s="23">
        <v>0.95833333333333304</v>
      </c>
      <c r="L30" s="24">
        <v>1800</v>
      </c>
      <c r="M30" s="31">
        <v>162.77000000000001</v>
      </c>
      <c r="N30" s="26">
        <f t="shared" si="3"/>
        <v>599.99999999979502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286</v>
      </c>
      <c r="E31" s="134"/>
      <c r="F31" s="133">
        <v>269</v>
      </c>
      <c r="G31" s="134"/>
      <c r="H31" s="20">
        <f t="shared" si="0"/>
        <v>555</v>
      </c>
      <c r="I31" s="35">
        <f t="shared" si="1"/>
        <v>277.5</v>
      </c>
      <c r="J31" s="36">
        <f t="shared" si="2"/>
        <v>2</v>
      </c>
      <c r="K31" s="37">
        <v>1</v>
      </c>
      <c r="L31" s="24">
        <v>4500</v>
      </c>
      <c r="M31" s="38">
        <v>162.82</v>
      </c>
      <c r="N31" s="26">
        <f>H31</f>
        <v>555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6.8529999999999998</v>
      </c>
      <c r="E32" s="136"/>
      <c r="F32" s="135">
        <f>SUM(F8:F31)/1000</f>
        <v>5.5359999999999996</v>
      </c>
      <c r="G32" s="136"/>
      <c r="H32" s="40">
        <f>SUM(H8:H31)</f>
        <v>12389</v>
      </c>
      <c r="I32" s="41" t="s">
        <v>13</v>
      </c>
      <c r="J32" s="42"/>
      <c r="K32" s="43"/>
      <c r="L32" s="44"/>
      <c r="M32" s="45">
        <f>SUM(M31-M8+N8)</f>
        <v>481.10999999990503</v>
      </c>
      <c r="N32" s="46">
        <f>SUM(N8:N31)</f>
        <v>13874.9999999998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285.54166666666703</v>
      </c>
      <c r="E33" s="116"/>
      <c r="F33" s="119">
        <f>IFERROR((AVERAGE(F8:F31)),"0")</f>
        <v>263.61904761904799</v>
      </c>
      <c r="G33" s="121"/>
      <c r="H33" s="147">
        <f>H32*1000</f>
        <v>12389000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24</v>
      </c>
      <c r="E35" s="162"/>
      <c r="F35" s="163">
        <f>COUNT(F8:F31)</f>
        <v>21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45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705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516.20833333333303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419</v>
      </c>
      <c r="D41" s="126"/>
      <c r="E41" s="73">
        <f>VLOOKUP(C41,H8:L31,4,FALSE)</f>
        <v>0.625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285.10416666666703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-496.16208333333702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407" priority="11" operator="equal">
      <formula>"STB"</formula>
    </cfRule>
    <cfRule type="cellIs" dxfId="406" priority="12" operator="equal">
      <formula>"BD"</formula>
    </cfRule>
  </conditionalFormatting>
  <conditionalFormatting sqref="B8:B31">
    <cfRule type="cellIs" dxfId="405" priority="1" operator="equal">
      <formula>"STB"</formula>
    </cfRule>
    <cfRule type="cellIs" dxfId="404" priority="2" operator="equal">
      <formula>"BD"</formula>
    </cfRule>
  </conditionalFormatting>
  <conditionalFormatting sqref="D8:D31">
    <cfRule type="cellIs" dxfId="403" priority="8" operator="equal">
      <formula>"STB"</formula>
    </cfRule>
    <cfRule type="cellIs" dxfId="402" priority="9" operator="equal">
      <formula>"BD"</formula>
    </cfRule>
  </conditionalFormatting>
  <conditionalFormatting sqref="F8:F31">
    <cfRule type="cellIs" dxfId="401" priority="3" operator="equal">
      <formula>"STB"</formula>
    </cfRule>
    <cfRule type="cellIs" dxfId="400" priority="4" operator="equal">
      <formula>"BD"</formula>
    </cfRule>
  </conditionalFormatting>
  <conditionalFormatting sqref="H8:H31">
    <cfRule type="top10" dxfId="399" priority="5" bottom="1" rank="1"/>
    <cfRule type="top10" dxfId="398" priority="6" rank="1"/>
    <cfRule type="cellIs" dxfId="397" priority="7" stopIfTrue="1" operator="equal">
      <formula>28000</formula>
    </cfRule>
  </conditionalFormatting>
  <conditionalFormatting sqref="H32:H33">
    <cfRule type="top10" dxfId="396" priority="14" bottom="1" rank="1"/>
    <cfRule type="top10" dxfId="395" priority="15" rank="1"/>
    <cfRule type="cellIs" dxfId="394" priority="17" stopIfTrue="1" operator="equal">
      <formula>28000</formula>
    </cfRule>
  </conditionalFormatting>
  <conditionalFormatting sqref="N8 N9:O31">
    <cfRule type="cellIs" dxfId="393" priority="16" operator="equal">
      <formula>"BD"</formula>
    </cfRule>
  </conditionalFormatting>
  <conditionalFormatting sqref="O8">
    <cfRule type="cellIs" dxfId="392" priority="10" operator="equal">
      <formula>"N/A"</formula>
    </cfRule>
  </conditionalFormatting>
  <conditionalFormatting sqref="Y8:Y31">
    <cfRule type="containsText" dxfId="391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C68"/>
  <sheetViews>
    <sheetView zoomScale="80" zoomScaleNormal="80" workbookViewId="0">
      <pane ySplit="7" topLeftCell="A9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'[9]Taniwel daily'!C4</f>
        <v>45300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248</v>
      </c>
      <c r="E8" s="134"/>
      <c r="F8" s="133">
        <v>269</v>
      </c>
      <c r="G8" s="134"/>
      <c r="H8" s="20">
        <f t="shared" ref="H8:H31" si="0">IF(SUM(B8:G8)/1000=0,"0",SUM(B8:G8))</f>
        <v>517</v>
      </c>
      <c r="I8" s="21">
        <f t="shared" ref="I8:I31" si="1">IFERROR(AVERAGE(B8:G8),"0")</f>
        <v>258.5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162.87</v>
      </c>
      <c r="N8" s="26">
        <f>(M9-M8)*12000</f>
        <v>360.00000000001398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 t="s">
        <v>26</v>
      </c>
      <c r="E9" s="134"/>
      <c r="F9" s="133">
        <v>225</v>
      </c>
      <c r="G9" s="134"/>
      <c r="H9" s="20">
        <f t="shared" si="0"/>
        <v>225</v>
      </c>
      <c r="I9" s="21">
        <f t="shared" si="1"/>
        <v>225</v>
      </c>
      <c r="J9" s="22">
        <f t="shared" si="2"/>
        <v>1</v>
      </c>
      <c r="K9" s="23">
        <v>8.3333333333333301E-2</v>
      </c>
      <c r="L9" s="24">
        <v>4200</v>
      </c>
      <c r="M9" s="31">
        <v>162.9</v>
      </c>
      <c r="N9" s="26">
        <f t="shared" ref="N9:N30" si="3">(M10-M9)*12000</f>
        <v>239.99999999978201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 t="s">
        <v>26</v>
      </c>
      <c r="E10" s="134"/>
      <c r="F10" s="133">
        <v>220</v>
      </c>
      <c r="G10" s="134"/>
      <c r="H10" s="20">
        <f t="shared" si="0"/>
        <v>220</v>
      </c>
      <c r="I10" s="21">
        <f t="shared" si="1"/>
        <v>220</v>
      </c>
      <c r="J10" s="22">
        <f t="shared" si="2"/>
        <v>1</v>
      </c>
      <c r="K10" s="23">
        <v>0.125</v>
      </c>
      <c r="L10" s="24">
        <v>4200</v>
      </c>
      <c r="M10" s="31">
        <v>162.91999999999999</v>
      </c>
      <c r="N10" s="26">
        <f t="shared" si="3"/>
        <v>240.00000000012301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 t="s">
        <v>26</v>
      </c>
      <c r="E11" s="134"/>
      <c r="F11" s="133">
        <v>217</v>
      </c>
      <c r="G11" s="134"/>
      <c r="H11" s="20">
        <f t="shared" si="0"/>
        <v>217</v>
      </c>
      <c r="I11" s="21">
        <f t="shared" si="1"/>
        <v>217</v>
      </c>
      <c r="J11" s="22">
        <f t="shared" si="2"/>
        <v>1</v>
      </c>
      <c r="K11" s="23">
        <v>0.16666666666666699</v>
      </c>
      <c r="L11" s="24">
        <v>4000</v>
      </c>
      <c r="M11" s="31">
        <v>162.94</v>
      </c>
      <c r="N11" s="26">
        <f t="shared" si="3"/>
        <v>240.00000000012301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 t="s">
        <v>26</v>
      </c>
      <c r="E12" s="134"/>
      <c r="F12" s="133">
        <v>222</v>
      </c>
      <c r="G12" s="134"/>
      <c r="H12" s="20">
        <f t="shared" si="0"/>
        <v>222</v>
      </c>
      <c r="I12" s="21">
        <f t="shared" si="1"/>
        <v>222</v>
      </c>
      <c r="J12" s="22">
        <f t="shared" si="2"/>
        <v>1</v>
      </c>
      <c r="K12" s="23">
        <v>0.20833333333333301</v>
      </c>
      <c r="L12" s="24">
        <v>3900</v>
      </c>
      <c r="M12" s="31">
        <v>162.96</v>
      </c>
      <c r="N12" s="26">
        <f t="shared" si="3"/>
        <v>360.00000000001398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288</v>
      </c>
      <c r="E13" s="134"/>
      <c r="F13" s="133">
        <v>278</v>
      </c>
      <c r="G13" s="134"/>
      <c r="H13" s="20">
        <f t="shared" si="0"/>
        <v>566</v>
      </c>
      <c r="I13" s="21">
        <f t="shared" si="1"/>
        <v>283</v>
      </c>
      <c r="J13" s="22">
        <f t="shared" si="2"/>
        <v>2</v>
      </c>
      <c r="K13" s="23">
        <v>0.25</v>
      </c>
      <c r="L13" s="24">
        <v>3600</v>
      </c>
      <c r="M13" s="31">
        <v>162.99</v>
      </c>
      <c r="N13" s="26">
        <f t="shared" si="3"/>
        <v>599.99999999979502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300</v>
      </c>
      <c r="E14" s="134"/>
      <c r="F14" s="133">
        <v>287</v>
      </c>
      <c r="G14" s="134"/>
      <c r="H14" s="20">
        <f t="shared" si="0"/>
        <v>587</v>
      </c>
      <c r="I14" s="21">
        <f t="shared" si="1"/>
        <v>293.5</v>
      </c>
      <c r="J14" s="22">
        <f t="shared" si="2"/>
        <v>2</v>
      </c>
      <c r="K14" s="23">
        <v>0.29166666666666702</v>
      </c>
      <c r="L14" s="24">
        <v>3600</v>
      </c>
      <c r="M14" s="31">
        <v>163.04</v>
      </c>
      <c r="N14" s="26">
        <f t="shared" si="3"/>
        <v>600.00000000013597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270</v>
      </c>
      <c r="E15" s="134"/>
      <c r="F15" s="133">
        <v>262</v>
      </c>
      <c r="G15" s="134"/>
      <c r="H15" s="20">
        <f t="shared" si="0"/>
        <v>532</v>
      </c>
      <c r="I15" s="21">
        <f t="shared" si="1"/>
        <v>266</v>
      </c>
      <c r="J15" s="22">
        <f t="shared" si="2"/>
        <v>2</v>
      </c>
      <c r="K15" s="23">
        <v>0.33333333333333298</v>
      </c>
      <c r="L15" s="24">
        <v>3600</v>
      </c>
      <c r="M15" s="31">
        <v>163.09</v>
      </c>
      <c r="N15" s="26">
        <f t="shared" si="3"/>
        <v>599.99999999979502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242</v>
      </c>
      <c r="E16" s="134"/>
      <c r="F16" s="133">
        <v>255</v>
      </c>
      <c r="G16" s="134"/>
      <c r="H16" s="20">
        <f t="shared" si="0"/>
        <v>497</v>
      </c>
      <c r="I16" s="21">
        <f t="shared" si="1"/>
        <v>248.5</v>
      </c>
      <c r="J16" s="22">
        <f t="shared" si="2"/>
        <v>2</v>
      </c>
      <c r="K16" s="23">
        <v>0.375</v>
      </c>
      <c r="L16" s="24">
        <v>3600</v>
      </c>
      <c r="M16" s="31">
        <v>163.13999999999999</v>
      </c>
      <c r="N16" s="26">
        <f t="shared" si="3"/>
        <v>600.00000000013597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236</v>
      </c>
      <c r="E17" s="134"/>
      <c r="F17" s="133">
        <v>233</v>
      </c>
      <c r="G17" s="134"/>
      <c r="H17" s="20">
        <f t="shared" si="0"/>
        <v>469</v>
      </c>
      <c r="I17" s="21">
        <f t="shared" si="1"/>
        <v>234.5</v>
      </c>
      <c r="J17" s="22">
        <f t="shared" si="2"/>
        <v>2</v>
      </c>
      <c r="K17" s="23">
        <v>0.41666666666666602</v>
      </c>
      <c r="L17" s="24">
        <v>3400</v>
      </c>
      <c r="M17" s="31">
        <v>163.19</v>
      </c>
      <c r="N17" s="26">
        <f t="shared" si="3"/>
        <v>479.99999999990501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226</v>
      </c>
      <c r="E18" s="134"/>
      <c r="F18" s="133">
        <v>237</v>
      </c>
      <c r="G18" s="134"/>
      <c r="H18" s="20">
        <f t="shared" si="0"/>
        <v>463</v>
      </c>
      <c r="I18" s="21">
        <f t="shared" si="1"/>
        <v>231.5</v>
      </c>
      <c r="J18" s="22">
        <f t="shared" si="2"/>
        <v>2</v>
      </c>
      <c r="K18" s="23">
        <v>0.45833333333333298</v>
      </c>
      <c r="L18" s="24">
        <v>3300</v>
      </c>
      <c r="M18" s="31">
        <v>163.22999999999999</v>
      </c>
      <c r="N18" s="26">
        <f t="shared" si="3"/>
        <v>480.00000000024602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222</v>
      </c>
      <c r="E19" s="134"/>
      <c r="F19" s="133">
        <v>236</v>
      </c>
      <c r="G19" s="134"/>
      <c r="H19" s="20">
        <f t="shared" si="0"/>
        <v>458</v>
      </c>
      <c r="I19" s="21">
        <f t="shared" si="1"/>
        <v>229</v>
      </c>
      <c r="J19" s="22">
        <f t="shared" si="2"/>
        <v>2</v>
      </c>
      <c r="K19" s="23">
        <v>0.5</v>
      </c>
      <c r="L19" s="24">
        <v>3300</v>
      </c>
      <c r="M19" s="31">
        <v>163.27000000000001</v>
      </c>
      <c r="N19" s="26">
        <f t="shared" si="3"/>
        <v>599.99999999979502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 t="s">
        <v>26</v>
      </c>
      <c r="E20" s="134"/>
      <c r="F20" s="133">
        <v>433</v>
      </c>
      <c r="G20" s="134"/>
      <c r="H20" s="20">
        <f t="shared" si="0"/>
        <v>433</v>
      </c>
      <c r="I20" s="21">
        <f t="shared" si="1"/>
        <v>433</v>
      </c>
      <c r="J20" s="22">
        <f t="shared" si="2"/>
        <v>1</v>
      </c>
      <c r="K20" s="23">
        <v>0.54166666666666696</v>
      </c>
      <c r="L20" s="24">
        <v>3000</v>
      </c>
      <c r="M20" s="31">
        <v>163.32</v>
      </c>
      <c r="N20" s="26">
        <f t="shared" si="3"/>
        <v>360.00000000001398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 t="s">
        <v>26</v>
      </c>
      <c r="E21" s="134"/>
      <c r="F21" s="133">
        <v>414</v>
      </c>
      <c r="G21" s="134"/>
      <c r="H21" s="20">
        <f t="shared" si="0"/>
        <v>414</v>
      </c>
      <c r="I21" s="21">
        <f t="shared" si="1"/>
        <v>414</v>
      </c>
      <c r="J21" s="22">
        <f t="shared" si="2"/>
        <v>1</v>
      </c>
      <c r="K21" s="23">
        <v>0.58333333333333304</v>
      </c>
      <c r="L21" s="24">
        <v>3000</v>
      </c>
      <c r="M21" s="31">
        <v>163.35</v>
      </c>
      <c r="N21" s="26">
        <f t="shared" si="3"/>
        <v>479.99999999990501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 t="s">
        <v>26</v>
      </c>
      <c r="E22" s="134"/>
      <c r="F22" s="133">
        <v>405</v>
      </c>
      <c r="G22" s="134"/>
      <c r="H22" s="20">
        <f t="shared" si="0"/>
        <v>405</v>
      </c>
      <c r="I22" s="21">
        <f t="shared" si="1"/>
        <v>405</v>
      </c>
      <c r="J22" s="22">
        <f t="shared" si="2"/>
        <v>1</v>
      </c>
      <c r="K22" s="23">
        <v>0.625</v>
      </c>
      <c r="L22" s="24">
        <v>3000</v>
      </c>
      <c r="M22" s="31">
        <v>163.38999999999999</v>
      </c>
      <c r="N22" s="26">
        <f t="shared" si="3"/>
        <v>480.00000000024602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410</v>
      </c>
      <c r="E23" s="134"/>
      <c r="F23" s="133" t="s">
        <v>26</v>
      </c>
      <c r="G23" s="134"/>
      <c r="H23" s="20">
        <f t="shared" si="0"/>
        <v>410</v>
      </c>
      <c r="I23" s="21">
        <f t="shared" si="1"/>
        <v>410</v>
      </c>
      <c r="J23" s="22">
        <f t="shared" si="2"/>
        <v>1</v>
      </c>
      <c r="K23" s="23">
        <v>0.66666666666666596</v>
      </c>
      <c r="L23" s="24">
        <v>3000</v>
      </c>
      <c r="M23" s="31">
        <v>163.43</v>
      </c>
      <c r="N23" s="26">
        <v>9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418</v>
      </c>
      <c r="E24" s="134"/>
      <c r="F24" s="133" t="s">
        <v>26</v>
      </c>
      <c r="G24" s="134"/>
      <c r="H24" s="20">
        <f t="shared" si="0"/>
        <v>418</v>
      </c>
      <c r="I24" s="21">
        <f t="shared" si="1"/>
        <v>418</v>
      </c>
      <c r="J24" s="22">
        <f t="shared" si="2"/>
        <v>1</v>
      </c>
      <c r="K24" s="23">
        <v>0.70833333333333304</v>
      </c>
      <c r="L24" s="24">
        <v>2700</v>
      </c>
      <c r="M24" s="31">
        <v>163.47</v>
      </c>
      <c r="N24" s="26">
        <f t="shared" si="3"/>
        <v>479.99999999990501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443</v>
      </c>
      <c r="E25" s="134"/>
      <c r="F25" s="133" t="s">
        <v>26</v>
      </c>
      <c r="G25" s="134"/>
      <c r="H25" s="20">
        <f t="shared" si="0"/>
        <v>443</v>
      </c>
      <c r="I25" s="21">
        <f t="shared" si="1"/>
        <v>443</v>
      </c>
      <c r="J25" s="22">
        <f t="shared" si="2"/>
        <v>1</v>
      </c>
      <c r="K25" s="23">
        <v>0.75</v>
      </c>
      <c r="L25" s="24">
        <v>2400</v>
      </c>
      <c r="M25" s="31">
        <v>163.51</v>
      </c>
      <c r="N25" s="26">
        <f t="shared" si="3"/>
        <v>720.00000000002694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312</v>
      </c>
      <c r="E26" s="134"/>
      <c r="F26" s="133">
        <v>328</v>
      </c>
      <c r="G26" s="134"/>
      <c r="H26" s="20">
        <f t="shared" si="0"/>
        <v>640</v>
      </c>
      <c r="I26" s="21">
        <f t="shared" si="1"/>
        <v>320</v>
      </c>
      <c r="J26" s="22">
        <f t="shared" si="2"/>
        <v>2</v>
      </c>
      <c r="K26" s="23">
        <v>0.79166666666666596</v>
      </c>
      <c r="L26" s="24">
        <v>2100</v>
      </c>
      <c r="M26" s="31">
        <v>163.57</v>
      </c>
      <c r="N26" s="26">
        <f t="shared" si="3"/>
        <v>720.00000000002694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353</v>
      </c>
      <c r="E27" s="134"/>
      <c r="F27" s="133">
        <v>328</v>
      </c>
      <c r="G27" s="134"/>
      <c r="H27" s="20">
        <f t="shared" si="0"/>
        <v>681</v>
      </c>
      <c r="I27" s="21">
        <f t="shared" si="1"/>
        <v>340.5</v>
      </c>
      <c r="J27" s="22">
        <f t="shared" si="2"/>
        <v>2</v>
      </c>
      <c r="K27" s="23">
        <v>0.83333333333333304</v>
      </c>
      <c r="L27" s="24">
        <v>2100</v>
      </c>
      <c r="M27" s="31">
        <v>163.63</v>
      </c>
      <c r="N27" s="26">
        <f t="shared" si="3"/>
        <v>839.99999999991803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322</v>
      </c>
      <c r="E28" s="134"/>
      <c r="F28" s="133">
        <v>351</v>
      </c>
      <c r="G28" s="134"/>
      <c r="H28" s="20">
        <f t="shared" si="0"/>
        <v>673</v>
      </c>
      <c r="I28" s="21">
        <f t="shared" si="1"/>
        <v>336.5</v>
      </c>
      <c r="J28" s="22">
        <f t="shared" si="2"/>
        <v>2</v>
      </c>
      <c r="K28" s="23">
        <v>0.875</v>
      </c>
      <c r="L28" s="24">
        <v>1800</v>
      </c>
      <c r="M28" s="31">
        <v>163.69999999999999</v>
      </c>
      <c r="N28" s="26">
        <f t="shared" si="3"/>
        <v>600.00000000013597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315</v>
      </c>
      <c r="E29" s="134"/>
      <c r="F29" s="133">
        <v>300</v>
      </c>
      <c r="G29" s="134"/>
      <c r="H29" s="20">
        <f t="shared" si="0"/>
        <v>615</v>
      </c>
      <c r="I29" s="21">
        <f t="shared" si="1"/>
        <v>307.5</v>
      </c>
      <c r="J29" s="22">
        <f t="shared" si="2"/>
        <v>2</v>
      </c>
      <c r="K29" s="23">
        <v>0.91666666666666596</v>
      </c>
      <c r="L29" s="24">
        <v>1800</v>
      </c>
      <c r="M29" s="31">
        <v>163.75</v>
      </c>
      <c r="N29" s="26">
        <f t="shared" si="3"/>
        <v>720.00000000002694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285</v>
      </c>
      <c r="E30" s="134"/>
      <c r="F30" s="133">
        <v>274</v>
      </c>
      <c r="G30" s="134"/>
      <c r="H30" s="20">
        <f t="shared" si="0"/>
        <v>559</v>
      </c>
      <c r="I30" s="21">
        <f t="shared" si="1"/>
        <v>279.5</v>
      </c>
      <c r="J30" s="22">
        <f t="shared" si="2"/>
        <v>2</v>
      </c>
      <c r="K30" s="23">
        <v>0.95833333333333304</v>
      </c>
      <c r="L30" s="24">
        <v>1800</v>
      </c>
      <c r="M30" s="31">
        <v>163.81</v>
      </c>
      <c r="N30" s="26">
        <f t="shared" si="3"/>
        <v>600.00000000013597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274</v>
      </c>
      <c r="E31" s="134"/>
      <c r="F31" s="133">
        <v>261</v>
      </c>
      <c r="G31" s="134"/>
      <c r="H31" s="20">
        <f t="shared" si="0"/>
        <v>535</v>
      </c>
      <c r="I31" s="35">
        <f t="shared" si="1"/>
        <v>267.5</v>
      </c>
      <c r="J31" s="36">
        <f t="shared" si="2"/>
        <v>2</v>
      </c>
      <c r="K31" s="37">
        <v>1</v>
      </c>
      <c r="L31" s="24">
        <v>4500</v>
      </c>
      <c r="M31" s="38">
        <v>163.86</v>
      </c>
      <c r="N31" s="26">
        <f>H31</f>
        <v>535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5.1639999999999997</v>
      </c>
      <c r="E32" s="136"/>
      <c r="F32" s="135">
        <f>SUM(F8:F31)/1000</f>
        <v>6.0350000000000001</v>
      </c>
      <c r="G32" s="136"/>
      <c r="H32" s="40">
        <f>SUM(H8:H31)</f>
        <v>11199</v>
      </c>
      <c r="I32" s="41" t="s">
        <v>13</v>
      </c>
      <c r="J32" s="42"/>
      <c r="K32" s="43"/>
      <c r="L32" s="44"/>
      <c r="M32" s="45">
        <f>SUM(M31-M8+N8)</f>
        <v>360.99000000001399</v>
      </c>
      <c r="N32" s="46">
        <f>SUM(N8:N31)</f>
        <v>11944.0000000002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303.76470588235298</v>
      </c>
      <c r="E33" s="116"/>
      <c r="F33" s="119">
        <f>IFERROR((AVERAGE(F8:F31)),"0")</f>
        <v>287.38095238095201</v>
      </c>
      <c r="G33" s="121"/>
      <c r="H33" s="147">
        <f>H32*1000</f>
        <v>11199000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17</v>
      </c>
      <c r="E35" s="162"/>
      <c r="F35" s="163">
        <f>COUNT(F8:F31)</f>
        <v>21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38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681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466.625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217</v>
      </c>
      <c r="D41" s="126"/>
      <c r="E41" s="73">
        <f>VLOOKUP(C41,H8:L31,4,FALSE)</f>
        <v>0.16666666666666699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304.29166666666703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-451.58374999999899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390" priority="11" operator="equal">
      <formula>"STB"</formula>
    </cfRule>
    <cfRule type="cellIs" dxfId="389" priority="12" operator="equal">
      <formula>"BD"</formula>
    </cfRule>
  </conditionalFormatting>
  <conditionalFormatting sqref="B8:B31">
    <cfRule type="cellIs" dxfId="388" priority="1" operator="equal">
      <formula>"STB"</formula>
    </cfRule>
    <cfRule type="cellIs" dxfId="387" priority="2" operator="equal">
      <formula>"BD"</formula>
    </cfRule>
  </conditionalFormatting>
  <conditionalFormatting sqref="D8:D31">
    <cfRule type="cellIs" dxfId="386" priority="8" operator="equal">
      <formula>"STB"</formula>
    </cfRule>
    <cfRule type="cellIs" dxfId="385" priority="9" operator="equal">
      <formula>"BD"</formula>
    </cfRule>
  </conditionalFormatting>
  <conditionalFormatting sqref="F8:F31">
    <cfRule type="cellIs" dxfId="384" priority="3" operator="equal">
      <formula>"STB"</formula>
    </cfRule>
    <cfRule type="cellIs" dxfId="383" priority="4" operator="equal">
      <formula>"BD"</formula>
    </cfRule>
  </conditionalFormatting>
  <conditionalFormatting sqref="H8:H31">
    <cfRule type="top10" dxfId="382" priority="5" bottom="1" rank="1"/>
    <cfRule type="top10" dxfId="381" priority="6" rank="1"/>
    <cfRule type="cellIs" dxfId="380" priority="7" stopIfTrue="1" operator="equal">
      <formula>28000</formula>
    </cfRule>
  </conditionalFormatting>
  <conditionalFormatting sqref="H32:H33">
    <cfRule type="top10" dxfId="379" priority="14" bottom="1" rank="1"/>
    <cfRule type="top10" dxfId="378" priority="15" rank="1"/>
    <cfRule type="cellIs" dxfId="377" priority="17" stopIfTrue="1" operator="equal">
      <formula>28000</formula>
    </cfRule>
  </conditionalFormatting>
  <conditionalFormatting sqref="N8 N9:O31">
    <cfRule type="cellIs" dxfId="376" priority="16" operator="equal">
      <formula>"BD"</formula>
    </cfRule>
  </conditionalFormatting>
  <conditionalFormatting sqref="O8">
    <cfRule type="cellIs" dxfId="375" priority="10" operator="equal">
      <formula>"N/A"</formula>
    </cfRule>
  </conditionalFormatting>
  <conditionalFormatting sqref="Y8:Y31">
    <cfRule type="containsText" dxfId="374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C68"/>
  <sheetViews>
    <sheetView zoomScale="80" zoomScaleNormal="80" workbookViewId="0">
      <pane ySplit="7" topLeftCell="A9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'[10]Taniwel daily'!C4</f>
        <v>45301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254</v>
      </c>
      <c r="E8" s="134"/>
      <c r="F8" s="133">
        <v>260</v>
      </c>
      <c r="G8" s="134"/>
      <c r="H8" s="20">
        <f t="shared" ref="H8:H31" si="0">IF(SUM(B8:G8)/1000=0,"0",SUM(B8:G8))</f>
        <v>514</v>
      </c>
      <c r="I8" s="21">
        <f t="shared" ref="I8:I31" si="1">IFERROR(AVERAGE(B8:G8),"0")</f>
        <v>257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163.91</v>
      </c>
      <c r="N8" s="26">
        <f>(M9-M8)*12000</f>
        <v>600.00000000013597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239</v>
      </c>
      <c r="E9" s="134"/>
      <c r="F9" s="133">
        <v>259</v>
      </c>
      <c r="G9" s="134"/>
      <c r="H9" s="20">
        <f t="shared" si="0"/>
        <v>498</v>
      </c>
      <c r="I9" s="21">
        <f t="shared" si="1"/>
        <v>249</v>
      </c>
      <c r="J9" s="22">
        <f t="shared" si="2"/>
        <v>2</v>
      </c>
      <c r="K9" s="23">
        <v>8.3333333333333301E-2</v>
      </c>
      <c r="L9" s="24">
        <v>4200</v>
      </c>
      <c r="M9" s="31">
        <v>163.96</v>
      </c>
      <c r="N9" s="26">
        <f t="shared" ref="N9:N30" si="3">(M10-M9)*12000</f>
        <v>599.99999999979502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240</v>
      </c>
      <c r="E10" s="134"/>
      <c r="F10" s="133">
        <v>254</v>
      </c>
      <c r="G10" s="134"/>
      <c r="H10" s="20">
        <f t="shared" si="0"/>
        <v>494</v>
      </c>
      <c r="I10" s="21">
        <f t="shared" si="1"/>
        <v>247</v>
      </c>
      <c r="J10" s="22">
        <f t="shared" si="2"/>
        <v>2</v>
      </c>
      <c r="K10" s="23">
        <v>0.125</v>
      </c>
      <c r="L10" s="24">
        <v>4200</v>
      </c>
      <c r="M10" s="31">
        <v>164.01</v>
      </c>
      <c r="N10" s="26">
        <f t="shared" si="3"/>
        <v>360.00000000001398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256</v>
      </c>
      <c r="E11" s="134"/>
      <c r="F11" s="133">
        <v>261</v>
      </c>
      <c r="G11" s="134"/>
      <c r="H11" s="20">
        <f t="shared" si="0"/>
        <v>517</v>
      </c>
      <c r="I11" s="21">
        <f t="shared" si="1"/>
        <v>258.5</v>
      </c>
      <c r="J11" s="22">
        <f t="shared" si="2"/>
        <v>2</v>
      </c>
      <c r="K11" s="23">
        <v>0.16666666666666699</v>
      </c>
      <c r="L11" s="24">
        <v>4000</v>
      </c>
      <c r="M11" s="31">
        <v>164.04</v>
      </c>
      <c r="N11" s="26">
        <f t="shared" si="3"/>
        <v>360.00000000001398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>
        <v>348</v>
      </c>
      <c r="E12" s="134"/>
      <c r="F12" s="133">
        <v>230</v>
      </c>
      <c r="G12" s="134"/>
      <c r="H12" s="20">
        <f t="shared" si="0"/>
        <v>578</v>
      </c>
      <c r="I12" s="21">
        <f t="shared" si="1"/>
        <v>289</v>
      </c>
      <c r="J12" s="22">
        <f t="shared" si="2"/>
        <v>2</v>
      </c>
      <c r="K12" s="23">
        <v>0.20833333333333301</v>
      </c>
      <c r="L12" s="24">
        <v>3900</v>
      </c>
      <c r="M12" s="31">
        <v>164.07</v>
      </c>
      <c r="N12" s="26">
        <f t="shared" si="3"/>
        <v>600.00000000013597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278</v>
      </c>
      <c r="E13" s="134"/>
      <c r="F13" s="133">
        <v>245</v>
      </c>
      <c r="G13" s="134"/>
      <c r="H13" s="20">
        <f t="shared" si="0"/>
        <v>523</v>
      </c>
      <c r="I13" s="21">
        <f t="shared" si="1"/>
        <v>261.5</v>
      </c>
      <c r="J13" s="22">
        <f t="shared" si="2"/>
        <v>2</v>
      </c>
      <c r="K13" s="23">
        <v>0.25</v>
      </c>
      <c r="L13" s="24">
        <v>3600</v>
      </c>
      <c r="M13" s="31">
        <v>164.12</v>
      </c>
      <c r="N13" s="26">
        <f t="shared" si="3"/>
        <v>720.00000000002694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269</v>
      </c>
      <c r="E14" s="134"/>
      <c r="F14" s="133">
        <v>271</v>
      </c>
      <c r="G14" s="134"/>
      <c r="H14" s="20">
        <f t="shared" si="0"/>
        <v>540</v>
      </c>
      <c r="I14" s="21">
        <f t="shared" si="1"/>
        <v>270</v>
      </c>
      <c r="J14" s="22">
        <f t="shared" si="2"/>
        <v>2</v>
      </c>
      <c r="K14" s="23">
        <v>0.29166666666666702</v>
      </c>
      <c r="L14" s="24">
        <v>3600</v>
      </c>
      <c r="M14" s="31">
        <v>164.18</v>
      </c>
      <c r="N14" s="26">
        <f t="shared" si="3"/>
        <v>479.99999999990501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256</v>
      </c>
      <c r="E15" s="134"/>
      <c r="F15" s="133">
        <v>261</v>
      </c>
      <c r="G15" s="134"/>
      <c r="H15" s="20">
        <f t="shared" si="0"/>
        <v>517</v>
      </c>
      <c r="I15" s="21">
        <f t="shared" si="1"/>
        <v>258.5</v>
      </c>
      <c r="J15" s="22">
        <f t="shared" si="2"/>
        <v>2</v>
      </c>
      <c r="K15" s="23">
        <v>0.33333333333333298</v>
      </c>
      <c r="L15" s="24">
        <v>3600</v>
      </c>
      <c r="M15" s="31">
        <v>164.22</v>
      </c>
      <c r="N15" s="26">
        <f t="shared" si="3"/>
        <v>600.00000000013597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253</v>
      </c>
      <c r="E16" s="134"/>
      <c r="F16" s="133">
        <v>240</v>
      </c>
      <c r="G16" s="134"/>
      <c r="H16" s="20">
        <f t="shared" si="0"/>
        <v>493</v>
      </c>
      <c r="I16" s="21">
        <f t="shared" si="1"/>
        <v>246.5</v>
      </c>
      <c r="J16" s="22">
        <f t="shared" si="2"/>
        <v>2</v>
      </c>
      <c r="K16" s="23">
        <v>0.375</v>
      </c>
      <c r="L16" s="24">
        <v>3600</v>
      </c>
      <c r="M16" s="31">
        <v>164.27</v>
      </c>
      <c r="N16" s="26">
        <f t="shared" si="3"/>
        <v>599.99999999979502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451</v>
      </c>
      <c r="E17" s="134"/>
      <c r="F17" s="133">
        <v>233</v>
      </c>
      <c r="G17" s="134"/>
      <c r="H17" s="20">
        <f t="shared" si="0"/>
        <v>684</v>
      </c>
      <c r="I17" s="21">
        <f t="shared" si="1"/>
        <v>342</v>
      </c>
      <c r="J17" s="22">
        <f t="shared" si="2"/>
        <v>2</v>
      </c>
      <c r="K17" s="23">
        <v>0.41666666666666602</v>
      </c>
      <c r="L17" s="24">
        <v>3400</v>
      </c>
      <c r="M17" s="31">
        <v>164.32</v>
      </c>
      <c r="N17" s="26">
        <f t="shared" si="3"/>
        <v>480.00000000024602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456</v>
      </c>
      <c r="E18" s="134"/>
      <c r="F18" s="133" t="s">
        <v>26</v>
      </c>
      <c r="G18" s="134"/>
      <c r="H18" s="20">
        <f t="shared" si="0"/>
        <v>456</v>
      </c>
      <c r="I18" s="21">
        <f t="shared" si="1"/>
        <v>456</v>
      </c>
      <c r="J18" s="22">
        <f t="shared" si="2"/>
        <v>1</v>
      </c>
      <c r="K18" s="23">
        <v>0.45833333333333298</v>
      </c>
      <c r="L18" s="24">
        <v>3300</v>
      </c>
      <c r="M18" s="31">
        <v>164.36</v>
      </c>
      <c r="N18" s="26">
        <f t="shared" si="3"/>
        <v>479.99999999990501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443</v>
      </c>
      <c r="E19" s="134"/>
      <c r="F19" s="133" t="s">
        <v>26</v>
      </c>
      <c r="G19" s="134"/>
      <c r="H19" s="20">
        <f t="shared" si="0"/>
        <v>443</v>
      </c>
      <c r="I19" s="21">
        <f t="shared" si="1"/>
        <v>443</v>
      </c>
      <c r="J19" s="22">
        <f t="shared" si="2"/>
        <v>1</v>
      </c>
      <c r="K19" s="23">
        <v>0.5</v>
      </c>
      <c r="L19" s="24">
        <v>3300</v>
      </c>
      <c r="M19" s="31">
        <v>164.4</v>
      </c>
      <c r="N19" s="26">
        <f t="shared" si="3"/>
        <v>479.99999999990501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446</v>
      </c>
      <c r="E20" s="134"/>
      <c r="F20" s="133" t="s">
        <v>26</v>
      </c>
      <c r="G20" s="134"/>
      <c r="H20" s="20">
        <f t="shared" si="0"/>
        <v>446</v>
      </c>
      <c r="I20" s="21">
        <f t="shared" si="1"/>
        <v>446</v>
      </c>
      <c r="J20" s="22">
        <f t="shared" si="2"/>
        <v>1</v>
      </c>
      <c r="K20" s="23">
        <v>0.54166666666666696</v>
      </c>
      <c r="L20" s="24">
        <v>3000</v>
      </c>
      <c r="M20" s="31">
        <v>164.44</v>
      </c>
      <c r="N20" s="26">
        <f t="shared" si="3"/>
        <v>479.99999999990501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>
        <v>435</v>
      </c>
      <c r="E21" s="134"/>
      <c r="F21" s="133" t="s">
        <v>26</v>
      </c>
      <c r="G21" s="134"/>
      <c r="H21" s="20">
        <f t="shared" si="0"/>
        <v>435</v>
      </c>
      <c r="I21" s="21">
        <f t="shared" si="1"/>
        <v>435</v>
      </c>
      <c r="J21" s="22">
        <f t="shared" si="2"/>
        <v>1</v>
      </c>
      <c r="K21" s="23">
        <v>0.58333333333333304</v>
      </c>
      <c r="L21" s="24">
        <v>3000</v>
      </c>
      <c r="M21" s="31">
        <v>164.48</v>
      </c>
      <c r="N21" s="26">
        <f t="shared" si="3"/>
        <v>480.00000000024602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>
        <v>421</v>
      </c>
      <c r="E22" s="134"/>
      <c r="F22" s="133" t="s">
        <v>26</v>
      </c>
      <c r="G22" s="134"/>
      <c r="H22" s="20">
        <f t="shared" si="0"/>
        <v>421</v>
      </c>
      <c r="I22" s="21">
        <f t="shared" si="1"/>
        <v>421</v>
      </c>
      <c r="J22" s="22">
        <f t="shared" si="2"/>
        <v>1</v>
      </c>
      <c r="K22" s="23">
        <v>0.625</v>
      </c>
      <c r="L22" s="24">
        <v>3000</v>
      </c>
      <c r="M22" s="31">
        <v>164.52</v>
      </c>
      <c r="N22" s="26">
        <f t="shared" si="3"/>
        <v>599.99999999979502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427</v>
      </c>
      <c r="E23" s="134"/>
      <c r="F23" s="133" t="s">
        <v>26</v>
      </c>
      <c r="G23" s="134"/>
      <c r="H23" s="20">
        <f t="shared" si="0"/>
        <v>427</v>
      </c>
      <c r="I23" s="21">
        <f t="shared" si="1"/>
        <v>427</v>
      </c>
      <c r="J23" s="22">
        <f t="shared" si="2"/>
        <v>1</v>
      </c>
      <c r="K23" s="23">
        <v>0.66666666666666596</v>
      </c>
      <c r="L23" s="24">
        <v>3000</v>
      </c>
      <c r="M23" s="31">
        <v>164.57</v>
      </c>
      <c r="N23" s="26">
        <f t="shared" si="3"/>
        <v>360.00000000001398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443</v>
      </c>
      <c r="E24" s="134"/>
      <c r="F24" s="133" t="s">
        <v>26</v>
      </c>
      <c r="G24" s="134"/>
      <c r="H24" s="20">
        <f t="shared" si="0"/>
        <v>443</v>
      </c>
      <c r="I24" s="21">
        <f t="shared" si="1"/>
        <v>443</v>
      </c>
      <c r="J24" s="22">
        <f t="shared" si="2"/>
        <v>1</v>
      </c>
      <c r="K24" s="23">
        <v>0.70833333333333304</v>
      </c>
      <c r="L24" s="24">
        <v>2700</v>
      </c>
      <c r="M24" s="31">
        <v>164.6</v>
      </c>
      <c r="N24" s="26">
        <f t="shared" si="3"/>
        <v>600.00000000013597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460</v>
      </c>
      <c r="E25" s="134"/>
      <c r="F25" s="133" t="s">
        <v>26</v>
      </c>
      <c r="G25" s="134"/>
      <c r="H25" s="20">
        <f t="shared" si="0"/>
        <v>460</v>
      </c>
      <c r="I25" s="21">
        <f t="shared" si="1"/>
        <v>460</v>
      </c>
      <c r="J25" s="22">
        <f t="shared" si="2"/>
        <v>1</v>
      </c>
      <c r="K25" s="23">
        <v>0.75</v>
      </c>
      <c r="L25" s="24">
        <v>2400</v>
      </c>
      <c r="M25" s="31">
        <v>164.65</v>
      </c>
      <c r="N25" s="26">
        <f t="shared" si="3"/>
        <v>599.99999999979502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316</v>
      </c>
      <c r="E26" s="134"/>
      <c r="F26" s="133">
        <v>328</v>
      </c>
      <c r="G26" s="134"/>
      <c r="H26" s="20">
        <f t="shared" si="0"/>
        <v>644</v>
      </c>
      <c r="I26" s="21">
        <f t="shared" si="1"/>
        <v>322</v>
      </c>
      <c r="J26" s="22">
        <f t="shared" si="2"/>
        <v>2</v>
      </c>
      <c r="K26" s="23">
        <v>0.79166666666666596</v>
      </c>
      <c r="L26" s="24">
        <v>2100</v>
      </c>
      <c r="M26" s="31">
        <v>164.7</v>
      </c>
      <c r="N26" s="26">
        <f t="shared" si="3"/>
        <v>720.00000000002694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345</v>
      </c>
      <c r="E27" s="134"/>
      <c r="F27" s="133">
        <v>363</v>
      </c>
      <c r="G27" s="134"/>
      <c r="H27" s="20">
        <f t="shared" si="0"/>
        <v>708</v>
      </c>
      <c r="I27" s="21">
        <f t="shared" si="1"/>
        <v>354</v>
      </c>
      <c r="J27" s="22">
        <f t="shared" si="2"/>
        <v>2</v>
      </c>
      <c r="K27" s="23">
        <v>0.83333333333333304</v>
      </c>
      <c r="L27" s="24">
        <v>2100</v>
      </c>
      <c r="M27" s="31">
        <v>164.76</v>
      </c>
      <c r="N27" s="26">
        <f t="shared" si="3"/>
        <v>840.00000000025898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330</v>
      </c>
      <c r="E28" s="134"/>
      <c r="F28" s="133">
        <v>326</v>
      </c>
      <c r="G28" s="134"/>
      <c r="H28" s="20">
        <f t="shared" si="0"/>
        <v>656</v>
      </c>
      <c r="I28" s="21">
        <f t="shared" si="1"/>
        <v>328</v>
      </c>
      <c r="J28" s="22">
        <f t="shared" si="2"/>
        <v>2</v>
      </c>
      <c r="K28" s="23">
        <v>0.875</v>
      </c>
      <c r="L28" s="24">
        <v>1800</v>
      </c>
      <c r="M28" s="31">
        <v>164.83</v>
      </c>
      <c r="N28" s="26">
        <f t="shared" si="3"/>
        <v>719.999999999686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308</v>
      </c>
      <c r="E29" s="134"/>
      <c r="F29" s="133">
        <v>310</v>
      </c>
      <c r="G29" s="134"/>
      <c r="H29" s="20">
        <f t="shared" si="0"/>
        <v>618</v>
      </c>
      <c r="I29" s="21">
        <f t="shared" si="1"/>
        <v>309</v>
      </c>
      <c r="J29" s="22">
        <f t="shared" si="2"/>
        <v>2</v>
      </c>
      <c r="K29" s="23">
        <v>0.91666666666666596</v>
      </c>
      <c r="L29" s="24">
        <v>1800</v>
      </c>
      <c r="M29" s="31">
        <v>164.89</v>
      </c>
      <c r="N29" s="26">
        <f t="shared" si="3"/>
        <v>600.00000000013597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290</v>
      </c>
      <c r="E30" s="134"/>
      <c r="F30" s="133">
        <v>274</v>
      </c>
      <c r="G30" s="134"/>
      <c r="H30" s="20">
        <f t="shared" si="0"/>
        <v>564</v>
      </c>
      <c r="I30" s="21">
        <f t="shared" si="1"/>
        <v>282</v>
      </c>
      <c r="J30" s="22">
        <f t="shared" si="2"/>
        <v>2</v>
      </c>
      <c r="K30" s="23">
        <v>0.95833333333333304</v>
      </c>
      <c r="L30" s="24">
        <v>1800</v>
      </c>
      <c r="M30" s="31">
        <v>164.94</v>
      </c>
      <c r="N30" s="26">
        <f t="shared" si="3"/>
        <v>720.00000000002694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282</v>
      </c>
      <c r="E31" s="134"/>
      <c r="F31" s="133">
        <v>252</v>
      </c>
      <c r="G31" s="134"/>
      <c r="H31" s="20">
        <f t="shared" si="0"/>
        <v>534</v>
      </c>
      <c r="I31" s="35">
        <f t="shared" si="1"/>
        <v>267</v>
      </c>
      <c r="J31" s="36">
        <f t="shared" si="2"/>
        <v>2</v>
      </c>
      <c r="K31" s="37">
        <v>1</v>
      </c>
      <c r="L31" s="24">
        <v>4500</v>
      </c>
      <c r="M31" s="38">
        <v>165</v>
      </c>
      <c r="N31" s="26">
        <f>H31</f>
        <v>534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8.2460000000000004</v>
      </c>
      <c r="E32" s="136"/>
      <c r="F32" s="135">
        <f>SUM(F8:F31)/1000</f>
        <v>4.367</v>
      </c>
      <c r="G32" s="136"/>
      <c r="H32" s="40">
        <f>SUM(H8:H31)</f>
        <v>12613</v>
      </c>
      <c r="I32" s="41" t="s">
        <v>13</v>
      </c>
      <c r="J32" s="42"/>
      <c r="K32" s="43"/>
      <c r="L32" s="44"/>
      <c r="M32" s="45">
        <f>SUM(M31-M8+N8)</f>
        <v>601.090000000136</v>
      </c>
      <c r="N32" s="46">
        <f>SUM(N8:N31)</f>
        <v>13614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343.58333333333297</v>
      </c>
      <c r="E33" s="116"/>
      <c r="F33" s="119">
        <f>IFERROR((AVERAGE(F8:F31)),"0")</f>
        <v>272.9375</v>
      </c>
      <c r="G33" s="121"/>
      <c r="H33" s="147">
        <f>H32*1000</f>
        <v>12613000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24</v>
      </c>
      <c r="E35" s="162"/>
      <c r="F35" s="163">
        <f>COUNT(F8:F31)</f>
        <v>16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40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708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525.54166666666697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421</v>
      </c>
      <c r="D41" s="126"/>
      <c r="E41" s="73">
        <f>VLOOKUP(C41,H8:L31,4,FALSE)</f>
        <v>0.625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336.33333333333297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-500.49624999999401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373" priority="11" operator="equal">
      <formula>"STB"</formula>
    </cfRule>
    <cfRule type="cellIs" dxfId="372" priority="12" operator="equal">
      <formula>"BD"</formula>
    </cfRule>
  </conditionalFormatting>
  <conditionalFormatting sqref="B8:B31">
    <cfRule type="cellIs" dxfId="371" priority="1" operator="equal">
      <formula>"STB"</formula>
    </cfRule>
    <cfRule type="cellIs" dxfId="370" priority="2" operator="equal">
      <formula>"BD"</formula>
    </cfRule>
  </conditionalFormatting>
  <conditionalFormatting sqref="D8:D31">
    <cfRule type="cellIs" dxfId="369" priority="8" operator="equal">
      <formula>"STB"</formula>
    </cfRule>
    <cfRule type="cellIs" dxfId="368" priority="9" operator="equal">
      <formula>"BD"</formula>
    </cfRule>
  </conditionalFormatting>
  <conditionalFormatting sqref="F8:F31">
    <cfRule type="cellIs" dxfId="367" priority="3" operator="equal">
      <formula>"STB"</formula>
    </cfRule>
    <cfRule type="cellIs" dxfId="366" priority="4" operator="equal">
      <formula>"BD"</formula>
    </cfRule>
  </conditionalFormatting>
  <conditionalFormatting sqref="H8:H31">
    <cfRule type="top10" dxfId="365" priority="5" bottom="1" rank="1"/>
    <cfRule type="top10" dxfId="364" priority="6" rank="1"/>
    <cfRule type="cellIs" dxfId="363" priority="7" stopIfTrue="1" operator="equal">
      <formula>28000</formula>
    </cfRule>
  </conditionalFormatting>
  <conditionalFormatting sqref="H32:H33">
    <cfRule type="top10" dxfId="362" priority="14" bottom="1" rank="1"/>
    <cfRule type="top10" dxfId="361" priority="15" rank="1"/>
    <cfRule type="cellIs" dxfId="360" priority="17" stopIfTrue="1" operator="equal">
      <formula>28000</formula>
    </cfRule>
  </conditionalFormatting>
  <conditionalFormatting sqref="N8 N9:O31">
    <cfRule type="cellIs" dxfId="359" priority="16" operator="equal">
      <formula>"BD"</formula>
    </cfRule>
  </conditionalFormatting>
  <conditionalFormatting sqref="O8">
    <cfRule type="cellIs" dxfId="358" priority="10" operator="equal">
      <formula>"N/A"</formula>
    </cfRule>
  </conditionalFormatting>
  <conditionalFormatting sqref="Y8:Y31">
    <cfRule type="containsText" dxfId="357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C68"/>
  <sheetViews>
    <sheetView zoomScale="80" zoomScaleNormal="80" workbookViewId="0">
      <pane ySplit="7" topLeftCell="A9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'[11]Taniwel daily'!C4</f>
        <v>45302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244</v>
      </c>
      <c r="E8" s="134"/>
      <c r="F8" s="133">
        <v>269</v>
      </c>
      <c r="G8" s="134"/>
      <c r="H8" s="20">
        <f t="shared" ref="H8:H31" si="0">IF(SUM(B8:G8)/1000=0,"0",SUM(B8:G8))</f>
        <v>513</v>
      </c>
      <c r="I8" s="21">
        <f t="shared" ref="I8:I31" si="1">IFERROR(AVERAGE(B8:G8),"0")</f>
        <v>256.5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165.04</v>
      </c>
      <c r="N8" s="26">
        <f>(M9-M8)*12000</f>
        <v>480.00000000024602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233</v>
      </c>
      <c r="E9" s="134"/>
      <c r="F9" s="133">
        <v>268</v>
      </c>
      <c r="G9" s="134"/>
      <c r="H9" s="20">
        <f t="shared" si="0"/>
        <v>501</v>
      </c>
      <c r="I9" s="21">
        <f t="shared" si="1"/>
        <v>250.5</v>
      </c>
      <c r="J9" s="22">
        <f t="shared" si="2"/>
        <v>2</v>
      </c>
      <c r="K9" s="23">
        <v>8.3333333333333301E-2</v>
      </c>
      <c r="L9" s="24">
        <v>4200</v>
      </c>
      <c r="M9" s="31">
        <v>165.08</v>
      </c>
      <c r="N9" s="26">
        <f t="shared" ref="N9:N30" si="3">(M10-M9)*12000</f>
        <v>599.99999999979502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241</v>
      </c>
      <c r="E10" s="134"/>
      <c r="F10" s="133">
        <v>249</v>
      </c>
      <c r="G10" s="134"/>
      <c r="H10" s="20">
        <f t="shared" si="0"/>
        <v>490</v>
      </c>
      <c r="I10" s="21">
        <f t="shared" si="1"/>
        <v>245</v>
      </c>
      <c r="J10" s="22">
        <f t="shared" si="2"/>
        <v>2</v>
      </c>
      <c r="K10" s="23">
        <v>0.125</v>
      </c>
      <c r="L10" s="24">
        <v>4200</v>
      </c>
      <c r="M10" s="31">
        <v>165.13</v>
      </c>
      <c r="N10" s="26">
        <f t="shared" si="3"/>
        <v>600.00000000013597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261</v>
      </c>
      <c r="E11" s="134"/>
      <c r="F11" s="133">
        <v>231</v>
      </c>
      <c r="G11" s="134"/>
      <c r="H11" s="20">
        <f t="shared" si="0"/>
        <v>492</v>
      </c>
      <c r="I11" s="21">
        <f t="shared" si="1"/>
        <v>246</v>
      </c>
      <c r="J11" s="22">
        <f t="shared" si="2"/>
        <v>2</v>
      </c>
      <c r="K11" s="23">
        <v>0.16666666666666699</v>
      </c>
      <c r="L11" s="24">
        <v>4000</v>
      </c>
      <c r="M11" s="31">
        <v>165.18</v>
      </c>
      <c r="N11" s="26">
        <f t="shared" si="3"/>
        <v>599.99999999979502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>
        <v>242</v>
      </c>
      <c r="E12" s="134"/>
      <c r="F12" s="133">
        <v>256</v>
      </c>
      <c r="G12" s="134"/>
      <c r="H12" s="20">
        <f t="shared" si="0"/>
        <v>498</v>
      </c>
      <c r="I12" s="21">
        <f t="shared" si="1"/>
        <v>249</v>
      </c>
      <c r="J12" s="22">
        <f t="shared" si="2"/>
        <v>2</v>
      </c>
      <c r="K12" s="23">
        <v>0.20833333333333301</v>
      </c>
      <c r="L12" s="24">
        <v>3900</v>
      </c>
      <c r="M12" s="31">
        <v>165.23</v>
      </c>
      <c r="N12" s="26">
        <f t="shared" si="3"/>
        <v>360.00000000001398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232</v>
      </c>
      <c r="E13" s="134"/>
      <c r="F13" s="133" t="s">
        <v>26</v>
      </c>
      <c r="G13" s="134"/>
      <c r="H13" s="20">
        <f t="shared" si="0"/>
        <v>232</v>
      </c>
      <c r="I13" s="21">
        <f t="shared" si="1"/>
        <v>232</v>
      </c>
      <c r="J13" s="22">
        <f t="shared" si="2"/>
        <v>1</v>
      </c>
      <c r="K13" s="23">
        <v>0.25</v>
      </c>
      <c r="L13" s="24">
        <v>3600</v>
      </c>
      <c r="M13" s="31">
        <v>165.26</v>
      </c>
      <c r="N13" s="26">
        <f t="shared" si="3"/>
        <v>360.00000000001398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244</v>
      </c>
      <c r="E14" s="134"/>
      <c r="F14" s="133" t="s">
        <v>26</v>
      </c>
      <c r="G14" s="134"/>
      <c r="H14" s="20">
        <f t="shared" si="0"/>
        <v>244</v>
      </c>
      <c r="I14" s="21">
        <f t="shared" si="1"/>
        <v>244</v>
      </c>
      <c r="J14" s="22">
        <f t="shared" si="2"/>
        <v>1</v>
      </c>
      <c r="K14" s="23">
        <v>0.29166666666666702</v>
      </c>
      <c r="L14" s="24">
        <v>3600</v>
      </c>
      <c r="M14" s="31">
        <v>165.29</v>
      </c>
      <c r="N14" s="26">
        <f t="shared" si="3"/>
        <v>240.00000000012301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194</v>
      </c>
      <c r="E15" s="134"/>
      <c r="F15" s="133">
        <v>238</v>
      </c>
      <c r="G15" s="134"/>
      <c r="H15" s="20">
        <f t="shared" si="0"/>
        <v>432</v>
      </c>
      <c r="I15" s="21">
        <f t="shared" si="1"/>
        <v>216</v>
      </c>
      <c r="J15" s="22">
        <f t="shared" si="2"/>
        <v>2</v>
      </c>
      <c r="K15" s="23">
        <v>0.33333333333333298</v>
      </c>
      <c r="L15" s="24">
        <v>3600</v>
      </c>
      <c r="M15" s="31">
        <v>165.31</v>
      </c>
      <c r="N15" s="26">
        <f t="shared" si="3"/>
        <v>600.00000000013597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270</v>
      </c>
      <c r="E16" s="134"/>
      <c r="F16" s="133">
        <v>266</v>
      </c>
      <c r="G16" s="134"/>
      <c r="H16" s="20">
        <f t="shared" si="0"/>
        <v>536</v>
      </c>
      <c r="I16" s="21">
        <f t="shared" si="1"/>
        <v>268</v>
      </c>
      <c r="J16" s="22">
        <f t="shared" si="2"/>
        <v>2</v>
      </c>
      <c r="K16" s="23">
        <v>0.375</v>
      </c>
      <c r="L16" s="24">
        <v>3600</v>
      </c>
      <c r="M16" s="31">
        <v>165.36</v>
      </c>
      <c r="N16" s="26">
        <f t="shared" si="3"/>
        <v>599.99999999979502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255</v>
      </c>
      <c r="E17" s="134"/>
      <c r="F17" s="133">
        <v>266</v>
      </c>
      <c r="G17" s="134"/>
      <c r="H17" s="20">
        <f t="shared" si="0"/>
        <v>521</v>
      </c>
      <c r="I17" s="21">
        <f t="shared" si="1"/>
        <v>260.5</v>
      </c>
      <c r="J17" s="22">
        <f t="shared" si="2"/>
        <v>2</v>
      </c>
      <c r="K17" s="23">
        <v>0.41666666666666602</v>
      </c>
      <c r="L17" s="24">
        <v>3400</v>
      </c>
      <c r="M17" s="31">
        <v>165.41</v>
      </c>
      <c r="N17" s="26">
        <f t="shared" si="3"/>
        <v>479.99999999990501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246</v>
      </c>
      <c r="E18" s="134"/>
      <c r="F18" s="133">
        <v>230</v>
      </c>
      <c r="G18" s="134"/>
      <c r="H18" s="20">
        <f t="shared" si="0"/>
        <v>476</v>
      </c>
      <c r="I18" s="21">
        <f t="shared" si="1"/>
        <v>238</v>
      </c>
      <c r="J18" s="22">
        <f t="shared" si="2"/>
        <v>2</v>
      </c>
      <c r="K18" s="23">
        <v>0.45833333333333298</v>
      </c>
      <c r="L18" s="24">
        <v>3300</v>
      </c>
      <c r="M18" s="31">
        <v>165.45</v>
      </c>
      <c r="N18" s="26">
        <f t="shared" si="3"/>
        <v>600.00000000013597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259</v>
      </c>
      <c r="E19" s="134"/>
      <c r="F19" s="133">
        <v>231</v>
      </c>
      <c r="G19" s="134"/>
      <c r="H19" s="20">
        <f t="shared" si="0"/>
        <v>490</v>
      </c>
      <c r="I19" s="21">
        <f t="shared" si="1"/>
        <v>245</v>
      </c>
      <c r="J19" s="22">
        <f t="shared" si="2"/>
        <v>2</v>
      </c>
      <c r="K19" s="23">
        <v>0.5</v>
      </c>
      <c r="L19" s="24">
        <v>3300</v>
      </c>
      <c r="M19" s="31">
        <v>165.5</v>
      </c>
      <c r="N19" s="26">
        <f t="shared" si="3"/>
        <v>479.99999999990501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236</v>
      </c>
      <c r="E20" s="134"/>
      <c r="F20" s="133">
        <v>233</v>
      </c>
      <c r="G20" s="134"/>
      <c r="H20" s="20">
        <f t="shared" si="0"/>
        <v>469</v>
      </c>
      <c r="I20" s="21">
        <f t="shared" si="1"/>
        <v>234.5</v>
      </c>
      <c r="J20" s="22">
        <f t="shared" si="2"/>
        <v>2</v>
      </c>
      <c r="K20" s="23">
        <v>0.54166666666666696</v>
      </c>
      <c r="L20" s="24">
        <v>3000</v>
      </c>
      <c r="M20" s="31">
        <v>165.54</v>
      </c>
      <c r="N20" s="26">
        <f t="shared" si="3"/>
        <v>600.00000000013597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>
        <v>234</v>
      </c>
      <c r="E21" s="134"/>
      <c r="F21" s="133">
        <v>216</v>
      </c>
      <c r="G21" s="134"/>
      <c r="H21" s="20">
        <f t="shared" si="0"/>
        <v>450</v>
      </c>
      <c r="I21" s="21">
        <f t="shared" si="1"/>
        <v>225</v>
      </c>
      <c r="J21" s="22">
        <f t="shared" si="2"/>
        <v>2</v>
      </c>
      <c r="K21" s="23">
        <v>0.58333333333333304</v>
      </c>
      <c r="L21" s="24">
        <v>3000</v>
      </c>
      <c r="M21" s="31">
        <v>165.59</v>
      </c>
      <c r="N21" s="26">
        <f t="shared" si="3"/>
        <v>479.99999999990501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 t="s">
        <v>26</v>
      </c>
      <c r="E22" s="134"/>
      <c r="F22" s="133">
        <v>442</v>
      </c>
      <c r="G22" s="134"/>
      <c r="H22" s="20">
        <f t="shared" si="0"/>
        <v>442</v>
      </c>
      <c r="I22" s="21">
        <f t="shared" si="1"/>
        <v>442</v>
      </c>
      <c r="J22" s="22">
        <f t="shared" si="2"/>
        <v>1</v>
      </c>
      <c r="K22" s="23">
        <v>0.625</v>
      </c>
      <c r="L22" s="24">
        <v>3000</v>
      </c>
      <c r="M22" s="31">
        <v>165.63</v>
      </c>
      <c r="N22" s="26">
        <f t="shared" si="3"/>
        <v>479.99999999990501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 t="s">
        <v>26</v>
      </c>
      <c r="E23" s="134"/>
      <c r="F23" s="133">
        <v>435</v>
      </c>
      <c r="G23" s="134"/>
      <c r="H23" s="20">
        <f t="shared" si="0"/>
        <v>435</v>
      </c>
      <c r="I23" s="21">
        <f t="shared" si="1"/>
        <v>435</v>
      </c>
      <c r="J23" s="22">
        <f t="shared" si="2"/>
        <v>1</v>
      </c>
      <c r="K23" s="23">
        <v>0.66666666666666596</v>
      </c>
      <c r="L23" s="24">
        <v>3000</v>
      </c>
      <c r="M23" s="31">
        <v>165.67</v>
      </c>
      <c r="N23" s="26">
        <f t="shared" si="3"/>
        <v>480.00000000024602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439</v>
      </c>
      <c r="E24" s="134"/>
      <c r="F24" s="133" t="s">
        <v>26</v>
      </c>
      <c r="G24" s="134"/>
      <c r="H24" s="20">
        <f t="shared" si="0"/>
        <v>439</v>
      </c>
      <c r="I24" s="21">
        <f t="shared" si="1"/>
        <v>439</v>
      </c>
      <c r="J24" s="22">
        <f t="shared" si="2"/>
        <v>1</v>
      </c>
      <c r="K24" s="23">
        <v>0.70833333333333304</v>
      </c>
      <c r="L24" s="24">
        <v>2700</v>
      </c>
      <c r="M24" s="31">
        <v>165.71</v>
      </c>
      <c r="N24" s="26">
        <f t="shared" si="3"/>
        <v>479.99999999990501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258</v>
      </c>
      <c r="E25" s="134"/>
      <c r="F25" s="133">
        <v>239</v>
      </c>
      <c r="G25" s="134"/>
      <c r="H25" s="20">
        <f t="shared" si="0"/>
        <v>497</v>
      </c>
      <c r="I25" s="21">
        <f t="shared" si="1"/>
        <v>248.5</v>
      </c>
      <c r="J25" s="22">
        <f t="shared" si="2"/>
        <v>2</v>
      </c>
      <c r="K25" s="23">
        <v>0.75</v>
      </c>
      <c r="L25" s="24">
        <v>2400</v>
      </c>
      <c r="M25" s="31">
        <v>165.75</v>
      </c>
      <c r="N25" s="26">
        <f t="shared" si="3"/>
        <v>720.00000000002694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309</v>
      </c>
      <c r="E26" s="134"/>
      <c r="F26" s="133">
        <v>309</v>
      </c>
      <c r="G26" s="134"/>
      <c r="H26" s="20">
        <f t="shared" si="0"/>
        <v>618</v>
      </c>
      <c r="I26" s="21">
        <f t="shared" si="1"/>
        <v>309</v>
      </c>
      <c r="J26" s="22">
        <f t="shared" si="2"/>
        <v>2</v>
      </c>
      <c r="K26" s="23">
        <v>0.79166666666666596</v>
      </c>
      <c r="L26" s="24">
        <v>2100</v>
      </c>
      <c r="M26" s="31">
        <v>165.81</v>
      </c>
      <c r="N26" s="26">
        <f t="shared" si="3"/>
        <v>839.99999999991803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378</v>
      </c>
      <c r="E27" s="134"/>
      <c r="F27" s="133">
        <v>352</v>
      </c>
      <c r="G27" s="134"/>
      <c r="H27" s="20">
        <f t="shared" si="0"/>
        <v>730</v>
      </c>
      <c r="I27" s="21">
        <f t="shared" si="1"/>
        <v>365</v>
      </c>
      <c r="J27" s="22">
        <f t="shared" si="2"/>
        <v>2</v>
      </c>
      <c r="K27" s="23">
        <v>0.83333333333333304</v>
      </c>
      <c r="L27" s="24">
        <v>2100</v>
      </c>
      <c r="M27" s="31">
        <v>165.88</v>
      </c>
      <c r="N27" s="26">
        <f t="shared" si="3"/>
        <v>600.00000000013597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340</v>
      </c>
      <c r="E28" s="134"/>
      <c r="F28" s="133">
        <v>344</v>
      </c>
      <c r="G28" s="134"/>
      <c r="H28" s="20">
        <f t="shared" si="0"/>
        <v>684</v>
      </c>
      <c r="I28" s="21">
        <f t="shared" si="1"/>
        <v>342</v>
      </c>
      <c r="J28" s="22">
        <f t="shared" si="2"/>
        <v>2</v>
      </c>
      <c r="K28" s="23">
        <v>0.875</v>
      </c>
      <c r="L28" s="24">
        <v>1800</v>
      </c>
      <c r="M28" s="31">
        <v>165.93</v>
      </c>
      <c r="N28" s="26">
        <f t="shared" si="3"/>
        <v>720.00000000002694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317</v>
      </c>
      <c r="E29" s="134"/>
      <c r="F29" s="133">
        <v>309</v>
      </c>
      <c r="G29" s="134"/>
      <c r="H29" s="20">
        <f t="shared" si="0"/>
        <v>626</v>
      </c>
      <c r="I29" s="21">
        <f t="shared" si="1"/>
        <v>313</v>
      </c>
      <c r="J29" s="22">
        <f t="shared" si="2"/>
        <v>2</v>
      </c>
      <c r="K29" s="23">
        <v>0.91666666666666596</v>
      </c>
      <c r="L29" s="24">
        <v>1800</v>
      </c>
      <c r="M29" s="31">
        <v>165.99</v>
      </c>
      <c r="N29" s="26">
        <f t="shared" si="3"/>
        <v>599.99999999979502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291</v>
      </c>
      <c r="E30" s="134"/>
      <c r="F30" s="133">
        <v>295</v>
      </c>
      <c r="G30" s="134"/>
      <c r="H30" s="20">
        <f t="shared" si="0"/>
        <v>586</v>
      </c>
      <c r="I30" s="21">
        <f t="shared" si="1"/>
        <v>293</v>
      </c>
      <c r="J30" s="22">
        <f t="shared" si="2"/>
        <v>2</v>
      </c>
      <c r="K30" s="23">
        <v>0.95833333333333304</v>
      </c>
      <c r="L30" s="24">
        <v>1800</v>
      </c>
      <c r="M30" s="31">
        <v>166.04</v>
      </c>
      <c r="N30" s="26">
        <f t="shared" si="3"/>
        <v>600.00000000013597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274</v>
      </c>
      <c r="E31" s="134"/>
      <c r="F31" s="133">
        <v>273</v>
      </c>
      <c r="G31" s="134"/>
      <c r="H31" s="20">
        <f t="shared" si="0"/>
        <v>547</v>
      </c>
      <c r="I31" s="35">
        <f t="shared" si="1"/>
        <v>273.5</v>
      </c>
      <c r="J31" s="36">
        <f t="shared" si="2"/>
        <v>2</v>
      </c>
      <c r="K31" s="37">
        <v>1</v>
      </c>
      <c r="L31" s="24">
        <v>4500</v>
      </c>
      <c r="M31" s="38">
        <v>166.09</v>
      </c>
      <c r="N31" s="26">
        <f>H31</f>
        <v>547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5.9969999999999999</v>
      </c>
      <c r="E32" s="136"/>
      <c r="F32" s="135">
        <f>SUM(F8:F31)/1000</f>
        <v>5.9509999999999996</v>
      </c>
      <c r="G32" s="136"/>
      <c r="H32" s="40">
        <f>SUM(H8:H31)</f>
        <v>11948</v>
      </c>
      <c r="I32" s="41" t="s">
        <v>13</v>
      </c>
      <c r="J32" s="42"/>
      <c r="K32" s="43"/>
      <c r="L32" s="44"/>
      <c r="M32" s="45">
        <f>SUM(M31-M8+N8)</f>
        <v>481.05000000024597</v>
      </c>
      <c r="N32" s="46">
        <f>SUM(N8:N31)</f>
        <v>13147.0000000001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272.59090909090901</v>
      </c>
      <c r="E33" s="116"/>
      <c r="F33" s="119">
        <f>IFERROR((AVERAGE(F8:F31)),"0")</f>
        <v>283.38095238095201</v>
      </c>
      <c r="G33" s="121"/>
      <c r="H33" s="147">
        <f>H32*1000</f>
        <v>11948000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22</v>
      </c>
      <c r="E35" s="162"/>
      <c r="F35" s="163">
        <f>COUNT(F8:F31)</f>
        <v>21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43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730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497.83333333333297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232</v>
      </c>
      <c r="D41" s="126"/>
      <c r="E41" s="73">
        <f>VLOOKUP(C41,H8:L31,4,FALSE)</f>
        <v>0.25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286.25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-477.78958333332298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356" priority="11" operator="equal">
      <formula>"STB"</formula>
    </cfRule>
    <cfRule type="cellIs" dxfId="355" priority="12" operator="equal">
      <formula>"BD"</formula>
    </cfRule>
  </conditionalFormatting>
  <conditionalFormatting sqref="B8:B31">
    <cfRule type="cellIs" dxfId="354" priority="1" operator="equal">
      <formula>"STB"</formula>
    </cfRule>
    <cfRule type="cellIs" dxfId="353" priority="2" operator="equal">
      <formula>"BD"</formula>
    </cfRule>
  </conditionalFormatting>
  <conditionalFormatting sqref="D8:D31">
    <cfRule type="cellIs" dxfId="352" priority="8" operator="equal">
      <formula>"STB"</formula>
    </cfRule>
    <cfRule type="cellIs" dxfId="351" priority="9" operator="equal">
      <formula>"BD"</formula>
    </cfRule>
  </conditionalFormatting>
  <conditionalFormatting sqref="F8:F31">
    <cfRule type="cellIs" dxfId="350" priority="3" operator="equal">
      <formula>"STB"</formula>
    </cfRule>
    <cfRule type="cellIs" dxfId="349" priority="4" operator="equal">
      <formula>"BD"</formula>
    </cfRule>
  </conditionalFormatting>
  <conditionalFormatting sqref="H8:H31">
    <cfRule type="top10" dxfId="348" priority="5" bottom="1" rank="1"/>
    <cfRule type="top10" dxfId="347" priority="6" rank="1"/>
    <cfRule type="cellIs" dxfId="346" priority="7" stopIfTrue="1" operator="equal">
      <formula>28000</formula>
    </cfRule>
  </conditionalFormatting>
  <conditionalFormatting sqref="H32:H33">
    <cfRule type="top10" dxfId="345" priority="14" bottom="1" rank="1"/>
    <cfRule type="top10" dxfId="344" priority="15" rank="1"/>
    <cfRule type="cellIs" dxfId="343" priority="17" stopIfTrue="1" operator="equal">
      <formula>28000</formula>
    </cfRule>
  </conditionalFormatting>
  <conditionalFormatting sqref="N8 N9:O31">
    <cfRule type="cellIs" dxfId="342" priority="16" operator="equal">
      <formula>"BD"</formula>
    </cfRule>
  </conditionalFormatting>
  <conditionalFormatting sqref="O8">
    <cfRule type="cellIs" dxfId="341" priority="10" operator="equal">
      <formula>"N/A"</formula>
    </cfRule>
  </conditionalFormatting>
  <conditionalFormatting sqref="Y8:Y31">
    <cfRule type="containsText" dxfId="340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C68"/>
  <sheetViews>
    <sheetView zoomScale="80" zoomScaleNormal="80" workbookViewId="0">
      <pane ySplit="7" topLeftCell="A9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'[12]Taniwel daily'!C4</f>
        <v>45303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247</v>
      </c>
      <c r="E8" s="134"/>
      <c r="F8" s="133">
        <v>249</v>
      </c>
      <c r="G8" s="134"/>
      <c r="H8" s="20">
        <f t="shared" ref="H8:H31" si="0">IF(SUM(B8:G8)/1000=0,"0",SUM(B8:G8))</f>
        <v>496</v>
      </c>
      <c r="I8" s="21">
        <f t="shared" ref="I8:I31" si="1">IFERROR(AVERAGE(B8:G8),"0")</f>
        <v>248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166.14</v>
      </c>
      <c r="N8" s="26">
        <f>(M9-M8)*12000</f>
        <v>600.00000000013597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236</v>
      </c>
      <c r="E9" s="134"/>
      <c r="F9" s="133">
        <v>238</v>
      </c>
      <c r="G9" s="134"/>
      <c r="H9" s="20">
        <f t="shared" si="0"/>
        <v>474</v>
      </c>
      <c r="I9" s="21">
        <f t="shared" si="1"/>
        <v>237</v>
      </c>
      <c r="J9" s="22">
        <f t="shared" si="2"/>
        <v>2</v>
      </c>
      <c r="K9" s="23">
        <v>8.3333333333333301E-2</v>
      </c>
      <c r="L9" s="24">
        <v>4200</v>
      </c>
      <c r="M9" s="31">
        <v>166.19</v>
      </c>
      <c r="N9" s="26">
        <f t="shared" ref="N9:N30" si="3">(M10-M9)*12000</f>
        <v>600.00000000013597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226</v>
      </c>
      <c r="E10" s="134"/>
      <c r="F10" s="133">
        <v>264</v>
      </c>
      <c r="G10" s="134"/>
      <c r="H10" s="20">
        <f t="shared" si="0"/>
        <v>490</v>
      </c>
      <c r="I10" s="21">
        <f t="shared" si="1"/>
        <v>245</v>
      </c>
      <c r="J10" s="22">
        <f t="shared" si="2"/>
        <v>2</v>
      </c>
      <c r="K10" s="23">
        <v>0.125</v>
      </c>
      <c r="L10" s="24">
        <v>4200</v>
      </c>
      <c r="M10" s="31">
        <v>166.24</v>
      </c>
      <c r="N10" s="26">
        <f t="shared" si="3"/>
        <v>479.99999999990501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239</v>
      </c>
      <c r="E11" s="134"/>
      <c r="F11" s="133">
        <v>249</v>
      </c>
      <c r="G11" s="134"/>
      <c r="H11" s="20">
        <f t="shared" si="0"/>
        <v>488</v>
      </c>
      <c r="I11" s="21">
        <f t="shared" si="1"/>
        <v>244</v>
      </c>
      <c r="J11" s="22">
        <f t="shared" si="2"/>
        <v>2</v>
      </c>
      <c r="K11" s="23">
        <v>0.16666666666666699</v>
      </c>
      <c r="L11" s="24">
        <v>4000</v>
      </c>
      <c r="M11" s="31">
        <v>166.28</v>
      </c>
      <c r="N11" s="26">
        <f t="shared" si="3"/>
        <v>600.00000000013597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>
        <v>246</v>
      </c>
      <c r="E12" s="134"/>
      <c r="F12" s="133">
        <v>242</v>
      </c>
      <c r="G12" s="134"/>
      <c r="H12" s="20">
        <f t="shared" si="0"/>
        <v>488</v>
      </c>
      <c r="I12" s="21">
        <f t="shared" si="1"/>
        <v>244</v>
      </c>
      <c r="J12" s="22">
        <f t="shared" si="2"/>
        <v>2</v>
      </c>
      <c r="K12" s="23">
        <v>0.20833333333333301</v>
      </c>
      <c r="L12" s="24">
        <v>3900</v>
      </c>
      <c r="M12" s="31">
        <v>166.33</v>
      </c>
      <c r="N12" s="26">
        <f t="shared" si="3"/>
        <v>599.99999999979502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271</v>
      </c>
      <c r="E13" s="134"/>
      <c r="F13" s="133">
        <v>243</v>
      </c>
      <c r="G13" s="134"/>
      <c r="H13" s="20">
        <f t="shared" si="0"/>
        <v>514</v>
      </c>
      <c r="I13" s="21">
        <f t="shared" si="1"/>
        <v>257</v>
      </c>
      <c r="J13" s="22">
        <f t="shared" si="2"/>
        <v>2</v>
      </c>
      <c r="K13" s="23">
        <v>0.25</v>
      </c>
      <c r="L13" s="24">
        <v>3600</v>
      </c>
      <c r="M13" s="31">
        <v>166.38</v>
      </c>
      <c r="N13" s="26">
        <f t="shared" si="3"/>
        <v>600.00000000013597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269.27499999999998</v>
      </c>
      <c r="E14" s="134"/>
      <c r="F14" s="133">
        <v>275</v>
      </c>
      <c r="G14" s="134"/>
      <c r="H14" s="20">
        <f t="shared" si="0"/>
        <v>544.27499999999998</v>
      </c>
      <c r="I14" s="21">
        <f t="shared" si="1"/>
        <v>272.13749999999999</v>
      </c>
      <c r="J14" s="22">
        <f t="shared" si="2"/>
        <v>2</v>
      </c>
      <c r="K14" s="23">
        <v>0.29166666666666702</v>
      </c>
      <c r="L14" s="24">
        <v>3600</v>
      </c>
      <c r="M14" s="31">
        <v>166.43</v>
      </c>
      <c r="N14" s="26">
        <f t="shared" si="3"/>
        <v>479.99999999990501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 t="s">
        <v>26</v>
      </c>
      <c r="E15" s="134"/>
      <c r="F15" s="133">
        <v>233</v>
      </c>
      <c r="G15" s="134"/>
      <c r="H15" s="20">
        <f t="shared" si="0"/>
        <v>233</v>
      </c>
      <c r="I15" s="21">
        <f t="shared" si="1"/>
        <v>233</v>
      </c>
      <c r="J15" s="22">
        <f t="shared" si="2"/>
        <v>1</v>
      </c>
      <c r="K15" s="23">
        <v>0.33333333333333298</v>
      </c>
      <c r="L15" s="24">
        <v>3600</v>
      </c>
      <c r="M15" s="31">
        <v>166.47</v>
      </c>
      <c r="N15" s="26">
        <f t="shared" si="3"/>
        <v>360.00000000001398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393</v>
      </c>
      <c r="E16" s="134"/>
      <c r="F16" s="133" t="s">
        <v>26</v>
      </c>
      <c r="G16" s="134"/>
      <c r="H16" s="20">
        <f t="shared" si="0"/>
        <v>393</v>
      </c>
      <c r="I16" s="21">
        <f t="shared" si="1"/>
        <v>393</v>
      </c>
      <c r="J16" s="22">
        <f t="shared" si="2"/>
        <v>1</v>
      </c>
      <c r="K16" s="23">
        <v>0.375</v>
      </c>
      <c r="L16" s="24">
        <v>3600</v>
      </c>
      <c r="M16" s="31">
        <v>166.5</v>
      </c>
      <c r="N16" s="26">
        <f t="shared" si="3"/>
        <v>479.99999999990501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443</v>
      </c>
      <c r="E17" s="134"/>
      <c r="F17" s="133" t="s">
        <v>26</v>
      </c>
      <c r="G17" s="134"/>
      <c r="H17" s="20">
        <f t="shared" si="0"/>
        <v>443</v>
      </c>
      <c r="I17" s="21">
        <f t="shared" si="1"/>
        <v>443</v>
      </c>
      <c r="J17" s="22">
        <f t="shared" si="2"/>
        <v>1</v>
      </c>
      <c r="K17" s="23">
        <v>0.41666666666666602</v>
      </c>
      <c r="L17" s="24">
        <v>3400</v>
      </c>
      <c r="M17" s="31">
        <v>166.54</v>
      </c>
      <c r="N17" s="26">
        <f t="shared" si="3"/>
        <v>480.00000000024602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 t="s">
        <v>26</v>
      </c>
      <c r="E18" s="134"/>
      <c r="F18" s="133">
        <v>440</v>
      </c>
      <c r="G18" s="134"/>
      <c r="H18" s="20">
        <f t="shared" si="0"/>
        <v>440</v>
      </c>
      <c r="I18" s="21">
        <f t="shared" si="1"/>
        <v>440</v>
      </c>
      <c r="J18" s="22">
        <f t="shared" si="2"/>
        <v>1</v>
      </c>
      <c r="K18" s="23">
        <v>0.45833333333333298</v>
      </c>
      <c r="L18" s="24">
        <v>3300</v>
      </c>
      <c r="M18" s="31">
        <v>166.58</v>
      </c>
      <c r="N18" s="26">
        <f t="shared" si="3"/>
        <v>479.99999999990501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 t="s">
        <v>26</v>
      </c>
      <c r="E19" s="134"/>
      <c r="F19" s="133">
        <v>432</v>
      </c>
      <c r="G19" s="134"/>
      <c r="H19" s="20">
        <f t="shared" si="0"/>
        <v>432</v>
      </c>
      <c r="I19" s="21">
        <f t="shared" si="1"/>
        <v>432</v>
      </c>
      <c r="J19" s="22">
        <f t="shared" si="2"/>
        <v>1</v>
      </c>
      <c r="K19" s="23">
        <v>0.5</v>
      </c>
      <c r="L19" s="24">
        <v>3300</v>
      </c>
      <c r="M19" s="31">
        <v>166.62</v>
      </c>
      <c r="N19" s="26">
        <f t="shared" si="3"/>
        <v>360.00000000001398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495</v>
      </c>
      <c r="E20" s="134"/>
      <c r="F20" s="133" t="s">
        <v>26</v>
      </c>
      <c r="G20" s="134"/>
      <c r="H20" s="20">
        <f t="shared" si="0"/>
        <v>495</v>
      </c>
      <c r="I20" s="21">
        <f t="shared" si="1"/>
        <v>495</v>
      </c>
      <c r="J20" s="22">
        <f t="shared" si="2"/>
        <v>1</v>
      </c>
      <c r="K20" s="23">
        <v>0.54166666666666696</v>
      </c>
      <c r="L20" s="24">
        <v>3000</v>
      </c>
      <c r="M20" s="31">
        <v>166.65</v>
      </c>
      <c r="N20" s="26">
        <f t="shared" si="3"/>
        <v>479.99999999990501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>
        <v>394</v>
      </c>
      <c r="E21" s="134"/>
      <c r="F21" s="133" t="s">
        <v>26</v>
      </c>
      <c r="G21" s="134"/>
      <c r="H21" s="20">
        <f t="shared" si="0"/>
        <v>394</v>
      </c>
      <c r="I21" s="21">
        <f t="shared" si="1"/>
        <v>394</v>
      </c>
      <c r="J21" s="22">
        <f t="shared" si="2"/>
        <v>1</v>
      </c>
      <c r="K21" s="23">
        <v>0.58333333333333304</v>
      </c>
      <c r="L21" s="24">
        <v>3000</v>
      </c>
      <c r="M21" s="31">
        <v>166.69</v>
      </c>
      <c r="N21" s="26">
        <f t="shared" si="3"/>
        <v>360.00000000001398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 t="s">
        <v>26</v>
      </c>
      <c r="E22" s="134"/>
      <c r="F22" s="133">
        <v>376</v>
      </c>
      <c r="G22" s="134"/>
      <c r="H22" s="20">
        <f t="shared" si="0"/>
        <v>376</v>
      </c>
      <c r="I22" s="21">
        <f t="shared" si="1"/>
        <v>376</v>
      </c>
      <c r="J22" s="22">
        <f t="shared" si="2"/>
        <v>1</v>
      </c>
      <c r="K22" s="23">
        <v>0.625</v>
      </c>
      <c r="L22" s="24">
        <v>3000</v>
      </c>
      <c r="M22" s="31">
        <v>166.72</v>
      </c>
      <c r="N22" s="26">
        <f t="shared" si="3"/>
        <v>479.99999999990501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382</v>
      </c>
      <c r="E23" s="134"/>
      <c r="F23" s="133" t="s">
        <v>26</v>
      </c>
      <c r="G23" s="134"/>
      <c r="H23" s="20">
        <f t="shared" si="0"/>
        <v>382</v>
      </c>
      <c r="I23" s="21">
        <f t="shared" si="1"/>
        <v>382</v>
      </c>
      <c r="J23" s="22">
        <f t="shared" si="2"/>
        <v>1</v>
      </c>
      <c r="K23" s="23">
        <v>0.66666666666666596</v>
      </c>
      <c r="L23" s="24">
        <v>3000</v>
      </c>
      <c r="M23" s="31">
        <v>166.76</v>
      </c>
      <c r="N23" s="26">
        <f t="shared" si="3"/>
        <v>480.00000000024602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389</v>
      </c>
      <c r="E24" s="134"/>
      <c r="F24" s="133" t="s">
        <v>26</v>
      </c>
      <c r="G24" s="134"/>
      <c r="H24" s="20">
        <f t="shared" si="0"/>
        <v>389</v>
      </c>
      <c r="I24" s="21">
        <f t="shared" si="1"/>
        <v>389</v>
      </c>
      <c r="J24" s="22">
        <f t="shared" si="2"/>
        <v>1</v>
      </c>
      <c r="K24" s="23">
        <v>0.70833333333333304</v>
      </c>
      <c r="L24" s="24">
        <v>2700</v>
      </c>
      <c r="M24" s="31">
        <v>166.8</v>
      </c>
      <c r="N24" s="26">
        <f t="shared" si="3"/>
        <v>479.99999999990501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232</v>
      </c>
      <c r="E25" s="134"/>
      <c r="F25" s="133">
        <v>190</v>
      </c>
      <c r="G25" s="134"/>
      <c r="H25" s="20">
        <f t="shared" si="0"/>
        <v>422</v>
      </c>
      <c r="I25" s="21">
        <f t="shared" si="1"/>
        <v>211</v>
      </c>
      <c r="J25" s="22">
        <f t="shared" si="2"/>
        <v>2</v>
      </c>
      <c r="K25" s="23">
        <v>0.75</v>
      </c>
      <c r="L25" s="24">
        <v>2400</v>
      </c>
      <c r="M25" s="31">
        <v>166.84</v>
      </c>
      <c r="N25" s="26">
        <f t="shared" si="3"/>
        <v>479.99999999990501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297</v>
      </c>
      <c r="E26" s="134"/>
      <c r="F26" s="133">
        <v>281</v>
      </c>
      <c r="G26" s="134"/>
      <c r="H26" s="20">
        <f t="shared" si="0"/>
        <v>578</v>
      </c>
      <c r="I26" s="21">
        <f t="shared" si="1"/>
        <v>289</v>
      </c>
      <c r="J26" s="22">
        <f t="shared" si="2"/>
        <v>2</v>
      </c>
      <c r="K26" s="23">
        <v>0.79166666666666596</v>
      </c>
      <c r="L26" s="24">
        <v>2100</v>
      </c>
      <c r="M26" s="31">
        <v>166.88</v>
      </c>
      <c r="N26" s="26">
        <f t="shared" si="3"/>
        <v>720.00000000002694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298</v>
      </c>
      <c r="E27" s="134"/>
      <c r="F27" s="133">
        <v>314</v>
      </c>
      <c r="G27" s="134"/>
      <c r="H27" s="20">
        <f t="shared" si="0"/>
        <v>612</v>
      </c>
      <c r="I27" s="21">
        <f t="shared" si="1"/>
        <v>306</v>
      </c>
      <c r="J27" s="22">
        <f t="shared" si="2"/>
        <v>2</v>
      </c>
      <c r="K27" s="23">
        <v>0.83333333333333304</v>
      </c>
      <c r="L27" s="24">
        <v>2100</v>
      </c>
      <c r="M27" s="31">
        <v>166.94</v>
      </c>
      <c r="N27" s="26">
        <f t="shared" si="3"/>
        <v>720.00000000002694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274</v>
      </c>
      <c r="E28" s="134"/>
      <c r="F28" s="133">
        <v>296</v>
      </c>
      <c r="G28" s="134"/>
      <c r="H28" s="20">
        <f t="shared" si="0"/>
        <v>570</v>
      </c>
      <c r="I28" s="21">
        <f t="shared" si="1"/>
        <v>285</v>
      </c>
      <c r="J28" s="22">
        <f t="shared" si="2"/>
        <v>2</v>
      </c>
      <c r="K28" s="23">
        <v>0.875</v>
      </c>
      <c r="L28" s="24">
        <v>1800</v>
      </c>
      <c r="M28" s="31">
        <v>167</v>
      </c>
      <c r="N28" s="26">
        <f t="shared" si="3"/>
        <v>600.00000000013597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276</v>
      </c>
      <c r="E29" s="134"/>
      <c r="F29" s="133">
        <v>250</v>
      </c>
      <c r="G29" s="134"/>
      <c r="H29" s="20">
        <f t="shared" si="0"/>
        <v>526</v>
      </c>
      <c r="I29" s="21">
        <f t="shared" si="1"/>
        <v>263</v>
      </c>
      <c r="J29" s="22">
        <f t="shared" si="2"/>
        <v>2</v>
      </c>
      <c r="K29" s="23">
        <v>0.91666666666666596</v>
      </c>
      <c r="L29" s="24">
        <v>1800</v>
      </c>
      <c r="M29" s="31">
        <v>167.05</v>
      </c>
      <c r="N29" s="26">
        <f t="shared" si="3"/>
        <v>479.99999999990501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251</v>
      </c>
      <c r="E30" s="134"/>
      <c r="F30" s="133">
        <v>234</v>
      </c>
      <c r="G30" s="134"/>
      <c r="H30" s="20">
        <f t="shared" si="0"/>
        <v>485</v>
      </c>
      <c r="I30" s="21">
        <f t="shared" si="1"/>
        <v>242.5</v>
      </c>
      <c r="J30" s="22">
        <f t="shared" si="2"/>
        <v>2</v>
      </c>
      <c r="K30" s="23">
        <v>0.95833333333333304</v>
      </c>
      <c r="L30" s="24">
        <v>1800</v>
      </c>
      <c r="M30" s="31">
        <v>167.09</v>
      </c>
      <c r="N30" s="26">
        <f t="shared" si="3"/>
        <v>599.99999999979502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222</v>
      </c>
      <c r="E31" s="134"/>
      <c r="F31" s="133">
        <v>237</v>
      </c>
      <c r="G31" s="134"/>
      <c r="H31" s="20">
        <f t="shared" si="0"/>
        <v>459</v>
      </c>
      <c r="I31" s="35">
        <f t="shared" si="1"/>
        <v>229.5</v>
      </c>
      <c r="J31" s="36">
        <f t="shared" si="2"/>
        <v>2</v>
      </c>
      <c r="K31" s="37">
        <v>1</v>
      </c>
      <c r="L31" s="24">
        <v>4500</v>
      </c>
      <c r="M31" s="38">
        <v>167.14</v>
      </c>
      <c r="N31" s="26">
        <f>H31</f>
        <v>459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6.0802750000000003</v>
      </c>
      <c r="E32" s="136"/>
      <c r="F32" s="135">
        <f>SUM(F8:F31)/1000</f>
        <v>5.0430000000000001</v>
      </c>
      <c r="G32" s="136"/>
      <c r="H32" s="40">
        <f>SUM(H8:H31)</f>
        <v>11123.275</v>
      </c>
      <c r="I32" s="41" t="s">
        <v>13</v>
      </c>
      <c r="J32" s="42"/>
      <c r="K32" s="43"/>
      <c r="L32" s="44"/>
      <c r="M32" s="45">
        <f>SUM(M31-M8+N8)</f>
        <v>601.00000000013597</v>
      </c>
      <c r="N32" s="46">
        <f>SUM(N8:N31)</f>
        <v>12459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304.01375000000002</v>
      </c>
      <c r="E33" s="116"/>
      <c r="F33" s="119">
        <f>IFERROR((AVERAGE(F8:F31)),"0")</f>
        <v>280.16666666666703</v>
      </c>
      <c r="G33" s="121"/>
      <c r="H33" s="147">
        <f>H32*1000</f>
        <v>11123275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20</v>
      </c>
      <c r="E35" s="162"/>
      <c r="F35" s="163">
        <f>COUNT(F8:F31)</f>
        <v>18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38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612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463.46979166666699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233</v>
      </c>
      <c r="D41" s="126"/>
      <c r="E41" s="73">
        <f>VLOOKUP(C41,H8:L31,4,FALSE)</f>
        <v>0.33333333333333298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314.58906250000001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-438.428124999994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339" priority="11" operator="equal">
      <formula>"STB"</formula>
    </cfRule>
    <cfRule type="cellIs" dxfId="338" priority="12" operator="equal">
      <formula>"BD"</formula>
    </cfRule>
  </conditionalFormatting>
  <conditionalFormatting sqref="B8:B31">
    <cfRule type="cellIs" dxfId="337" priority="1" operator="equal">
      <formula>"STB"</formula>
    </cfRule>
    <cfRule type="cellIs" dxfId="336" priority="2" operator="equal">
      <formula>"BD"</formula>
    </cfRule>
  </conditionalFormatting>
  <conditionalFormatting sqref="D8:D31">
    <cfRule type="cellIs" dxfId="335" priority="8" operator="equal">
      <formula>"STB"</formula>
    </cfRule>
    <cfRule type="cellIs" dxfId="334" priority="9" operator="equal">
      <formula>"BD"</formula>
    </cfRule>
  </conditionalFormatting>
  <conditionalFormatting sqref="F8:F31">
    <cfRule type="cellIs" dxfId="333" priority="3" operator="equal">
      <formula>"STB"</formula>
    </cfRule>
    <cfRule type="cellIs" dxfId="332" priority="4" operator="equal">
      <formula>"BD"</formula>
    </cfRule>
  </conditionalFormatting>
  <conditionalFormatting sqref="H8:H31">
    <cfRule type="top10" dxfId="331" priority="5" bottom="1" rank="1"/>
    <cfRule type="top10" dxfId="330" priority="6" rank="1"/>
    <cfRule type="cellIs" dxfId="329" priority="7" stopIfTrue="1" operator="equal">
      <formula>28000</formula>
    </cfRule>
  </conditionalFormatting>
  <conditionalFormatting sqref="H32:H33">
    <cfRule type="top10" dxfId="328" priority="14" bottom="1" rank="1"/>
    <cfRule type="top10" dxfId="327" priority="15" rank="1"/>
    <cfRule type="cellIs" dxfId="326" priority="17" stopIfTrue="1" operator="equal">
      <formula>28000</formula>
    </cfRule>
  </conditionalFormatting>
  <conditionalFormatting sqref="N8 N9:O31">
    <cfRule type="cellIs" dxfId="325" priority="16" operator="equal">
      <formula>"BD"</formula>
    </cfRule>
  </conditionalFormatting>
  <conditionalFormatting sqref="O8">
    <cfRule type="cellIs" dxfId="324" priority="10" operator="equal">
      <formula>"N/A"</formula>
    </cfRule>
  </conditionalFormatting>
  <conditionalFormatting sqref="Y8:Y31">
    <cfRule type="containsText" dxfId="323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AC68"/>
  <sheetViews>
    <sheetView zoomScale="80" zoomScaleNormal="80" workbookViewId="0">
      <pane ySplit="7" topLeftCell="A9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'[13]Taniwel daily'!C4</f>
        <v>45304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230</v>
      </c>
      <c r="E8" s="134"/>
      <c r="F8" s="133">
        <v>284</v>
      </c>
      <c r="G8" s="134"/>
      <c r="H8" s="20">
        <f t="shared" ref="H8:H31" si="0">IF(SUM(B8:G8)/1000=0,"0",SUM(B8:G8))</f>
        <v>514</v>
      </c>
      <c r="I8" s="21">
        <f t="shared" ref="I8:I31" si="1">IFERROR(AVERAGE(B8:G8),"0")</f>
        <v>257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167.18</v>
      </c>
      <c r="N8" s="26">
        <f>(M9-M8)*12000</f>
        <v>599.99999999979502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259</v>
      </c>
      <c r="E9" s="134"/>
      <c r="F9" s="133">
        <v>245</v>
      </c>
      <c r="G9" s="134"/>
      <c r="H9" s="20">
        <f t="shared" si="0"/>
        <v>504</v>
      </c>
      <c r="I9" s="21">
        <f t="shared" si="1"/>
        <v>252</v>
      </c>
      <c r="J9" s="22">
        <f t="shared" si="2"/>
        <v>2</v>
      </c>
      <c r="K9" s="23">
        <v>8.3333333333333301E-2</v>
      </c>
      <c r="L9" s="24">
        <v>4200</v>
      </c>
      <c r="M9" s="31">
        <v>167.23</v>
      </c>
      <c r="N9" s="26">
        <f t="shared" ref="N9:N30" si="3">(M10-M9)*12000</f>
        <v>600.00000000013597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256</v>
      </c>
      <c r="E10" s="134"/>
      <c r="F10" s="133">
        <v>229</v>
      </c>
      <c r="G10" s="134"/>
      <c r="H10" s="20">
        <f t="shared" si="0"/>
        <v>485</v>
      </c>
      <c r="I10" s="21">
        <f t="shared" si="1"/>
        <v>242.5</v>
      </c>
      <c r="J10" s="22">
        <f t="shared" si="2"/>
        <v>2</v>
      </c>
      <c r="K10" s="23">
        <v>0.125</v>
      </c>
      <c r="L10" s="24">
        <v>4200</v>
      </c>
      <c r="M10" s="31">
        <v>167.28</v>
      </c>
      <c r="N10" s="26">
        <f t="shared" si="3"/>
        <v>479.99999999990501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242</v>
      </c>
      <c r="E11" s="134"/>
      <c r="F11" s="133">
        <v>246</v>
      </c>
      <c r="G11" s="134"/>
      <c r="H11" s="20">
        <f t="shared" si="0"/>
        <v>488</v>
      </c>
      <c r="I11" s="21">
        <f t="shared" si="1"/>
        <v>244</v>
      </c>
      <c r="J11" s="22">
        <f t="shared" si="2"/>
        <v>2</v>
      </c>
      <c r="K11" s="23">
        <v>0.16666666666666699</v>
      </c>
      <c r="L11" s="24">
        <v>4000</v>
      </c>
      <c r="M11" s="31">
        <v>167.32</v>
      </c>
      <c r="N11" s="26">
        <f t="shared" si="3"/>
        <v>480.00000000024602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>
        <v>241</v>
      </c>
      <c r="E12" s="134"/>
      <c r="F12" s="133">
        <v>250</v>
      </c>
      <c r="G12" s="134"/>
      <c r="H12" s="20">
        <f t="shared" si="0"/>
        <v>491</v>
      </c>
      <c r="I12" s="21">
        <f t="shared" si="1"/>
        <v>245.5</v>
      </c>
      <c r="J12" s="22">
        <f t="shared" si="2"/>
        <v>2</v>
      </c>
      <c r="K12" s="23">
        <v>0.20833333333333301</v>
      </c>
      <c r="L12" s="24">
        <v>3900</v>
      </c>
      <c r="M12" s="31">
        <v>167.36</v>
      </c>
      <c r="N12" s="26">
        <f t="shared" si="3"/>
        <v>839.99999999991803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283</v>
      </c>
      <c r="E13" s="134"/>
      <c r="F13" s="133">
        <v>248</v>
      </c>
      <c r="G13" s="134"/>
      <c r="H13" s="20">
        <f t="shared" si="0"/>
        <v>531</v>
      </c>
      <c r="I13" s="21">
        <f t="shared" si="1"/>
        <v>265.5</v>
      </c>
      <c r="J13" s="22">
        <f t="shared" si="2"/>
        <v>2</v>
      </c>
      <c r="K13" s="23">
        <v>0.25</v>
      </c>
      <c r="L13" s="24">
        <v>3600</v>
      </c>
      <c r="M13" s="31">
        <v>167.43</v>
      </c>
      <c r="N13" s="26">
        <f t="shared" si="3"/>
        <v>479.99999999990501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259</v>
      </c>
      <c r="E14" s="134"/>
      <c r="F14" s="133">
        <v>294</v>
      </c>
      <c r="G14" s="134"/>
      <c r="H14" s="20">
        <f t="shared" si="0"/>
        <v>553</v>
      </c>
      <c r="I14" s="21">
        <f t="shared" si="1"/>
        <v>276.5</v>
      </c>
      <c r="J14" s="22">
        <f t="shared" si="2"/>
        <v>2</v>
      </c>
      <c r="K14" s="23">
        <v>0.29166666666666702</v>
      </c>
      <c r="L14" s="24">
        <v>3600</v>
      </c>
      <c r="M14" s="31">
        <v>167.47</v>
      </c>
      <c r="N14" s="26">
        <f t="shared" si="3"/>
        <v>479.99999999990501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259</v>
      </c>
      <c r="E15" s="134"/>
      <c r="F15" s="133">
        <v>279</v>
      </c>
      <c r="G15" s="134"/>
      <c r="H15" s="20">
        <f t="shared" si="0"/>
        <v>538</v>
      </c>
      <c r="I15" s="21">
        <f t="shared" si="1"/>
        <v>269</v>
      </c>
      <c r="J15" s="22">
        <f t="shared" si="2"/>
        <v>2</v>
      </c>
      <c r="K15" s="23">
        <v>0.33333333333333298</v>
      </c>
      <c r="L15" s="24">
        <v>3600</v>
      </c>
      <c r="M15" s="31">
        <v>167.51</v>
      </c>
      <c r="N15" s="26">
        <f t="shared" si="3"/>
        <v>600.00000000013597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261</v>
      </c>
      <c r="E16" s="134"/>
      <c r="F16" s="133">
        <v>260</v>
      </c>
      <c r="G16" s="134"/>
      <c r="H16" s="20">
        <f t="shared" si="0"/>
        <v>521</v>
      </c>
      <c r="I16" s="21">
        <f t="shared" si="1"/>
        <v>260.5</v>
      </c>
      <c r="J16" s="22">
        <f t="shared" si="2"/>
        <v>2</v>
      </c>
      <c r="K16" s="23">
        <v>0.375</v>
      </c>
      <c r="L16" s="24">
        <v>3600</v>
      </c>
      <c r="M16" s="31">
        <v>167.56</v>
      </c>
      <c r="N16" s="26">
        <f t="shared" si="3"/>
        <v>600.00000000013597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252</v>
      </c>
      <c r="E17" s="134"/>
      <c r="F17" s="133">
        <v>260</v>
      </c>
      <c r="G17" s="134"/>
      <c r="H17" s="20">
        <f t="shared" si="0"/>
        <v>512</v>
      </c>
      <c r="I17" s="21">
        <f t="shared" si="1"/>
        <v>256</v>
      </c>
      <c r="J17" s="22">
        <f t="shared" si="2"/>
        <v>2</v>
      </c>
      <c r="K17" s="23">
        <v>0.41666666666666602</v>
      </c>
      <c r="L17" s="24">
        <v>3400</v>
      </c>
      <c r="M17" s="31">
        <v>167.61</v>
      </c>
      <c r="N17" s="26">
        <f t="shared" si="3"/>
        <v>599.99999999979502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230</v>
      </c>
      <c r="E18" s="134"/>
      <c r="F18" s="133">
        <v>233</v>
      </c>
      <c r="G18" s="134"/>
      <c r="H18" s="20">
        <f t="shared" si="0"/>
        <v>463</v>
      </c>
      <c r="I18" s="21">
        <f t="shared" si="1"/>
        <v>231.5</v>
      </c>
      <c r="J18" s="22">
        <f t="shared" si="2"/>
        <v>2</v>
      </c>
      <c r="K18" s="23">
        <v>0.45833333333333298</v>
      </c>
      <c r="L18" s="24">
        <v>3300</v>
      </c>
      <c r="M18" s="31">
        <v>167.66</v>
      </c>
      <c r="N18" s="26">
        <f t="shared" si="3"/>
        <v>479.99999999990501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238</v>
      </c>
      <c r="E19" s="134"/>
      <c r="F19" s="133">
        <v>227</v>
      </c>
      <c r="G19" s="134"/>
      <c r="H19" s="20">
        <f t="shared" si="0"/>
        <v>465</v>
      </c>
      <c r="I19" s="21">
        <f t="shared" si="1"/>
        <v>232.5</v>
      </c>
      <c r="J19" s="22">
        <f t="shared" si="2"/>
        <v>2</v>
      </c>
      <c r="K19" s="23">
        <v>0.5</v>
      </c>
      <c r="L19" s="24">
        <v>3300</v>
      </c>
      <c r="M19" s="31">
        <v>167.7</v>
      </c>
      <c r="N19" s="26">
        <f t="shared" si="3"/>
        <v>600.00000000013597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444</v>
      </c>
      <c r="E20" s="134"/>
      <c r="F20" s="133" t="s">
        <v>26</v>
      </c>
      <c r="G20" s="134"/>
      <c r="H20" s="20">
        <f t="shared" si="0"/>
        <v>444</v>
      </c>
      <c r="I20" s="21">
        <f t="shared" si="1"/>
        <v>444</v>
      </c>
      <c r="J20" s="22">
        <f t="shared" si="2"/>
        <v>1</v>
      </c>
      <c r="K20" s="23">
        <v>0.54166666666666696</v>
      </c>
      <c r="L20" s="24">
        <v>3000</v>
      </c>
      <c r="M20" s="31">
        <v>167.75</v>
      </c>
      <c r="N20" s="26">
        <f t="shared" si="3"/>
        <v>479.99999999990501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>
        <v>432</v>
      </c>
      <c r="E21" s="134"/>
      <c r="F21" s="133" t="s">
        <v>26</v>
      </c>
      <c r="G21" s="134"/>
      <c r="H21" s="20">
        <f t="shared" si="0"/>
        <v>432</v>
      </c>
      <c r="I21" s="21">
        <f t="shared" si="1"/>
        <v>432</v>
      </c>
      <c r="J21" s="22">
        <f t="shared" si="2"/>
        <v>1</v>
      </c>
      <c r="K21" s="23">
        <v>0.58333333333333304</v>
      </c>
      <c r="L21" s="24">
        <v>3000</v>
      </c>
      <c r="M21" s="31">
        <v>167.79</v>
      </c>
      <c r="N21" s="26">
        <f t="shared" si="3"/>
        <v>480.00000000024602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>
        <v>423</v>
      </c>
      <c r="E22" s="134"/>
      <c r="F22" s="133" t="s">
        <v>26</v>
      </c>
      <c r="G22" s="134"/>
      <c r="H22" s="20">
        <f t="shared" si="0"/>
        <v>423</v>
      </c>
      <c r="I22" s="21">
        <f t="shared" si="1"/>
        <v>423</v>
      </c>
      <c r="J22" s="22">
        <f t="shared" si="2"/>
        <v>1</v>
      </c>
      <c r="K22" s="23">
        <v>0.625</v>
      </c>
      <c r="L22" s="24">
        <v>3000</v>
      </c>
      <c r="M22" s="31">
        <v>167.83</v>
      </c>
      <c r="N22" s="26">
        <f t="shared" si="3"/>
        <v>479.99999999990501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416</v>
      </c>
      <c r="E23" s="134"/>
      <c r="F23" s="133" t="s">
        <v>26</v>
      </c>
      <c r="G23" s="134"/>
      <c r="H23" s="20">
        <f t="shared" si="0"/>
        <v>416</v>
      </c>
      <c r="I23" s="21">
        <f t="shared" si="1"/>
        <v>416</v>
      </c>
      <c r="J23" s="22">
        <f t="shared" si="2"/>
        <v>1</v>
      </c>
      <c r="K23" s="23">
        <v>0.66666666666666596</v>
      </c>
      <c r="L23" s="24">
        <v>3000</v>
      </c>
      <c r="M23" s="31">
        <v>167.87</v>
      </c>
      <c r="N23" s="26">
        <f t="shared" si="3"/>
        <v>479.99999999990501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441</v>
      </c>
      <c r="E24" s="134"/>
      <c r="F24" s="133" t="s">
        <v>26</v>
      </c>
      <c r="G24" s="134"/>
      <c r="H24" s="20">
        <f t="shared" si="0"/>
        <v>441</v>
      </c>
      <c r="I24" s="21">
        <f t="shared" si="1"/>
        <v>441</v>
      </c>
      <c r="J24" s="22">
        <f t="shared" si="2"/>
        <v>1</v>
      </c>
      <c r="K24" s="23">
        <v>0.70833333333333304</v>
      </c>
      <c r="L24" s="24">
        <v>2700</v>
      </c>
      <c r="M24" s="31">
        <v>167.91</v>
      </c>
      <c r="N24" s="26">
        <f t="shared" si="3"/>
        <v>479.99999999990501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257</v>
      </c>
      <c r="E25" s="134"/>
      <c r="F25" s="133">
        <v>266</v>
      </c>
      <c r="G25" s="134"/>
      <c r="H25" s="20">
        <f t="shared" si="0"/>
        <v>523</v>
      </c>
      <c r="I25" s="21">
        <f t="shared" si="1"/>
        <v>261.5</v>
      </c>
      <c r="J25" s="22">
        <f t="shared" si="2"/>
        <v>2</v>
      </c>
      <c r="K25" s="23">
        <v>0.75</v>
      </c>
      <c r="L25" s="24">
        <v>2400</v>
      </c>
      <c r="M25" s="31">
        <v>167.95</v>
      </c>
      <c r="N25" s="26">
        <f t="shared" si="3"/>
        <v>720.00000000002694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324</v>
      </c>
      <c r="E26" s="134"/>
      <c r="F26" s="133">
        <v>363</v>
      </c>
      <c r="G26" s="134"/>
      <c r="H26" s="20">
        <f t="shared" si="0"/>
        <v>687</v>
      </c>
      <c r="I26" s="21">
        <f t="shared" si="1"/>
        <v>343.5</v>
      </c>
      <c r="J26" s="22">
        <f t="shared" si="2"/>
        <v>2</v>
      </c>
      <c r="K26" s="23">
        <v>0.79166666666666596</v>
      </c>
      <c r="L26" s="24">
        <v>2100</v>
      </c>
      <c r="M26" s="31">
        <v>168.01</v>
      </c>
      <c r="N26" s="26">
        <f t="shared" si="3"/>
        <v>720.00000000002694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328</v>
      </c>
      <c r="E27" s="134"/>
      <c r="F27" s="133">
        <v>345</v>
      </c>
      <c r="G27" s="134"/>
      <c r="H27" s="20">
        <f t="shared" si="0"/>
        <v>673</v>
      </c>
      <c r="I27" s="21">
        <f t="shared" si="1"/>
        <v>336.5</v>
      </c>
      <c r="J27" s="22">
        <f t="shared" si="2"/>
        <v>2</v>
      </c>
      <c r="K27" s="23">
        <v>0.83333333333333304</v>
      </c>
      <c r="L27" s="24">
        <v>2100</v>
      </c>
      <c r="M27" s="31">
        <v>168.07</v>
      </c>
      <c r="N27" s="26">
        <f t="shared" si="3"/>
        <v>720.00000000002694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285</v>
      </c>
      <c r="E28" s="134"/>
      <c r="F28" s="133">
        <v>308</v>
      </c>
      <c r="G28" s="134"/>
      <c r="H28" s="20">
        <f t="shared" si="0"/>
        <v>593</v>
      </c>
      <c r="I28" s="21">
        <f t="shared" si="1"/>
        <v>296.5</v>
      </c>
      <c r="J28" s="22">
        <f t="shared" si="2"/>
        <v>2</v>
      </c>
      <c r="K28" s="23">
        <v>0.875</v>
      </c>
      <c r="L28" s="24">
        <v>1800</v>
      </c>
      <c r="M28" s="31">
        <v>168.13</v>
      </c>
      <c r="N28" s="26">
        <f t="shared" si="3"/>
        <v>600.00000000013597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280</v>
      </c>
      <c r="E29" s="134"/>
      <c r="F29" s="133">
        <v>318</v>
      </c>
      <c r="G29" s="134"/>
      <c r="H29" s="20">
        <f t="shared" si="0"/>
        <v>598</v>
      </c>
      <c r="I29" s="21">
        <f t="shared" si="1"/>
        <v>299</v>
      </c>
      <c r="J29" s="22">
        <f t="shared" si="2"/>
        <v>2</v>
      </c>
      <c r="K29" s="23">
        <v>0.91666666666666596</v>
      </c>
      <c r="L29" s="24">
        <v>1800</v>
      </c>
      <c r="M29" s="31">
        <v>168.18</v>
      </c>
      <c r="N29" s="26">
        <f t="shared" si="3"/>
        <v>479.99999999990501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264</v>
      </c>
      <c r="E30" s="134"/>
      <c r="F30" s="133">
        <v>303</v>
      </c>
      <c r="G30" s="134"/>
      <c r="H30" s="20">
        <f t="shared" si="0"/>
        <v>567</v>
      </c>
      <c r="I30" s="21">
        <f t="shared" si="1"/>
        <v>283.5</v>
      </c>
      <c r="J30" s="22">
        <f t="shared" si="2"/>
        <v>2</v>
      </c>
      <c r="K30" s="23">
        <v>0.95833333333333304</v>
      </c>
      <c r="L30" s="24">
        <v>1800</v>
      </c>
      <c r="M30" s="31">
        <v>168.22</v>
      </c>
      <c r="N30" s="26">
        <f t="shared" si="3"/>
        <v>600.00000000013597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256</v>
      </c>
      <c r="E31" s="134"/>
      <c r="F31" s="133">
        <v>263</v>
      </c>
      <c r="G31" s="134"/>
      <c r="H31" s="20">
        <f t="shared" si="0"/>
        <v>519</v>
      </c>
      <c r="I31" s="35">
        <f t="shared" si="1"/>
        <v>259.5</v>
      </c>
      <c r="J31" s="36">
        <f t="shared" si="2"/>
        <v>2</v>
      </c>
      <c r="K31" s="37">
        <v>1</v>
      </c>
      <c r="L31" s="24">
        <v>4500</v>
      </c>
      <c r="M31" s="38">
        <v>168.27</v>
      </c>
      <c r="N31" s="26">
        <f>H31</f>
        <v>519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7.16</v>
      </c>
      <c r="E32" s="136"/>
      <c r="F32" s="135">
        <f>SUM(F8:F31)/1000</f>
        <v>5.2210000000000001</v>
      </c>
      <c r="G32" s="136"/>
      <c r="H32" s="40">
        <f>SUM(H8:H31)</f>
        <v>12381</v>
      </c>
      <c r="I32" s="41" t="s">
        <v>13</v>
      </c>
      <c r="J32" s="42"/>
      <c r="K32" s="43"/>
      <c r="L32" s="44"/>
      <c r="M32" s="45">
        <f>SUM(M31-M8+N8)</f>
        <v>601.08999999979505</v>
      </c>
      <c r="N32" s="46">
        <f>SUM(N8:N31)</f>
        <v>13599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298.33333333333297</v>
      </c>
      <c r="E33" s="116"/>
      <c r="F33" s="119">
        <f>IFERROR((AVERAGE(F8:F31)),"0")</f>
        <v>274.78947368421098</v>
      </c>
      <c r="G33" s="121"/>
      <c r="H33" s="147">
        <f>H32*1000</f>
        <v>12381000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24</v>
      </c>
      <c r="E35" s="162"/>
      <c r="F35" s="163">
        <f>COUNT(F8:F31)</f>
        <v>19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43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687</v>
      </c>
      <c r="D39" s="126"/>
      <c r="E39" s="73">
        <f>VLOOKUP(C39,H8:L31,4,FALSE)</f>
        <v>0.79166666666666596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515.875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416</v>
      </c>
      <c r="D41" s="126"/>
      <c r="E41" s="73">
        <f>VLOOKUP(C41,H8:L31,4,FALSE)</f>
        <v>0.66666666666666596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302.85416666666703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-490.82958333334199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322" priority="11" operator="equal">
      <formula>"STB"</formula>
    </cfRule>
    <cfRule type="cellIs" dxfId="321" priority="12" operator="equal">
      <formula>"BD"</formula>
    </cfRule>
  </conditionalFormatting>
  <conditionalFormatting sqref="B8:B31">
    <cfRule type="cellIs" dxfId="320" priority="1" operator="equal">
      <formula>"STB"</formula>
    </cfRule>
    <cfRule type="cellIs" dxfId="319" priority="2" operator="equal">
      <formula>"BD"</formula>
    </cfRule>
  </conditionalFormatting>
  <conditionalFormatting sqref="D8:D31">
    <cfRule type="cellIs" dxfId="318" priority="8" operator="equal">
      <formula>"STB"</formula>
    </cfRule>
    <cfRule type="cellIs" dxfId="317" priority="9" operator="equal">
      <formula>"BD"</formula>
    </cfRule>
  </conditionalFormatting>
  <conditionalFormatting sqref="F8:F31">
    <cfRule type="cellIs" dxfId="316" priority="3" operator="equal">
      <formula>"STB"</formula>
    </cfRule>
    <cfRule type="cellIs" dxfId="315" priority="4" operator="equal">
      <formula>"BD"</formula>
    </cfRule>
  </conditionalFormatting>
  <conditionalFormatting sqref="H8:H31">
    <cfRule type="top10" dxfId="314" priority="5" bottom="1" rank="1"/>
    <cfRule type="top10" dxfId="313" priority="6" rank="1"/>
    <cfRule type="cellIs" dxfId="312" priority="7" stopIfTrue="1" operator="equal">
      <formula>28000</formula>
    </cfRule>
  </conditionalFormatting>
  <conditionalFormatting sqref="H32:H33">
    <cfRule type="top10" dxfId="311" priority="14" bottom="1" rank="1"/>
    <cfRule type="top10" dxfId="310" priority="15" rank="1"/>
    <cfRule type="cellIs" dxfId="309" priority="17" stopIfTrue="1" operator="equal">
      <formula>28000</formula>
    </cfRule>
  </conditionalFormatting>
  <conditionalFormatting sqref="N8 N9:O31">
    <cfRule type="cellIs" dxfId="308" priority="16" operator="equal">
      <formula>"BD"</formula>
    </cfRule>
  </conditionalFormatting>
  <conditionalFormatting sqref="O8">
    <cfRule type="cellIs" dxfId="307" priority="10" operator="equal">
      <formula>"N/A"</formula>
    </cfRule>
  </conditionalFormatting>
  <conditionalFormatting sqref="Y8:Y31">
    <cfRule type="containsText" dxfId="306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AC68"/>
  <sheetViews>
    <sheetView zoomScale="80" zoomScaleNormal="80" workbookViewId="0">
      <pane ySplit="7" topLeftCell="A8" activePane="bottomLeft" state="frozen"/>
      <selection pane="bottomLeft" activeCell="T23" sqref="T2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'[14]Taniwel daily'!C4</f>
        <v>45305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249</v>
      </c>
      <c r="E8" s="134"/>
      <c r="F8" s="133">
        <v>260</v>
      </c>
      <c r="G8" s="134"/>
      <c r="H8" s="20">
        <f t="shared" ref="H8:H31" si="0">IF(SUM(B8:G8)/1000=0,"0",SUM(B8:G8))</f>
        <v>509</v>
      </c>
      <c r="I8" s="21">
        <f t="shared" ref="I8:I31" si="1">IFERROR(AVERAGE(B8:G8),"0")</f>
        <v>254.5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168.32</v>
      </c>
      <c r="N8" s="26">
        <f>(M9-M8)*12000</f>
        <v>600.00000000013597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246</v>
      </c>
      <c r="E9" s="134"/>
      <c r="F9" s="133">
        <v>239</v>
      </c>
      <c r="G9" s="134"/>
      <c r="H9" s="20">
        <f t="shared" si="0"/>
        <v>485</v>
      </c>
      <c r="I9" s="21">
        <f t="shared" si="1"/>
        <v>242.5</v>
      </c>
      <c r="J9" s="22">
        <f t="shared" si="2"/>
        <v>2</v>
      </c>
      <c r="K9" s="23">
        <v>8.3333333333333301E-2</v>
      </c>
      <c r="L9" s="24">
        <v>4200</v>
      </c>
      <c r="M9" s="31">
        <v>168.37</v>
      </c>
      <c r="N9" s="26">
        <f t="shared" ref="N9:N30" si="3">(M10-M9)*12000</f>
        <v>479.99999999990501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237</v>
      </c>
      <c r="E10" s="134"/>
      <c r="F10" s="133">
        <v>241</v>
      </c>
      <c r="G10" s="134"/>
      <c r="H10" s="20">
        <f t="shared" si="0"/>
        <v>478</v>
      </c>
      <c r="I10" s="21">
        <f t="shared" si="1"/>
        <v>239</v>
      </c>
      <c r="J10" s="22">
        <f t="shared" si="2"/>
        <v>2</v>
      </c>
      <c r="K10" s="23">
        <v>0.125</v>
      </c>
      <c r="L10" s="24">
        <v>4200</v>
      </c>
      <c r="M10" s="31">
        <v>168.41</v>
      </c>
      <c r="N10" s="26">
        <f t="shared" si="3"/>
        <v>600.00000000013597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239</v>
      </c>
      <c r="E11" s="134"/>
      <c r="F11" s="133">
        <v>240</v>
      </c>
      <c r="G11" s="134"/>
      <c r="H11" s="20">
        <f t="shared" si="0"/>
        <v>479</v>
      </c>
      <c r="I11" s="21">
        <f t="shared" si="1"/>
        <v>239.5</v>
      </c>
      <c r="J11" s="22">
        <f t="shared" si="2"/>
        <v>2</v>
      </c>
      <c r="K11" s="23">
        <v>0.16666666666666699</v>
      </c>
      <c r="L11" s="24">
        <v>4000</v>
      </c>
      <c r="M11" s="31">
        <v>168.46</v>
      </c>
      <c r="N11" s="26">
        <f t="shared" si="3"/>
        <v>479.99999999990501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>
        <v>236</v>
      </c>
      <c r="E12" s="134"/>
      <c r="F12" s="133">
        <v>233</v>
      </c>
      <c r="G12" s="134"/>
      <c r="H12" s="20">
        <f t="shared" si="0"/>
        <v>469</v>
      </c>
      <c r="I12" s="21">
        <f t="shared" si="1"/>
        <v>234.5</v>
      </c>
      <c r="J12" s="22">
        <f t="shared" si="2"/>
        <v>2</v>
      </c>
      <c r="K12" s="23">
        <v>0.20833333333333301</v>
      </c>
      <c r="L12" s="24">
        <v>3900</v>
      </c>
      <c r="M12" s="31">
        <v>168.5</v>
      </c>
      <c r="N12" s="26">
        <f t="shared" si="3"/>
        <v>600.00000000013597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248</v>
      </c>
      <c r="E13" s="134"/>
      <c r="F13" s="133">
        <v>238</v>
      </c>
      <c r="G13" s="134"/>
      <c r="H13" s="20">
        <f t="shared" si="0"/>
        <v>486</v>
      </c>
      <c r="I13" s="21">
        <f t="shared" si="1"/>
        <v>243</v>
      </c>
      <c r="J13" s="22">
        <f t="shared" si="2"/>
        <v>2</v>
      </c>
      <c r="K13" s="23">
        <v>0.25</v>
      </c>
      <c r="L13" s="24">
        <v>3600</v>
      </c>
      <c r="M13" s="31">
        <v>168.55</v>
      </c>
      <c r="N13" s="26">
        <f t="shared" si="3"/>
        <v>479.99999999990501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279</v>
      </c>
      <c r="E14" s="134"/>
      <c r="F14" s="133">
        <v>261</v>
      </c>
      <c r="G14" s="134"/>
      <c r="H14" s="20">
        <f t="shared" si="0"/>
        <v>540</v>
      </c>
      <c r="I14" s="21">
        <f t="shared" si="1"/>
        <v>270</v>
      </c>
      <c r="J14" s="22">
        <f t="shared" si="2"/>
        <v>2</v>
      </c>
      <c r="K14" s="23">
        <v>0.29166666666666702</v>
      </c>
      <c r="L14" s="24">
        <v>3600</v>
      </c>
      <c r="M14" s="31">
        <v>168.59</v>
      </c>
      <c r="N14" s="26">
        <f t="shared" si="3"/>
        <v>720.00000000002694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281</v>
      </c>
      <c r="E15" s="134"/>
      <c r="F15" s="133">
        <v>274</v>
      </c>
      <c r="G15" s="134"/>
      <c r="H15" s="20">
        <f t="shared" si="0"/>
        <v>555</v>
      </c>
      <c r="I15" s="21">
        <f t="shared" si="1"/>
        <v>277.5</v>
      </c>
      <c r="J15" s="22">
        <f t="shared" si="2"/>
        <v>2</v>
      </c>
      <c r="K15" s="23">
        <v>0.33333333333333298</v>
      </c>
      <c r="L15" s="24">
        <v>3600</v>
      </c>
      <c r="M15" s="31">
        <v>168.65</v>
      </c>
      <c r="N15" s="26">
        <f t="shared" si="3"/>
        <v>599.99999999979502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279</v>
      </c>
      <c r="E16" s="134"/>
      <c r="F16" s="133">
        <v>270</v>
      </c>
      <c r="G16" s="134"/>
      <c r="H16" s="20">
        <f t="shared" si="0"/>
        <v>549</v>
      </c>
      <c r="I16" s="21">
        <f t="shared" si="1"/>
        <v>274.5</v>
      </c>
      <c r="J16" s="22">
        <f t="shared" si="2"/>
        <v>2</v>
      </c>
      <c r="K16" s="23">
        <v>0.375</v>
      </c>
      <c r="L16" s="24">
        <v>3600</v>
      </c>
      <c r="M16" s="31">
        <v>168.7</v>
      </c>
      <c r="N16" s="26">
        <f t="shared" si="3"/>
        <v>600.00000000013597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244</v>
      </c>
      <c r="E17" s="134"/>
      <c r="F17" s="133">
        <v>251</v>
      </c>
      <c r="G17" s="134"/>
      <c r="H17" s="20">
        <f t="shared" si="0"/>
        <v>495</v>
      </c>
      <c r="I17" s="21">
        <f t="shared" si="1"/>
        <v>247.5</v>
      </c>
      <c r="J17" s="22">
        <f t="shared" si="2"/>
        <v>2</v>
      </c>
      <c r="K17" s="23">
        <v>0.41666666666666602</v>
      </c>
      <c r="L17" s="24">
        <v>3400</v>
      </c>
      <c r="M17" s="31">
        <v>168.75</v>
      </c>
      <c r="N17" s="26">
        <f t="shared" si="3"/>
        <v>600.00000000013597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243</v>
      </c>
      <c r="E18" s="134"/>
      <c r="F18" s="133">
        <v>245</v>
      </c>
      <c r="G18" s="134"/>
      <c r="H18" s="20">
        <f t="shared" si="0"/>
        <v>488</v>
      </c>
      <c r="I18" s="21">
        <f t="shared" si="1"/>
        <v>244</v>
      </c>
      <c r="J18" s="22">
        <f t="shared" si="2"/>
        <v>2</v>
      </c>
      <c r="K18" s="23">
        <v>0.45833333333333298</v>
      </c>
      <c r="L18" s="24">
        <v>3300</v>
      </c>
      <c r="M18" s="31">
        <v>168.8</v>
      </c>
      <c r="N18" s="26">
        <f t="shared" si="3"/>
        <v>360.00000000001398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242</v>
      </c>
      <c r="E19" s="134"/>
      <c r="F19" s="133">
        <v>230</v>
      </c>
      <c r="G19" s="134"/>
      <c r="H19" s="20">
        <f t="shared" si="0"/>
        <v>472</v>
      </c>
      <c r="I19" s="21">
        <f t="shared" si="1"/>
        <v>236</v>
      </c>
      <c r="J19" s="22">
        <f t="shared" si="2"/>
        <v>2</v>
      </c>
      <c r="K19" s="23">
        <v>0.5</v>
      </c>
      <c r="L19" s="24">
        <v>3300</v>
      </c>
      <c r="M19" s="31">
        <v>168.83</v>
      </c>
      <c r="N19" s="26">
        <f t="shared" si="3"/>
        <v>599.99999999979502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441</v>
      </c>
      <c r="E20" s="134"/>
      <c r="F20" s="133" t="s">
        <v>26</v>
      </c>
      <c r="G20" s="134"/>
      <c r="H20" s="20">
        <f t="shared" si="0"/>
        <v>441</v>
      </c>
      <c r="I20" s="21">
        <f t="shared" si="1"/>
        <v>441</v>
      </c>
      <c r="J20" s="22">
        <f t="shared" si="2"/>
        <v>1</v>
      </c>
      <c r="K20" s="23">
        <v>0.54166666666666696</v>
      </c>
      <c r="L20" s="24">
        <v>3000</v>
      </c>
      <c r="M20" s="31">
        <v>168.88</v>
      </c>
      <c r="N20" s="26">
        <f t="shared" si="3"/>
        <v>479.99999999990501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>
        <v>425</v>
      </c>
      <c r="E21" s="134"/>
      <c r="F21" s="133" t="s">
        <v>26</v>
      </c>
      <c r="G21" s="134"/>
      <c r="H21" s="20">
        <f t="shared" si="0"/>
        <v>425</v>
      </c>
      <c r="I21" s="21">
        <f t="shared" si="1"/>
        <v>425</v>
      </c>
      <c r="J21" s="22">
        <f t="shared" si="2"/>
        <v>1</v>
      </c>
      <c r="K21" s="23">
        <v>0.58333333333333304</v>
      </c>
      <c r="L21" s="24">
        <v>3000</v>
      </c>
      <c r="M21" s="31">
        <v>168.92</v>
      </c>
      <c r="N21" s="26">
        <f t="shared" si="3"/>
        <v>480.00000000024602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>
        <v>433</v>
      </c>
      <c r="E22" s="134"/>
      <c r="F22" s="133" t="s">
        <v>26</v>
      </c>
      <c r="G22" s="134"/>
      <c r="H22" s="20">
        <f t="shared" si="0"/>
        <v>433</v>
      </c>
      <c r="I22" s="21">
        <f t="shared" si="1"/>
        <v>433</v>
      </c>
      <c r="J22" s="22">
        <f t="shared" si="2"/>
        <v>1</v>
      </c>
      <c r="K22" s="23">
        <v>0.625</v>
      </c>
      <c r="L22" s="24">
        <v>3000</v>
      </c>
      <c r="M22" s="31">
        <v>168.96</v>
      </c>
      <c r="N22" s="26">
        <f t="shared" si="3"/>
        <v>479.99999999990501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414</v>
      </c>
      <c r="E23" s="134"/>
      <c r="F23" s="133" t="s">
        <v>26</v>
      </c>
      <c r="G23" s="134"/>
      <c r="H23" s="20">
        <f t="shared" si="0"/>
        <v>414</v>
      </c>
      <c r="I23" s="21">
        <f t="shared" si="1"/>
        <v>414</v>
      </c>
      <c r="J23" s="22">
        <f t="shared" si="2"/>
        <v>1</v>
      </c>
      <c r="K23" s="23">
        <v>0.66666666666666596</v>
      </c>
      <c r="L23" s="24">
        <v>3000</v>
      </c>
      <c r="M23" s="31">
        <v>169</v>
      </c>
      <c r="N23" s="26">
        <f t="shared" si="3"/>
        <v>360.00000000001398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440</v>
      </c>
      <c r="E24" s="134"/>
      <c r="F24" s="133" t="s">
        <v>26</v>
      </c>
      <c r="G24" s="134"/>
      <c r="H24" s="20">
        <f t="shared" si="0"/>
        <v>440</v>
      </c>
      <c r="I24" s="21">
        <f t="shared" si="1"/>
        <v>440</v>
      </c>
      <c r="J24" s="22">
        <f t="shared" si="2"/>
        <v>1</v>
      </c>
      <c r="K24" s="23">
        <v>0.70833333333333304</v>
      </c>
      <c r="L24" s="24">
        <v>2700</v>
      </c>
      <c r="M24" s="31">
        <v>169.03</v>
      </c>
      <c r="N24" s="26">
        <f t="shared" si="3"/>
        <v>600.00000000013597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245</v>
      </c>
      <c r="E25" s="134"/>
      <c r="F25" s="133">
        <v>246</v>
      </c>
      <c r="G25" s="134"/>
      <c r="H25" s="20">
        <f t="shared" si="0"/>
        <v>491</v>
      </c>
      <c r="I25" s="21">
        <f t="shared" si="1"/>
        <v>245.5</v>
      </c>
      <c r="J25" s="22">
        <f t="shared" si="2"/>
        <v>2</v>
      </c>
      <c r="K25" s="23">
        <v>0.75</v>
      </c>
      <c r="L25" s="24">
        <v>2400</v>
      </c>
      <c r="M25" s="31">
        <v>169.08</v>
      </c>
      <c r="N25" s="26">
        <f t="shared" si="3"/>
        <v>599.99999999979502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316</v>
      </c>
      <c r="E26" s="134"/>
      <c r="F26" s="133">
        <v>330</v>
      </c>
      <c r="G26" s="134"/>
      <c r="H26" s="20">
        <f t="shared" si="0"/>
        <v>646</v>
      </c>
      <c r="I26" s="21">
        <f t="shared" si="1"/>
        <v>323</v>
      </c>
      <c r="J26" s="22">
        <f t="shared" si="2"/>
        <v>2</v>
      </c>
      <c r="K26" s="23">
        <v>0.79166666666666596</v>
      </c>
      <c r="L26" s="24">
        <v>2100</v>
      </c>
      <c r="M26" s="31">
        <v>169.13</v>
      </c>
      <c r="N26" s="26">
        <f t="shared" si="3"/>
        <v>839.99999999991803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328</v>
      </c>
      <c r="E27" s="134"/>
      <c r="F27" s="133">
        <v>359</v>
      </c>
      <c r="G27" s="134"/>
      <c r="H27" s="20">
        <f t="shared" si="0"/>
        <v>687</v>
      </c>
      <c r="I27" s="21">
        <f t="shared" si="1"/>
        <v>343.5</v>
      </c>
      <c r="J27" s="22">
        <f t="shared" si="2"/>
        <v>2</v>
      </c>
      <c r="K27" s="23">
        <v>0.83333333333333304</v>
      </c>
      <c r="L27" s="24">
        <v>2100</v>
      </c>
      <c r="M27" s="31">
        <v>169.2</v>
      </c>
      <c r="N27" s="26">
        <f t="shared" si="3"/>
        <v>720.00000000002694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328</v>
      </c>
      <c r="E28" s="134"/>
      <c r="F28" s="133">
        <v>359</v>
      </c>
      <c r="G28" s="134"/>
      <c r="H28" s="20">
        <f t="shared" si="0"/>
        <v>687</v>
      </c>
      <c r="I28" s="21">
        <f t="shared" si="1"/>
        <v>343.5</v>
      </c>
      <c r="J28" s="22">
        <f t="shared" si="2"/>
        <v>2</v>
      </c>
      <c r="K28" s="23">
        <v>0.875</v>
      </c>
      <c r="L28" s="24">
        <v>1800</v>
      </c>
      <c r="M28" s="31">
        <v>169.26</v>
      </c>
      <c r="N28" s="26">
        <f t="shared" si="3"/>
        <v>720.00000000002694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303</v>
      </c>
      <c r="E29" s="134"/>
      <c r="F29" s="133">
        <v>300</v>
      </c>
      <c r="G29" s="134"/>
      <c r="H29" s="20">
        <f t="shared" si="0"/>
        <v>603</v>
      </c>
      <c r="I29" s="21">
        <f t="shared" si="1"/>
        <v>301.5</v>
      </c>
      <c r="J29" s="22">
        <f t="shared" si="2"/>
        <v>2</v>
      </c>
      <c r="K29" s="23">
        <v>0.91666666666666596</v>
      </c>
      <c r="L29" s="24">
        <v>1800</v>
      </c>
      <c r="M29" s="31">
        <v>169.32</v>
      </c>
      <c r="N29" s="26">
        <f t="shared" si="3"/>
        <v>600.00000000013597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262</v>
      </c>
      <c r="E30" s="134"/>
      <c r="F30" s="133">
        <v>290</v>
      </c>
      <c r="G30" s="134"/>
      <c r="H30" s="20">
        <f t="shared" si="0"/>
        <v>552</v>
      </c>
      <c r="I30" s="21">
        <f t="shared" si="1"/>
        <v>276</v>
      </c>
      <c r="J30" s="22">
        <f t="shared" si="2"/>
        <v>2</v>
      </c>
      <c r="K30" s="23">
        <v>0.95833333333333304</v>
      </c>
      <c r="L30" s="24">
        <v>1800</v>
      </c>
      <c r="M30" s="31">
        <v>169.37</v>
      </c>
      <c r="N30" s="26">
        <f t="shared" si="3"/>
        <v>599.99999999979502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273</v>
      </c>
      <c r="E31" s="134"/>
      <c r="F31" s="133">
        <v>281</v>
      </c>
      <c r="G31" s="134"/>
      <c r="H31" s="20">
        <f t="shared" si="0"/>
        <v>554</v>
      </c>
      <c r="I31" s="35">
        <f t="shared" si="1"/>
        <v>277</v>
      </c>
      <c r="J31" s="36">
        <f t="shared" si="2"/>
        <v>2</v>
      </c>
      <c r="K31" s="37">
        <v>1</v>
      </c>
      <c r="L31" s="24">
        <v>4500</v>
      </c>
      <c r="M31" s="38">
        <v>169.42</v>
      </c>
      <c r="N31" s="26">
        <f>H31</f>
        <v>554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7.2309999999999999</v>
      </c>
      <c r="E32" s="136"/>
      <c r="F32" s="135">
        <f>SUM(F8:F31)/1000</f>
        <v>5.1470000000000002</v>
      </c>
      <c r="G32" s="136"/>
      <c r="H32" s="40">
        <f>SUM(H8:H31)</f>
        <v>12378</v>
      </c>
      <c r="I32" s="41" t="s">
        <v>13</v>
      </c>
      <c r="J32" s="42"/>
      <c r="K32" s="43"/>
      <c r="L32" s="44"/>
      <c r="M32" s="45">
        <f>SUM(M31-M8+N8)</f>
        <v>601.10000000013599</v>
      </c>
      <c r="N32" s="46">
        <f>SUM(N8:N31)</f>
        <v>13753.9999999999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301.29166666666703</v>
      </c>
      <c r="E33" s="116"/>
      <c r="F33" s="119">
        <f>IFERROR((AVERAGE(F8:F31)),"0")</f>
        <v>270.89473684210498</v>
      </c>
      <c r="G33" s="121"/>
      <c r="H33" s="147">
        <f>H32*1000</f>
        <v>12378000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24</v>
      </c>
      <c r="E35" s="162"/>
      <c r="F35" s="163">
        <f>COUNT(F8:F31)</f>
        <v>19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43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687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515.75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414</v>
      </c>
      <c r="D41" s="126"/>
      <c r="E41" s="73">
        <f>VLOOKUP(C41,H8:L31,4,FALSE)</f>
        <v>0.66666666666666596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302.72916666666703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-490.70416666666102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305" priority="11" operator="equal">
      <formula>"STB"</formula>
    </cfRule>
    <cfRule type="cellIs" dxfId="304" priority="12" operator="equal">
      <formula>"BD"</formula>
    </cfRule>
  </conditionalFormatting>
  <conditionalFormatting sqref="B8:B31">
    <cfRule type="cellIs" dxfId="303" priority="1" operator="equal">
      <formula>"STB"</formula>
    </cfRule>
    <cfRule type="cellIs" dxfId="302" priority="2" operator="equal">
      <formula>"BD"</formula>
    </cfRule>
  </conditionalFormatting>
  <conditionalFormatting sqref="D8:D31">
    <cfRule type="cellIs" dxfId="301" priority="8" operator="equal">
      <formula>"STB"</formula>
    </cfRule>
    <cfRule type="cellIs" dxfId="300" priority="9" operator="equal">
      <formula>"BD"</formula>
    </cfRule>
  </conditionalFormatting>
  <conditionalFormatting sqref="F8:F31">
    <cfRule type="cellIs" dxfId="299" priority="3" operator="equal">
      <formula>"STB"</formula>
    </cfRule>
    <cfRule type="cellIs" dxfId="298" priority="4" operator="equal">
      <formula>"BD"</formula>
    </cfRule>
  </conditionalFormatting>
  <conditionalFormatting sqref="H8:H31">
    <cfRule type="top10" dxfId="297" priority="5" bottom="1" rank="1"/>
    <cfRule type="top10" dxfId="296" priority="6" rank="1"/>
    <cfRule type="cellIs" dxfId="295" priority="7" stopIfTrue="1" operator="equal">
      <formula>28000</formula>
    </cfRule>
  </conditionalFormatting>
  <conditionalFormatting sqref="H32:H33">
    <cfRule type="top10" dxfId="294" priority="14" bottom="1" rank="1"/>
    <cfRule type="top10" dxfId="293" priority="15" rank="1"/>
    <cfRule type="cellIs" dxfId="292" priority="17" stopIfTrue="1" operator="equal">
      <formula>28000</formula>
    </cfRule>
  </conditionalFormatting>
  <conditionalFormatting sqref="N8 N9:O31">
    <cfRule type="cellIs" dxfId="291" priority="16" operator="equal">
      <formula>"BD"</formula>
    </cfRule>
  </conditionalFormatting>
  <conditionalFormatting sqref="O8">
    <cfRule type="cellIs" dxfId="290" priority="10" operator="equal">
      <formula>"N/A"</formula>
    </cfRule>
  </conditionalFormatting>
  <conditionalFormatting sqref="Y8:Y31">
    <cfRule type="containsText" dxfId="289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AC68"/>
  <sheetViews>
    <sheetView zoomScale="80" zoomScaleNormal="80" workbookViewId="0">
      <pane ySplit="7" topLeftCell="A9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'[15]Taniwel daily'!C4</f>
        <v>45306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245</v>
      </c>
      <c r="E8" s="134"/>
      <c r="F8" s="133">
        <v>252</v>
      </c>
      <c r="G8" s="134"/>
      <c r="H8" s="20">
        <f t="shared" ref="H8:H31" si="0">IF(SUM(B8:G8)/1000=0,"0",SUM(B8:G8))</f>
        <v>497</v>
      </c>
      <c r="I8" s="21">
        <f t="shared" ref="I8:I31" si="1">IFERROR(AVERAGE(B8:G8),"0")</f>
        <v>248.5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169.47</v>
      </c>
      <c r="N8" s="26">
        <f>(M9-M8)*12000</f>
        <v>479.99999999990501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247</v>
      </c>
      <c r="E9" s="134"/>
      <c r="F9" s="133">
        <v>242</v>
      </c>
      <c r="G9" s="134"/>
      <c r="H9" s="20">
        <f t="shared" si="0"/>
        <v>489</v>
      </c>
      <c r="I9" s="21">
        <f t="shared" si="1"/>
        <v>244.5</v>
      </c>
      <c r="J9" s="22">
        <f t="shared" si="2"/>
        <v>2</v>
      </c>
      <c r="K9" s="23">
        <v>8.3333333333333301E-2</v>
      </c>
      <c r="L9" s="24">
        <v>4200</v>
      </c>
      <c r="M9" s="31">
        <v>169.51</v>
      </c>
      <c r="N9" s="26">
        <f t="shared" ref="N9:N30" si="3">(M10-M9)*12000</f>
        <v>480.00000000024602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 t="s">
        <v>26</v>
      </c>
      <c r="E10" s="134"/>
      <c r="F10" s="133">
        <v>216</v>
      </c>
      <c r="G10" s="134"/>
      <c r="H10" s="20">
        <f t="shared" si="0"/>
        <v>216</v>
      </c>
      <c r="I10" s="21">
        <f t="shared" si="1"/>
        <v>216</v>
      </c>
      <c r="J10" s="22">
        <f t="shared" si="2"/>
        <v>1</v>
      </c>
      <c r="K10" s="23">
        <v>0.125</v>
      </c>
      <c r="L10" s="24">
        <v>4200</v>
      </c>
      <c r="M10" s="31">
        <v>169.55</v>
      </c>
      <c r="N10" s="26">
        <f t="shared" si="3"/>
        <v>239.99999999978201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 t="s">
        <v>26</v>
      </c>
      <c r="E11" s="134"/>
      <c r="F11" s="133">
        <v>210</v>
      </c>
      <c r="G11" s="134"/>
      <c r="H11" s="20">
        <f t="shared" si="0"/>
        <v>210</v>
      </c>
      <c r="I11" s="21">
        <f t="shared" si="1"/>
        <v>210</v>
      </c>
      <c r="J11" s="22">
        <f t="shared" si="2"/>
        <v>1</v>
      </c>
      <c r="K11" s="23">
        <v>0.16666666666666699</v>
      </c>
      <c r="L11" s="24">
        <v>4000</v>
      </c>
      <c r="M11" s="31">
        <v>169.57</v>
      </c>
      <c r="N11" s="26">
        <f t="shared" si="3"/>
        <v>240.00000000012301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 t="s">
        <v>26</v>
      </c>
      <c r="E12" s="134"/>
      <c r="F12" s="133">
        <v>218</v>
      </c>
      <c r="G12" s="134"/>
      <c r="H12" s="20">
        <f t="shared" si="0"/>
        <v>218</v>
      </c>
      <c r="I12" s="21">
        <f t="shared" si="1"/>
        <v>218</v>
      </c>
      <c r="J12" s="22">
        <f t="shared" si="2"/>
        <v>1</v>
      </c>
      <c r="K12" s="23">
        <v>0.20833333333333301</v>
      </c>
      <c r="L12" s="24">
        <v>3900</v>
      </c>
      <c r="M12" s="31">
        <v>169.59</v>
      </c>
      <c r="N12" s="26">
        <f t="shared" si="3"/>
        <v>240.00000000012301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 t="s">
        <v>26</v>
      </c>
      <c r="E13" s="134"/>
      <c r="F13" s="133">
        <v>227</v>
      </c>
      <c r="G13" s="134"/>
      <c r="H13" s="20">
        <f t="shared" si="0"/>
        <v>227</v>
      </c>
      <c r="I13" s="21">
        <f t="shared" si="1"/>
        <v>227</v>
      </c>
      <c r="J13" s="22">
        <f t="shared" si="2"/>
        <v>1</v>
      </c>
      <c r="K13" s="23">
        <v>0.25</v>
      </c>
      <c r="L13" s="24">
        <v>3600</v>
      </c>
      <c r="M13" s="31">
        <v>169.61</v>
      </c>
      <c r="N13" s="26">
        <f t="shared" si="3"/>
        <v>239.99999999978201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 t="s">
        <v>26</v>
      </c>
      <c r="E14" s="134"/>
      <c r="F14" s="133">
        <v>262</v>
      </c>
      <c r="G14" s="134"/>
      <c r="H14" s="20">
        <f t="shared" si="0"/>
        <v>262</v>
      </c>
      <c r="I14" s="21">
        <f t="shared" si="1"/>
        <v>262</v>
      </c>
      <c r="J14" s="22">
        <f t="shared" si="2"/>
        <v>1</v>
      </c>
      <c r="K14" s="23">
        <v>0.29166666666666702</v>
      </c>
      <c r="L14" s="24">
        <v>3600</v>
      </c>
      <c r="M14" s="31">
        <v>169.63</v>
      </c>
      <c r="N14" s="26">
        <f t="shared" si="3"/>
        <v>360.00000000001398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 t="s">
        <v>26</v>
      </c>
      <c r="E15" s="134"/>
      <c r="F15" s="133">
        <v>219</v>
      </c>
      <c r="G15" s="134"/>
      <c r="H15" s="20">
        <f t="shared" si="0"/>
        <v>219</v>
      </c>
      <c r="I15" s="21">
        <f t="shared" si="1"/>
        <v>219</v>
      </c>
      <c r="J15" s="22">
        <f t="shared" si="2"/>
        <v>1</v>
      </c>
      <c r="K15" s="23">
        <v>0.33333333333333298</v>
      </c>
      <c r="L15" s="24">
        <v>3600</v>
      </c>
      <c r="M15" s="31">
        <v>169.66</v>
      </c>
      <c r="N15" s="26">
        <f t="shared" si="3"/>
        <v>479.99999999990501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295</v>
      </c>
      <c r="E16" s="134"/>
      <c r="F16" s="133">
        <v>283</v>
      </c>
      <c r="G16" s="134"/>
      <c r="H16" s="20">
        <f t="shared" si="0"/>
        <v>578</v>
      </c>
      <c r="I16" s="21">
        <f t="shared" si="1"/>
        <v>289</v>
      </c>
      <c r="J16" s="22">
        <f t="shared" si="2"/>
        <v>2</v>
      </c>
      <c r="K16" s="23">
        <v>0.375</v>
      </c>
      <c r="L16" s="24">
        <v>3600</v>
      </c>
      <c r="M16" s="31">
        <v>169.7</v>
      </c>
      <c r="N16" s="26">
        <f t="shared" si="3"/>
        <v>600.00000000013597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260</v>
      </c>
      <c r="E17" s="134"/>
      <c r="F17" s="133">
        <v>238</v>
      </c>
      <c r="G17" s="134"/>
      <c r="H17" s="20">
        <f t="shared" si="0"/>
        <v>498</v>
      </c>
      <c r="I17" s="21">
        <f t="shared" si="1"/>
        <v>249</v>
      </c>
      <c r="J17" s="22">
        <f t="shared" si="2"/>
        <v>2</v>
      </c>
      <c r="K17" s="23">
        <v>0.41666666666666602</v>
      </c>
      <c r="L17" s="24">
        <v>3400</v>
      </c>
      <c r="M17" s="31">
        <v>169.75</v>
      </c>
      <c r="N17" s="26">
        <f t="shared" si="3"/>
        <v>600.00000000013597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253</v>
      </c>
      <c r="E18" s="134"/>
      <c r="F18" s="133">
        <v>244</v>
      </c>
      <c r="G18" s="134"/>
      <c r="H18" s="20">
        <f t="shared" si="0"/>
        <v>497</v>
      </c>
      <c r="I18" s="21">
        <f t="shared" si="1"/>
        <v>248.5</v>
      </c>
      <c r="J18" s="22">
        <f t="shared" si="2"/>
        <v>2</v>
      </c>
      <c r="K18" s="23">
        <v>0.45833333333333298</v>
      </c>
      <c r="L18" s="24">
        <v>3300</v>
      </c>
      <c r="M18" s="31">
        <v>169.8</v>
      </c>
      <c r="N18" s="26">
        <f t="shared" si="3"/>
        <v>479.99999999990501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465</v>
      </c>
      <c r="E19" s="134"/>
      <c r="F19" s="133" t="s">
        <v>26</v>
      </c>
      <c r="G19" s="134"/>
      <c r="H19" s="20">
        <f t="shared" si="0"/>
        <v>465</v>
      </c>
      <c r="I19" s="21">
        <f t="shared" si="1"/>
        <v>465</v>
      </c>
      <c r="J19" s="22">
        <f t="shared" si="2"/>
        <v>1</v>
      </c>
      <c r="K19" s="23">
        <v>0.5</v>
      </c>
      <c r="L19" s="24">
        <v>3300</v>
      </c>
      <c r="M19" s="31">
        <v>169.84</v>
      </c>
      <c r="N19" s="26">
        <f t="shared" si="3"/>
        <v>599.99999999979502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438</v>
      </c>
      <c r="E20" s="134"/>
      <c r="F20" s="133" t="s">
        <v>26</v>
      </c>
      <c r="G20" s="134"/>
      <c r="H20" s="20">
        <f t="shared" si="0"/>
        <v>438</v>
      </c>
      <c r="I20" s="21">
        <f t="shared" si="1"/>
        <v>438</v>
      </c>
      <c r="J20" s="22">
        <f t="shared" si="2"/>
        <v>1</v>
      </c>
      <c r="K20" s="23">
        <v>0.54166666666666696</v>
      </c>
      <c r="L20" s="24">
        <v>3000</v>
      </c>
      <c r="M20" s="31">
        <v>169.89</v>
      </c>
      <c r="N20" s="26">
        <f t="shared" si="3"/>
        <v>480.00000000024602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>
        <v>426</v>
      </c>
      <c r="E21" s="134"/>
      <c r="F21" s="133" t="s">
        <v>26</v>
      </c>
      <c r="G21" s="134"/>
      <c r="H21" s="20">
        <f t="shared" si="0"/>
        <v>426</v>
      </c>
      <c r="I21" s="21">
        <f t="shared" si="1"/>
        <v>426</v>
      </c>
      <c r="J21" s="22">
        <f t="shared" si="2"/>
        <v>1</v>
      </c>
      <c r="K21" s="23">
        <v>0.58333333333333304</v>
      </c>
      <c r="L21" s="24">
        <v>3000</v>
      </c>
      <c r="M21" s="31">
        <v>169.93</v>
      </c>
      <c r="N21" s="26">
        <f t="shared" si="3"/>
        <v>479.99999999990501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>
        <v>409</v>
      </c>
      <c r="E22" s="134"/>
      <c r="F22" s="133" t="s">
        <v>26</v>
      </c>
      <c r="G22" s="134"/>
      <c r="H22" s="20">
        <f t="shared" si="0"/>
        <v>409</v>
      </c>
      <c r="I22" s="21">
        <f t="shared" si="1"/>
        <v>409</v>
      </c>
      <c r="J22" s="22">
        <f t="shared" si="2"/>
        <v>1</v>
      </c>
      <c r="K22" s="23">
        <v>0.625</v>
      </c>
      <c r="L22" s="24">
        <v>3000</v>
      </c>
      <c r="M22" s="31">
        <v>169.97</v>
      </c>
      <c r="N22" s="26">
        <f t="shared" si="3"/>
        <v>360.00000000001398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410</v>
      </c>
      <c r="E23" s="134"/>
      <c r="F23" s="133" t="s">
        <v>26</v>
      </c>
      <c r="G23" s="134"/>
      <c r="H23" s="20">
        <f t="shared" si="0"/>
        <v>410</v>
      </c>
      <c r="I23" s="21">
        <f t="shared" si="1"/>
        <v>410</v>
      </c>
      <c r="J23" s="22">
        <f t="shared" si="2"/>
        <v>1</v>
      </c>
      <c r="K23" s="23">
        <v>0.66666666666666596</v>
      </c>
      <c r="L23" s="24">
        <v>3000</v>
      </c>
      <c r="M23" s="31">
        <v>170</v>
      </c>
      <c r="N23" s="26">
        <f t="shared" si="3"/>
        <v>479.99999999990501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422</v>
      </c>
      <c r="E24" s="134"/>
      <c r="F24" s="133" t="s">
        <v>26</v>
      </c>
      <c r="G24" s="134"/>
      <c r="H24" s="20">
        <f t="shared" si="0"/>
        <v>422</v>
      </c>
      <c r="I24" s="21">
        <f t="shared" si="1"/>
        <v>422</v>
      </c>
      <c r="J24" s="22">
        <f t="shared" si="2"/>
        <v>1</v>
      </c>
      <c r="K24" s="23">
        <v>0.70833333333333304</v>
      </c>
      <c r="L24" s="24">
        <v>2700</v>
      </c>
      <c r="M24" s="31">
        <v>170.04</v>
      </c>
      <c r="N24" s="26">
        <f t="shared" si="3"/>
        <v>480.00000000024602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459</v>
      </c>
      <c r="E25" s="134"/>
      <c r="F25" s="133" t="s">
        <v>26</v>
      </c>
      <c r="G25" s="134"/>
      <c r="H25" s="20">
        <f t="shared" si="0"/>
        <v>459</v>
      </c>
      <c r="I25" s="21">
        <f t="shared" si="1"/>
        <v>459</v>
      </c>
      <c r="J25" s="22">
        <f t="shared" si="2"/>
        <v>1</v>
      </c>
      <c r="K25" s="23">
        <v>0.75</v>
      </c>
      <c r="L25" s="24">
        <v>2400</v>
      </c>
      <c r="M25" s="31">
        <v>170.08</v>
      </c>
      <c r="N25" s="26">
        <f t="shared" si="3"/>
        <v>719.999999999686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340</v>
      </c>
      <c r="E26" s="134"/>
      <c r="F26" s="133">
        <v>317</v>
      </c>
      <c r="G26" s="134"/>
      <c r="H26" s="20">
        <f t="shared" si="0"/>
        <v>657</v>
      </c>
      <c r="I26" s="21">
        <f t="shared" si="1"/>
        <v>328.5</v>
      </c>
      <c r="J26" s="22">
        <f t="shared" si="2"/>
        <v>2</v>
      </c>
      <c r="K26" s="23">
        <v>0.79166666666666596</v>
      </c>
      <c r="L26" s="24">
        <v>2100</v>
      </c>
      <c r="M26" s="31">
        <v>170.14</v>
      </c>
      <c r="N26" s="26">
        <f t="shared" si="3"/>
        <v>720.00000000002694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337</v>
      </c>
      <c r="E27" s="134"/>
      <c r="F27" s="133">
        <v>334</v>
      </c>
      <c r="G27" s="134"/>
      <c r="H27" s="20">
        <f t="shared" si="0"/>
        <v>671</v>
      </c>
      <c r="I27" s="21">
        <f t="shared" si="1"/>
        <v>335.5</v>
      </c>
      <c r="J27" s="22">
        <f t="shared" si="2"/>
        <v>2</v>
      </c>
      <c r="K27" s="23">
        <v>0.83333333333333304</v>
      </c>
      <c r="L27" s="24">
        <v>2100</v>
      </c>
      <c r="M27" s="31">
        <v>170.2</v>
      </c>
      <c r="N27" s="26">
        <f t="shared" si="3"/>
        <v>720.00000000002694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310</v>
      </c>
      <c r="E28" s="134"/>
      <c r="F28" s="133">
        <v>318</v>
      </c>
      <c r="G28" s="134"/>
      <c r="H28" s="20">
        <f t="shared" si="0"/>
        <v>628</v>
      </c>
      <c r="I28" s="21">
        <f t="shared" si="1"/>
        <v>314</v>
      </c>
      <c r="J28" s="22">
        <f t="shared" si="2"/>
        <v>2</v>
      </c>
      <c r="K28" s="23">
        <v>0.875</v>
      </c>
      <c r="L28" s="24">
        <v>1800</v>
      </c>
      <c r="M28" s="31">
        <v>170.26</v>
      </c>
      <c r="N28" s="26">
        <f t="shared" si="3"/>
        <v>720.00000000002694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292</v>
      </c>
      <c r="E29" s="134"/>
      <c r="F29" s="133">
        <v>290</v>
      </c>
      <c r="G29" s="134"/>
      <c r="H29" s="20">
        <f t="shared" si="0"/>
        <v>582</v>
      </c>
      <c r="I29" s="21">
        <f t="shared" si="1"/>
        <v>291</v>
      </c>
      <c r="J29" s="22">
        <f t="shared" si="2"/>
        <v>2</v>
      </c>
      <c r="K29" s="23">
        <v>0.91666666666666596</v>
      </c>
      <c r="L29" s="24">
        <v>1800</v>
      </c>
      <c r="M29" s="31">
        <v>170.32</v>
      </c>
      <c r="N29" s="26">
        <f t="shared" si="3"/>
        <v>600.00000000013597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278</v>
      </c>
      <c r="E30" s="134"/>
      <c r="F30" s="133">
        <v>276</v>
      </c>
      <c r="G30" s="134"/>
      <c r="H30" s="20">
        <f t="shared" si="0"/>
        <v>554</v>
      </c>
      <c r="I30" s="21">
        <f t="shared" si="1"/>
        <v>277</v>
      </c>
      <c r="J30" s="22">
        <f t="shared" si="2"/>
        <v>2</v>
      </c>
      <c r="K30" s="23">
        <v>0.95833333333333304</v>
      </c>
      <c r="L30" s="24">
        <v>1800</v>
      </c>
      <c r="M30" s="31">
        <v>170.37</v>
      </c>
      <c r="N30" s="26">
        <f t="shared" si="3"/>
        <v>720.00000000002694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249</v>
      </c>
      <c r="E31" s="134"/>
      <c r="F31" s="133">
        <v>259</v>
      </c>
      <c r="G31" s="134"/>
      <c r="H31" s="20">
        <f t="shared" si="0"/>
        <v>508</v>
      </c>
      <c r="I31" s="35">
        <f t="shared" si="1"/>
        <v>254</v>
      </c>
      <c r="J31" s="36">
        <f t="shared" si="2"/>
        <v>2</v>
      </c>
      <c r="K31" s="37">
        <v>1</v>
      </c>
      <c r="L31" s="24">
        <v>4500</v>
      </c>
      <c r="M31" s="38">
        <v>170.43</v>
      </c>
      <c r="N31" s="26">
        <f>H31</f>
        <v>508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6.1349999999999998</v>
      </c>
      <c r="E32" s="136"/>
      <c r="F32" s="135">
        <f>SUM(F8:F31)/1000</f>
        <v>4.4050000000000002</v>
      </c>
      <c r="G32" s="136"/>
      <c r="H32" s="40">
        <f>SUM(H8:H31)</f>
        <v>10540</v>
      </c>
      <c r="I32" s="41" t="s">
        <v>13</v>
      </c>
      <c r="J32" s="42"/>
      <c r="K32" s="43"/>
      <c r="L32" s="44"/>
      <c r="M32" s="45">
        <f>SUM(M31-M8+N8)</f>
        <v>480.95999999990499</v>
      </c>
      <c r="N32" s="46">
        <f>SUM(N8:N31)</f>
        <v>12028.0000000001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340.83333333333297</v>
      </c>
      <c r="E33" s="116"/>
      <c r="F33" s="119">
        <f>IFERROR((AVERAGE(F8:F31)),"0")</f>
        <v>259.11764705882399</v>
      </c>
      <c r="G33" s="121"/>
      <c r="H33" s="147">
        <f>H32*1000</f>
        <v>10540000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18</v>
      </c>
      <c r="E35" s="162"/>
      <c r="F35" s="163">
        <f>COUNT(F8:F31)</f>
        <v>17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35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671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439.16666666666703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210</v>
      </c>
      <c r="D41" s="126"/>
      <c r="E41" s="73">
        <f>VLOOKUP(C41,H8:L31,4,FALSE)</f>
        <v>0.16666666666666699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310.85416666666703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-419.12666666667099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288" priority="11" operator="equal">
      <formula>"STB"</formula>
    </cfRule>
    <cfRule type="cellIs" dxfId="287" priority="12" operator="equal">
      <formula>"BD"</formula>
    </cfRule>
  </conditionalFormatting>
  <conditionalFormatting sqref="B8:B31">
    <cfRule type="cellIs" dxfId="286" priority="1" operator="equal">
      <formula>"STB"</formula>
    </cfRule>
    <cfRule type="cellIs" dxfId="285" priority="2" operator="equal">
      <formula>"BD"</formula>
    </cfRule>
  </conditionalFormatting>
  <conditionalFormatting sqref="D8:D31">
    <cfRule type="cellIs" dxfId="284" priority="8" operator="equal">
      <formula>"STB"</formula>
    </cfRule>
    <cfRule type="cellIs" dxfId="283" priority="9" operator="equal">
      <formula>"BD"</formula>
    </cfRule>
  </conditionalFormatting>
  <conditionalFormatting sqref="F8:F31">
    <cfRule type="cellIs" dxfId="282" priority="3" operator="equal">
      <formula>"STB"</formula>
    </cfRule>
    <cfRule type="cellIs" dxfId="281" priority="4" operator="equal">
      <formula>"BD"</formula>
    </cfRule>
  </conditionalFormatting>
  <conditionalFormatting sqref="H8:H31">
    <cfRule type="top10" dxfId="280" priority="5" bottom="1" rank="1"/>
    <cfRule type="top10" dxfId="279" priority="6" rank="1"/>
    <cfRule type="cellIs" dxfId="278" priority="7" stopIfTrue="1" operator="equal">
      <formula>28000</formula>
    </cfRule>
  </conditionalFormatting>
  <conditionalFormatting sqref="H32:H33">
    <cfRule type="top10" dxfId="277" priority="14" bottom="1" rank="1"/>
    <cfRule type="top10" dxfId="276" priority="15" rank="1"/>
    <cfRule type="cellIs" dxfId="275" priority="17" stopIfTrue="1" operator="equal">
      <formula>28000</formula>
    </cfRule>
  </conditionalFormatting>
  <conditionalFormatting sqref="N8 N9:O31">
    <cfRule type="cellIs" dxfId="274" priority="16" operator="equal">
      <formula>"BD"</formula>
    </cfRule>
  </conditionalFormatting>
  <conditionalFormatting sqref="O8">
    <cfRule type="cellIs" dxfId="273" priority="10" operator="equal">
      <formula>"N/A"</formula>
    </cfRule>
  </conditionalFormatting>
  <conditionalFormatting sqref="Y8:Y31">
    <cfRule type="containsText" dxfId="272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AC68"/>
  <sheetViews>
    <sheetView zoomScale="80" zoomScaleNormal="80" workbookViewId="0">
      <pane ySplit="7" topLeftCell="A9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'[16]Taniwel daily'!C4</f>
        <v>45307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243</v>
      </c>
      <c r="E8" s="134"/>
      <c r="F8" s="133">
        <v>246</v>
      </c>
      <c r="G8" s="134"/>
      <c r="H8" s="20">
        <f t="shared" ref="H8:H31" si="0">IF(SUM(B8:G8)/1000=0,"0",SUM(B8:G8))</f>
        <v>489</v>
      </c>
      <c r="I8" s="21">
        <f t="shared" ref="I8:I31" si="1">IFERROR(AVERAGE(B8:G8),"0")</f>
        <v>244.5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170.47</v>
      </c>
      <c r="N8" s="26">
        <f>(M9-M8)*12000</f>
        <v>479.99999999990501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237</v>
      </c>
      <c r="E9" s="134"/>
      <c r="F9" s="133">
        <v>243</v>
      </c>
      <c r="G9" s="134"/>
      <c r="H9" s="20">
        <f t="shared" si="0"/>
        <v>480</v>
      </c>
      <c r="I9" s="21">
        <f t="shared" si="1"/>
        <v>240</v>
      </c>
      <c r="J9" s="22">
        <f t="shared" si="2"/>
        <v>2</v>
      </c>
      <c r="K9" s="23">
        <v>8.3333333333333301E-2</v>
      </c>
      <c r="L9" s="24">
        <v>4200</v>
      </c>
      <c r="M9" s="31">
        <v>170.51</v>
      </c>
      <c r="N9" s="26">
        <f t="shared" ref="N9:N30" si="3">(M10-M9)*12000</f>
        <v>600.00000000013597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231</v>
      </c>
      <c r="E10" s="134"/>
      <c r="F10" s="133">
        <v>237</v>
      </c>
      <c r="G10" s="134"/>
      <c r="H10" s="20">
        <f t="shared" si="0"/>
        <v>468</v>
      </c>
      <c r="I10" s="21">
        <f t="shared" si="1"/>
        <v>234</v>
      </c>
      <c r="J10" s="22">
        <f t="shared" si="2"/>
        <v>2</v>
      </c>
      <c r="K10" s="23">
        <v>0.125</v>
      </c>
      <c r="L10" s="24">
        <v>4200</v>
      </c>
      <c r="M10" s="31">
        <v>170.56</v>
      </c>
      <c r="N10" s="26">
        <f t="shared" si="3"/>
        <v>479.99999999990501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225</v>
      </c>
      <c r="E11" s="134"/>
      <c r="F11" s="133">
        <v>223</v>
      </c>
      <c r="G11" s="134"/>
      <c r="H11" s="20">
        <f t="shared" si="0"/>
        <v>448</v>
      </c>
      <c r="I11" s="21">
        <f t="shared" si="1"/>
        <v>224</v>
      </c>
      <c r="J11" s="22">
        <f t="shared" si="2"/>
        <v>2</v>
      </c>
      <c r="K11" s="23">
        <v>0.16666666666666699</v>
      </c>
      <c r="L11" s="24">
        <v>4000</v>
      </c>
      <c r="M11" s="31">
        <v>170.6</v>
      </c>
      <c r="N11" s="26">
        <f t="shared" si="3"/>
        <v>479.99999999990501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 t="s">
        <v>26</v>
      </c>
      <c r="E12" s="134"/>
      <c r="F12" s="133">
        <v>428</v>
      </c>
      <c r="G12" s="134"/>
      <c r="H12" s="20">
        <f t="shared" si="0"/>
        <v>428</v>
      </c>
      <c r="I12" s="21">
        <f t="shared" si="1"/>
        <v>428</v>
      </c>
      <c r="J12" s="22">
        <f t="shared" si="2"/>
        <v>1</v>
      </c>
      <c r="K12" s="23">
        <v>0.20833333333333301</v>
      </c>
      <c r="L12" s="24">
        <v>3900</v>
      </c>
      <c r="M12" s="31">
        <v>170.64</v>
      </c>
      <c r="N12" s="26">
        <f t="shared" si="3"/>
        <v>480.00000000024602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231</v>
      </c>
      <c r="E13" s="134"/>
      <c r="F13" s="133">
        <v>220</v>
      </c>
      <c r="G13" s="134"/>
      <c r="H13" s="20">
        <f t="shared" si="0"/>
        <v>451</v>
      </c>
      <c r="I13" s="21">
        <f t="shared" si="1"/>
        <v>225.5</v>
      </c>
      <c r="J13" s="22">
        <f t="shared" si="2"/>
        <v>2</v>
      </c>
      <c r="K13" s="23">
        <v>0.25</v>
      </c>
      <c r="L13" s="24">
        <v>3600</v>
      </c>
      <c r="M13" s="31">
        <v>170.68</v>
      </c>
      <c r="N13" s="26">
        <f t="shared" si="3"/>
        <v>599.99999999979502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268</v>
      </c>
      <c r="E14" s="134"/>
      <c r="F14" s="133">
        <v>243</v>
      </c>
      <c r="G14" s="134"/>
      <c r="H14" s="20">
        <f t="shared" si="0"/>
        <v>511</v>
      </c>
      <c r="I14" s="21">
        <f t="shared" si="1"/>
        <v>255.5</v>
      </c>
      <c r="J14" s="22">
        <f t="shared" si="2"/>
        <v>2</v>
      </c>
      <c r="K14" s="23">
        <v>0.29166666666666702</v>
      </c>
      <c r="L14" s="24">
        <v>3600</v>
      </c>
      <c r="M14" s="31">
        <v>170.73</v>
      </c>
      <c r="N14" s="26">
        <f t="shared" si="3"/>
        <v>480.00000000024602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235</v>
      </c>
      <c r="E15" s="134"/>
      <c r="F15" s="133">
        <v>264</v>
      </c>
      <c r="G15" s="134"/>
      <c r="H15" s="20">
        <f t="shared" si="0"/>
        <v>499</v>
      </c>
      <c r="I15" s="21">
        <f t="shared" si="1"/>
        <v>249.5</v>
      </c>
      <c r="J15" s="22">
        <f t="shared" si="2"/>
        <v>2</v>
      </c>
      <c r="K15" s="23">
        <v>0.33333333333333298</v>
      </c>
      <c r="L15" s="24">
        <v>3600</v>
      </c>
      <c r="M15" s="31">
        <v>170.77</v>
      </c>
      <c r="N15" s="26">
        <f t="shared" si="3"/>
        <v>599.99999999979502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231</v>
      </c>
      <c r="E16" s="134"/>
      <c r="F16" s="133">
        <v>234</v>
      </c>
      <c r="G16" s="134"/>
      <c r="H16" s="20">
        <f t="shared" si="0"/>
        <v>465</v>
      </c>
      <c r="I16" s="21">
        <f t="shared" si="1"/>
        <v>232.5</v>
      </c>
      <c r="J16" s="22">
        <f t="shared" si="2"/>
        <v>2</v>
      </c>
      <c r="K16" s="23">
        <v>0.375</v>
      </c>
      <c r="L16" s="24">
        <v>3600</v>
      </c>
      <c r="M16" s="31">
        <v>170.82</v>
      </c>
      <c r="N16" s="26">
        <f t="shared" si="3"/>
        <v>600.00000000013597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 t="s">
        <v>26</v>
      </c>
      <c r="E17" s="134"/>
      <c r="F17" s="133">
        <v>457</v>
      </c>
      <c r="G17" s="134"/>
      <c r="H17" s="20">
        <f t="shared" si="0"/>
        <v>457</v>
      </c>
      <c r="I17" s="21">
        <f t="shared" si="1"/>
        <v>457</v>
      </c>
      <c r="J17" s="22">
        <f t="shared" si="2"/>
        <v>1</v>
      </c>
      <c r="K17" s="23">
        <v>0.41666666666666602</v>
      </c>
      <c r="L17" s="24">
        <v>3400</v>
      </c>
      <c r="M17" s="31">
        <v>170.87</v>
      </c>
      <c r="N17" s="26">
        <f t="shared" si="3"/>
        <v>479.99999999990501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 t="s">
        <v>26</v>
      </c>
      <c r="E18" s="134"/>
      <c r="F18" s="133">
        <v>396</v>
      </c>
      <c r="G18" s="134"/>
      <c r="H18" s="20">
        <f t="shared" si="0"/>
        <v>396</v>
      </c>
      <c r="I18" s="21">
        <f t="shared" si="1"/>
        <v>396</v>
      </c>
      <c r="J18" s="22">
        <f t="shared" si="2"/>
        <v>1</v>
      </c>
      <c r="K18" s="23">
        <v>0.45833333333333298</v>
      </c>
      <c r="L18" s="24">
        <v>3300</v>
      </c>
      <c r="M18" s="31">
        <v>170.91</v>
      </c>
      <c r="N18" s="26">
        <f t="shared" si="3"/>
        <v>360.00000000001398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209</v>
      </c>
      <c r="E19" s="134"/>
      <c r="F19" s="133" t="s">
        <v>26</v>
      </c>
      <c r="G19" s="134"/>
      <c r="H19" s="20">
        <f t="shared" si="0"/>
        <v>209</v>
      </c>
      <c r="I19" s="21">
        <f t="shared" si="1"/>
        <v>209</v>
      </c>
      <c r="J19" s="22">
        <f t="shared" si="2"/>
        <v>1</v>
      </c>
      <c r="K19" s="23">
        <v>0.5</v>
      </c>
      <c r="L19" s="24">
        <v>3300</v>
      </c>
      <c r="M19" s="31">
        <v>170.94</v>
      </c>
      <c r="N19" s="26">
        <f t="shared" si="3"/>
        <v>360.00000000001398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371</v>
      </c>
      <c r="E20" s="134"/>
      <c r="F20" s="133" t="s">
        <v>26</v>
      </c>
      <c r="G20" s="134"/>
      <c r="H20" s="20">
        <f t="shared" si="0"/>
        <v>371</v>
      </c>
      <c r="I20" s="21">
        <f t="shared" si="1"/>
        <v>371</v>
      </c>
      <c r="J20" s="22">
        <f t="shared" si="2"/>
        <v>1</v>
      </c>
      <c r="K20" s="23">
        <v>0.54166666666666696</v>
      </c>
      <c r="L20" s="24">
        <v>3000</v>
      </c>
      <c r="M20" s="31">
        <v>170.97</v>
      </c>
      <c r="N20" s="26">
        <f t="shared" si="3"/>
        <v>360.00000000001398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>
        <v>162</v>
      </c>
      <c r="E21" s="134"/>
      <c r="F21" s="133" t="s">
        <v>26</v>
      </c>
      <c r="G21" s="134"/>
      <c r="H21" s="20">
        <f t="shared" si="0"/>
        <v>162</v>
      </c>
      <c r="I21" s="21">
        <f t="shared" si="1"/>
        <v>162</v>
      </c>
      <c r="J21" s="22">
        <f t="shared" si="2"/>
        <v>1</v>
      </c>
      <c r="K21" s="23">
        <v>0.58333333333333304</v>
      </c>
      <c r="L21" s="24">
        <v>3000</v>
      </c>
      <c r="M21" s="31">
        <v>171</v>
      </c>
      <c r="N21" s="26">
        <f t="shared" si="3"/>
        <v>360.00000000001398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>
        <v>331</v>
      </c>
      <c r="E22" s="134"/>
      <c r="F22" s="133" t="s">
        <v>26</v>
      </c>
      <c r="G22" s="134"/>
      <c r="H22" s="20">
        <f t="shared" si="0"/>
        <v>331</v>
      </c>
      <c r="I22" s="21">
        <f t="shared" si="1"/>
        <v>331</v>
      </c>
      <c r="J22" s="22">
        <f t="shared" si="2"/>
        <v>1</v>
      </c>
      <c r="K22" s="23">
        <v>0.625</v>
      </c>
      <c r="L22" s="24">
        <v>3000</v>
      </c>
      <c r="M22" s="31">
        <v>171.03</v>
      </c>
      <c r="N22" s="26">
        <f t="shared" si="3"/>
        <v>360.00000000001398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331</v>
      </c>
      <c r="E23" s="134"/>
      <c r="F23" s="133" t="s">
        <v>26</v>
      </c>
      <c r="G23" s="134"/>
      <c r="H23" s="20">
        <f t="shared" si="0"/>
        <v>331</v>
      </c>
      <c r="I23" s="21">
        <f t="shared" si="1"/>
        <v>331</v>
      </c>
      <c r="J23" s="22">
        <f t="shared" si="2"/>
        <v>1</v>
      </c>
      <c r="K23" s="23">
        <v>0.66666666666666596</v>
      </c>
      <c r="L23" s="24">
        <v>3000</v>
      </c>
      <c r="M23" s="31">
        <v>171.06</v>
      </c>
      <c r="N23" s="26">
        <f t="shared" si="3"/>
        <v>479.99999999990501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213</v>
      </c>
      <c r="E24" s="134"/>
      <c r="F24" s="133">
        <v>224</v>
      </c>
      <c r="G24" s="134"/>
      <c r="H24" s="20">
        <f t="shared" si="0"/>
        <v>437</v>
      </c>
      <c r="I24" s="21">
        <f t="shared" si="1"/>
        <v>218.5</v>
      </c>
      <c r="J24" s="22">
        <f t="shared" si="2"/>
        <v>2</v>
      </c>
      <c r="K24" s="23">
        <v>0.70833333333333304</v>
      </c>
      <c r="L24" s="24">
        <v>2700</v>
      </c>
      <c r="M24" s="31">
        <v>171.1</v>
      </c>
      <c r="N24" s="26">
        <f t="shared" si="3"/>
        <v>479.99999999990501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246</v>
      </c>
      <c r="E25" s="134"/>
      <c r="F25" s="133">
        <v>331</v>
      </c>
      <c r="G25" s="134"/>
      <c r="H25" s="20">
        <f t="shared" si="0"/>
        <v>577</v>
      </c>
      <c r="I25" s="21">
        <f t="shared" si="1"/>
        <v>288.5</v>
      </c>
      <c r="J25" s="22">
        <f t="shared" si="2"/>
        <v>2</v>
      </c>
      <c r="K25" s="23">
        <v>0.75</v>
      </c>
      <c r="L25" s="24">
        <v>2400</v>
      </c>
      <c r="M25" s="31">
        <v>171.14</v>
      </c>
      <c r="N25" s="26">
        <f t="shared" si="3"/>
        <v>720.00000000002694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332</v>
      </c>
      <c r="E26" s="134"/>
      <c r="F26" s="133">
        <v>324</v>
      </c>
      <c r="G26" s="134"/>
      <c r="H26" s="20">
        <f t="shared" si="0"/>
        <v>656</v>
      </c>
      <c r="I26" s="21">
        <f t="shared" si="1"/>
        <v>328</v>
      </c>
      <c r="J26" s="22">
        <f t="shared" si="2"/>
        <v>2</v>
      </c>
      <c r="K26" s="23">
        <v>0.79166666666666596</v>
      </c>
      <c r="L26" s="24">
        <v>2100</v>
      </c>
      <c r="M26" s="31">
        <v>171.2</v>
      </c>
      <c r="N26" s="26">
        <f t="shared" si="3"/>
        <v>600.00000000013597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307</v>
      </c>
      <c r="E27" s="134"/>
      <c r="F27" s="133">
        <v>304</v>
      </c>
      <c r="G27" s="134"/>
      <c r="H27" s="20">
        <f t="shared" si="0"/>
        <v>611</v>
      </c>
      <c r="I27" s="21">
        <f t="shared" si="1"/>
        <v>305.5</v>
      </c>
      <c r="J27" s="22">
        <f t="shared" si="2"/>
        <v>2</v>
      </c>
      <c r="K27" s="23">
        <v>0.83333333333333304</v>
      </c>
      <c r="L27" s="24">
        <v>2100</v>
      </c>
      <c r="M27" s="31">
        <v>171.25</v>
      </c>
      <c r="N27" s="26">
        <f t="shared" si="3"/>
        <v>600.00000000013597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290</v>
      </c>
      <c r="E28" s="134"/>
      <c r="F28" s="133">
        <v>305</v>
      </c>
      <c r="G28" s="134"/>
      <c r="H28" s="20">
        <f t="shared" si="0"/>
        <v>595</v>
      </c>
      <c r="I28" s="21">
        <f t="shared" si="1"/>
        <v>297.5</v>
      </c>
      <c r="J28" s="22">
        <f t="shared" si="2"/>
        <v>2</v>
      </c>
      <c r="K28" s="23">
        <v>0.875</v>
      </c>
      <c r="L28" s="24">
        <v>1800</v>
      </c>
      <c r="M28" s="31">
        <v>171.3</v>
      </c>
      <c r="N28" s="26">
        <f t="shared" si="3"/>
        <v>720.00000000002694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275</v>
      </c>
      <c r="E29" s="134"/>
      <c r="F29" s="133">
        <v>264</v>
      </c>
      <c r="G29" s="134"/>
      <c r="H29" s="20">
        <f t="shared" si="0"/>
        <v>539</v>
      </c>
      <c r="I29" s="21">
        <f t="shared" si="1"/>
        <v>269.5</v>
      </c>
      <c r="J29" s="22">
        <f t="shared" si="2"/>
        <v>2</v>
      </c>
      <c r="K29" s="23">
        <v>0.91666666666666596</v>
      </c>
      <c r="L29" s="24">
        <v>1800</v>
      </c>
      <c r="M29" s="31">
        <v>171.36</v>
      </c>
      <c r="N29" s="26">
        <f t="shared" si="3"/>
        <v>479.99999999990501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245</v>
      </c>
      <c r="E30" s="134"/>
      <c r="F30" s="133">
        <v>241</v>
      </c>
      <c r="G30" s="134"/>
      <c r="H30" s="20">
        <f t="shared" si="0"/>
        <v>486</v>
      </c>
      <c r="I30" s="21">
        <f t="shared" si="1"/>
        <v>243</v>
      </c>
      <c r="J30" s="22">
        <f t="shared" si="2"/>
        <v>2</v>
      </c>
      <c r="K30" s="23">
        <v>0.95833333333333304</v>
      </c>
      <c r="L30" s="24">
        <v>1800</v>
      </c>
      <c r="M30" s="31">
        <v>171.4</v>
      </c>
      <c r="N30" s="26">
        <f t="shared" si="3"/>
        <v>479.99999999990501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 t="s">
        <v>26</v>
      </c>
      <c r="E31" s="134"/>
      <c r="F31" s="133">
        <v>220</v>
      </c>
      <c r="G31" s="134"/>
      <c r="H31" s="20">
        <f t="shared" si="0"/>
        <v>220</v>
      </c>
      <c r="I31" s="35">
        <f t="shared" si="1"/>
        <v>220</v>
      </c>
      <c r="J31" s="36">
        <f t="shared" si="2"/>
        <v>1</v>
      </c>
      <c r="K31" s="37">
        <v>1</v>
      </c>
      <c r="L31" s="24">
        <v>4500</v>
      </c>
      <c r="M31" s="38">
        <v>171.44</v>
      </c>
      <c r="N31" s="26">
        <f>H31</f>
        <v>220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5.2130000000000001</v>
      </c>
      <c r="E32" s="136"/>
      <c r="F32" s="135">
        <f>SUM(F8:F31)/1000</f>
        <v>5.4039999999999999</v>
      </c>
      <c r="G32" s="136"/>
      <c r="H32" s="40">
        <f>SUM(H8:H31)</f>
        <v>10617</v>
      </c>
      <c r="I32" s="41" t="s">
        <v>13</v>
      </c>
      <c r="J32" s="42"/>
      <c r="K32" s="43"/>
      <c r="L32" s="44"/>
      <c r="M32" s="45">
        <f>SUM(M31-M8+N8)</f>
        <v>480.96999999990499</v>
      </c>
      <c r="N32" s="46">
        <f>SUM(N8:N31)</f>
        <v>11860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260.64999999999998</v>
      </c>
      <c r="E33" s="116"/>
      <c r="F33" s="119">
        <f>IFERROR((AVERAGE(F8:F31)),"0")</f>
        <v>284.42105263157902</v>
      </c>
      <c r="G33" s="121"/>
      <c r="H33" s="147">
        <f>H32*1000</f>
        <v>10617000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20</v>
      </c>
      <c r="E35" s="162"/>
      <c r="F35" s="163">
        <f>COUNT(F8:F31)</f>
        <v>19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39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656</v>
      </c>
      <c r="D39" s="126"/>
      <c r="E39" s="73">
        <f>VLOOKUP(C39,H8:L31,4,FALSE)</f>
        <v>0.79166666666666596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442.375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162</v>
      </c>
      <c r="D41" s="126"/>
      <c r="E41" s="73">
        <f>VLOOKUP(C41,H8:L31,4,FALSE)</f>
        <v>0.58333333333333304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281.70833333333297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-422.33458333333698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271" priority="11" operator="equal">
      <formula>"STB"</formula>
    </cfRule>
    <cfRule type="cellIs" dxfId="270" priority="12" operator="equal">
      <formula>"BD"</formula>
    </cfRule>
  </conditionalFormatting>
  <conditionalFormatting sqref="B8:B31">
    <cfRule type="cellIs" dxfId="269" priority="1" operator="equal">
      <formula>"STB"</formula>
    </cfRule>
    <cfRule type="cellIs" dxfId="268" priority="2" operator="equal">
      <formula>"BD"</formula>
    </cfRule>
  </conditionalFormatting>
  <conditionalFormatting sqref="D8:D31">
    <cfRule type="cellIs" dxfId="267" priority="8" operator="equal">
      <formula>"STB"</formula>
    </cfRule>
    <cfRule type="cellIs" dxfId="266" priority="9" operator="equal">
      <formula>"BD"</formula>
    </cfRule>
  </conditionalFormatting>
  <conditionalFormatting sqref="F8:F31">
    <cfRule type="cellIs" dxfId="265" priority="3" operator="equal">
      <formula>"STB"</formula>
    </cfRule>
    <cfRule type="cellIs" dxfId="264" priority="4" operator="equal">
      <formula>"BD"</formula>
    </cfRule>
  </conditionalFormatting>
  <conditionalFormatting sqref="H8:H31">
    <cfRule type="top10" dxfId="263" priority="5" bottom="1" rank="1"/>
    <cfRule type="top10" dxfId="262" priority="6" rank="1"/>
    <cfRule type="cellIs" dxfId="261" priority="7" stopIfTrue="1" operator="equal">
      <formula>28000</formula>
    </cfRule>
  </conditionalFormatting>
  <conditionalFormatting sqref="H32:H33">
    <cfRule type="top10" dxfId="260" priority="14" bottom="1" rank="1"/>
    <cfRule type="top10" dxfId="259" priority="15" rank="1"/>
    <cfRule type="cellIs" dxfId="258" priority="17" stopIfTrue="1" operator="equal">
      <formula>28000</formula>
    </cfRule>
  </conditionalFormatting>
  <conditionalFormatting sqref="N8 N9:O31">
    <cfRule type="cellIs" dxfId="257" priority="16" operator="equal">
      <formula>"BD"</formula>
    </cfRule>
  </conditionalFormatting>
  <conditionalFormatting sqref="O8">
    <cfRule type="cellIs" dxfId="256" priority="10" operator="equal">
      <formula>"N/A"</formula>
    </cfRule>
  </conditionalFormatting>
  <conditionalFormatting sqref="Y8:Y31">
    <cfRule type="containsText" dxfId="255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AC68"/>
  <sheetViews>
    <sheetView zoomScale="80" zoomScaleNormal="80" workbookViewId="0">
      <pane ySplit="7" topLeftCell="A9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'[17]Taniwel daily'!C4</f>
        <v>45308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 t="s">
        <v>26</v>
      </c>
      <c r="E8" s="134"/>
      <c r="F8" s="133">
        <v>201</v>
      </c>
      <c r="G8" s="134"/>
      <c r="H8" s="20">
        <f t="shared" ref="H8:H31" si="0">IF(SUM(B8:G8)/1000=0,"0",SUM(B8:G8))</f>
        <v>201</v>
      </c>
      <c r="I8" s="21">
        <f t="shared" ref="I8:I31" si="1">IFERROR(AVERAGE(B8:G8),"0")</f>
        <v>201</v>
      </c>
      <c r="J8" s="22">
        <f t="shared" ref="J8:J31" si="2">COUNT(B8:G8)</f>
        <v>1</v>
      </c>
      <c r="K8" s="23">
        <v>4.1666666666666699E-2</v>
      </c>
      <c r="L8" s="24">
        <v>4500</v>
      </c>
      <c r="M8" s="25">
        <v>171.46</v>
      </c>
      <c r="N8" s="26">
        <f>(M9-M8)*12000</f>
        <v>479.99999999990501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216</v>
      </c>
      <c r="E9" s="134"/>
      <c r="F9" s="133">
        <v>228</v>
      </c>
      <c r="G9" s="134"/>
      <c r="H9" s="20">
        <f t="shared" si="0"/>
        <v>444</v>
      </c>
      <c r="I9" s="21">
        <f t="shared" si="1"/>
        <v>222</v>
      </c>
      <c r="J9" s="22">
        <f t="shared" si="2"/>
        <v>2</v>
      </c>
      <c r="K9" s="23">
        <v>8.3333333333333301E-2</v>
      </c>
      <c r="L9" s="24">
        <v>4200</v>
      </c>
      <c r="M9" s="31">
        <v>171.5</v>
      </c>
      <c r="N9" s="26">
        <f t="shared" ref="N9:N30" si="3">(M10-M9)*12000</f>
        <v>479.99999999990501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 t="s">
        <v>26</v>
      </c>
      <c r="E10" s="134"/>
      <c r="F10" s="133">
        <v>436</v>
      </c>
      <c r="G10" s="134"/>
      <c r="H10" s="20">
        <f t="shared" si="0"/>
        <v>436</v>
      </c>
      <c r="I10" s="21">
        <f t="shared" si="1"/>
        <v>436</v>
      </c>
      <c r="J10" s="22">
        <f t="shared" si="2"/>
        <v>1</v>
      </c>
      <c r="K10" s="23">
        <v>0.125</v>
      </c>
      <c r="L10" s="24">
        <v>4200</v>
      </c>
      <c r="M10" s="31">
        <v>171.54</v>
      </c>
      <c r="N10" s="26">
        <f t="shared" si="3"/>
        <v>480.00000000024602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 t="s">
        <v>26</v>
      </c>
      <c r="E11" s="134"/>
      <c r="F11" s="133">
        <v>432</v>
      </c>
      <c r="G11" s="134"/>
      <c r="H11" s="20">
        <f t="shared" si="0"/>
        <v>432</v>
      </c>
      <c r="I11" s="21">
        <f t="shared" si="1"/>
        <v>432</v>
      </c>
      <c r="J11" s="22">
        <f t="shared" si="2"/>
        <v>1</v>
      </c>
      <c r="K11" s="23">
        <v>0.16666666666666699</v>
      </c>
      <c r="L11" s="24">
        <v>4000</v>
      </c>
      <c r="M11" s="31">
        <v>171.58</v>
      </c>
      <c r="N11" s="26">
        <f t="shared" si="3"/>
        <v>479.99999999990501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 t="s">
        <v>26</v>
      </c>
      <c r="E12" s="134"/>
      <c r="F12" s="133">
        <v>440</v>
      </c>
      <c r="G12" s="134"/>
      <c r="H12" s="20">
        <f t="shared" si="0"/>
        <v>440</v>
      </c>
      <c r="I12" s="21">
        <f t="shared" si="1"/>
        <v>440</v>
      </c>
      <c r="J12" s="22">
        <f t="shared" si="2"/>
        <v>1</v>
      </c>
      <c r="K12" s="23">
        <v>0.20833333333333301</v>
      </c>
      <c r="L12" s="24">
        <v>3900</v>
      </c>
      <c r="M12" s="31">
        <v>171.62</v>
      </c>
      <c r="N12" s="26">
        <f t="shared" si="3"/>
        <v>599.99999999979502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245</v>
      </c>
      <c r="E13" s="134"/>
      <c r="F13" s="133">
        <v>223</v>
      </c>
      <c r="G13" s="134"/>
      <c r="H13" s="20">
        <f t="shared" si="0"/>
        <v>468</v>
      </c>
      <c r="I13" s="21">
        <f t="shared" si="1"/>
        <v>234</v>
      </c>
      <c r="J13" s="22">
        <f t="shared" si="2"/>
        <v>2</v>
      </c>
      <c r="K13" s="23">
        <v>0.25</v>
      </c>
      <c r="L13" s="24">
        <v>3600</v>
      </c>
      <c r="M13" s="31">
        <v>171.67</v>
      </c>
      <c r="N13" s="26">
        <f t="shared" si="3"/>
        <v>600.00000000013597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270</v>
      </c>
      <c r="E14" s="134"/>
      <c r="F14" s="133">
        <v>251</v>
      </c>
      <c r="G14" s="134"/>
      <c r="H14" s="20">
        <f t="shared" si="0"/>
        <v>521</v>
      </c>
      <c r="I14" s="21">
        <f t="shared" si="1"/>
        <v>260.5</v>
      </c>
      <c r="J14" s="22">
        <f t="shared" si="2"/>
        <v>2</v>
      </c>
      <c r="K14" s="23">
        <v>0.29166666666666702</v>
      </c>
      <c r="L14" s="24">
        <v>3600</v>
      </c>
      <c r="M14" s="31">
        <v>171.72</v>
      </c>
      <c r="N14" s="26">
        <f t="shared" si="3"/>
        <v>600.00000000013597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274</v>
      </c>
      <c r="E15" s="134"/>
      <c r="F15" s="133">
        <v>245</v>
      </c>
      <c r="G15" s="134"/>
      <c r="H15" s="20">
        <f t="shared" si="0"/>
        <v>519</v>
      </c>
      <c r="I15" s="21">
        <f t="shared" si="1"/>
        <v>259.5</v>
      </c>
      <c r="J15" s="22">
        <f t="shared" si="2"/>
        <v>2</v>
      </c>
      <c r="K15" s="23">
        <v>0.33333333333333298</v>
      </c>
      <c r="L15" s="24">
        <v>3600</v>
      </c>
      <c r="M15" s="31">
        <v>171.77</v>
      </c>
      <c r="N15" s="26">
        <f t="shared" si="3"/>
        <v>479.99999999990501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223</v>
      </c>
      <c r="E16" s="134"/>
      <c r="F16" s="133">
        <v>243</v>
      </c>
      <c r="G16" s="134"/>
      <c r="H16" s="20">
        <f t="shared" si="0"/>
        <v>466</v>
      </c>
      <c r="I16" s="21">
        <f t="shared" si="1"/>
        <v>233</v>
      </c>
      <c r="J16" s="22">
        <f t="shared" si="2"/>
        <v>2</v>
      </c>
      <c r="K16" s="23">
        <v>0.375</v>
      </c>
      <c r="L16" s="24">
        <v>3600</v>
      </c>
      <c r="M16" s="31">
        <v>171.81</v>
      </c>
      <c r="N16" s="26">
        <f t="shared" si="3"/>
        <v>479.99999999990501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461</v>
      </c>
      <c r="E17" s="134"/>
      <c r="F17" s="133" t="s">
        <v>26</v>
      </c>
      <c r="G17" s="134"/>
      <c r="H17" s="20">
        <f t="shared" si="0"/>
        <v>461</v>
      </c>
      <c r="I17" s="21">
        <f t="shared" si="1"/>
        <v>461</v>
      </c>
      <c r="J17" s="22">
        <f t="shared" si="2"/>
        <v>1</v>
      </c>
      <c r="K17" s="23">
        <v>0.41666666666666602</v>
      </c>
      <c r="L17" s="24">
        <v>3400</v>
      </c>
      <c r="M17" s="31">
        <v>171.85</v>
      </c>
      <c r="N17" s="26">
        <f t="shared" si="3"/>
        <v>600.00000000013597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228</v>
      </c>
      <c r="E18" s="134"/>
      <c r="F18" s="133">
        <v>230</v>
      </c>
      <c r="G18" s="134"/>
      <c r="H18" s="20">
        <f t="shared" si="0"/>
        <v>458</v>
      </c>
      <c r="I18" s="21">
        <f t="shared" si="1"/>
        <v>229</v>
      </c>
      <c r="J18" s="22">
        <f t="shared" si="2"/>
        <v>2</v>
      </c>
      <c r="K18" s="23">
        <v>0.45833333333333298</v>
      </c>
      <c r="L18" s="24">
        <v>3300</v>
      </c>
      <c r="M18" s="31">
        <v>171.9</v>
      </c>
      <c r="N18" s="26">
        <f t="shared" si="3"/>
        <v>479.99999999990501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125</v>
      </c>
      <c r="E19" s="134"/>
      <c r="F19" s="133">
        <v>223</v>
      </c>
      <c r="G19" s="134"/>
      <c r="H19" s="20">
        <f t="shared" si="0"/>
        <v>348</v>
      </c>
      <c r="I19" s="21">
        <f t="shared" si="1"/>
        <v>174</v>
      </c>
      <c r="J19" s="22">
        <f t="shared" si="2"/>
        <v>2</v>
      </c>
      <c r="K19" s="23">
        <v>0.5</v>
      </c>
      <c r="L19" s="24">
        <v>3300</v>
      </c>
      <c r="M19" s="31">
        <v>171.94</v>
      </c>
      <c r="N19" s="26">
        <f t="shared" si="3"/>
        <v>479.99999999990501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433</v>
      </c>
      <c r="E20" s="134"/>
      <c r="F20" s="133" t="s">
        <v>26</v>
      </c>
      <c r="G20" s="134"/>
      <c r="H20" s="20">
        <f t="shared" si="0"/>
        <v>433</v>
      </c>
      <c r="I20" s="21">
        <f t="shared" si="1"/>
        <v>433</v>
      </c>
      <c r="J20" s="22">
        <f t="shared" si="2"/>
        <v>1</v>
      </c>
      <c r="K20" s="23">
        <v>0.54166666666666696</v>
      </c>
      <c r="L20" s="24">
        <v>3000</v>
      </c>
      <c r="M20" s="31">
        <v>171.98</v>
      </c>
      <c r="N20" s="26">
        <f t="shared" si="3"/>
        <v>600.00000000013597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>
        <v>428</v>
      </c>
      <c r="E21" s="134"/>
      <c r="F21" s="133" t="s">
        <v>26</v>
      </c>
      <c r="G21" s="134"/>
      <c r="H21" s="20">
        <f t="shared" si="0"/>
        <v>428</v>
      </c>
      <c r="I21" s="21">
        <f t="shared" si="1"/>
        <v>428</v>
      </c>
      <c r="J21" s="22">
        <f t="shared" si="2"/>
        <v>1</v>
      </c>
      <c r="K21" s="23">
        <v>0.58333333333333304</v>
      </c>
      <c r="L21" s="24">
        <v>3000</v>
      </c>
      <c r="M21" s="31">
        <v>172.03</v>
      </c>
      <c r="N21" s="26">
        <f t="shared" si="3"/>
        <v>360.00000000001398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>
        <v>424</v>
      </c>
      <c r="E22" s="134"/>
      <c r="F22" s="133" t="s">
        <v>26</v>
      </c>
      <c r="G22" s="134"/>
      <c r="H22" s="20">
        <f t="shared" si="0"/>
        <v>424</v>
      </c>
      <c r="I22" s="21">
        <f t="shared" si="1"/>
        <v>424</v>
      </c>
      <c r="J22" s="22">
        <f t="shared" si="2"/>
        <v>1</v>
      </c>
      <c r="K22" s="23">
        <v>0.625</v>
      </c>
      <c r="L22" s="24">
        <v>3000</v>
      </c>
      <c r="M22" s="31">
        <v>172.06</v>
      </c>
      <c r="N22" s="26">
        <f t="shared" si="3"/>
        <v>479.99999999990501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 t="s">
        <v>26</v>
      </c>
      <c r="E23" s="134"/>
      <c r="F23" s="133">
        <v>422</v>
      </c>
      <c r="G23" s="134"/>
      <c r="H23" s="20">
        <f t="shared" si="0"/>
        <v>422</v>
      </c>
      <c r="I23" s="21">
        <f t="shared" si="1"/>
        <v>422</v>
      </c>
      <c r="J23" s="22">
        <f t="shared" si="2"/>
        <v>1</v>
      </c>
      <c r="K23" s="23">
        <v>0.66666666666666596</v>
      </c>
      <c r="L23" s="24">
        <v>3000</v>
      </c>
      <c r="M23" s="31">
        <v>172.1</v>
      </c>
      <c r="N23" s="26">
        <f t="shared" si="3"/>
        <v>479.99999999990501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 t="s">
        <v>26</v>
      </c>
      <c r="E24" s="134"/>
      <c r="F24" s="133">
        <v>399</v>
      </c>
      <c r="G24" s="134"/>
      <c r="H24" s="20">
        <f t="shared" si="0"/>
        <v>399</v>
      </c>
      <c r="I24" s="21">
        <f t="shared" si="1"/>
        <v>399</v>
      </c>
      <c r="J24" s="22">
        <f t="shared" si="2"/>
        <v>1</v>
      </c>
      <c r="K24" s="23">
        <v>0.70833333333333304</v>
      </c>
      <c r="L24" s="24">
        <v>2700</v>
      </c>
      <c r="M24" s="31">
        <v>172.14</v>
      </c>
      <c r="N24" s="26">
        <f t="shared" si="3"/>
        <v>480.00000000024602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 t="s">
        <v>26</v>
      </c>
      <c r="E25" s="134"/>
      <c r="F25" s="133">
        <v>430</v>
      </c>
      <c r="G25" s="134"/>
      <c r="H25" s="20">
        <f t="shared" si="0"/>
        <v>430</v>
      </c>
      <c r="I25" s="21">
        <f t="shared" si="1"/>
        <v>430</v>
      </c>
      <c r="J25" s="22">
        <f t="shared" si="2"/>
        <v>1</v>
      </c>
      <c r="K25" s="23">
        <v>0.75</v>
      </c>
      <c r="L25" s="24">
        <v>2400</v>
      </c>
      <c r="M25" s="31">
        <v>172.18</v>
      </c>
      <c r="N25" s="26">
        <f t="shared" si="3"/>
        <v>479.99999999990501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281</v>
      </c>
      <c r="E26" s="134"/>
      <c r="F26" s="133">
        <v>270</v>
      </c>
      <c r="G26" s="134"/>
      <c r="H26" s="20">
        <f t="shared" si="0"/>
        <v>551</v>
      </c>
      <c r="I26" s="21">
        <f t="shared" si="1"/>
        <v>275.5</v>
      </c>
      <c r="J26" s="22">
        <f t="shared" si="2"/>
        <v>2</v>
      </c>
      <c r="K26" s="23">
        <v>0.79166666666666596</v>
      </c>
      <c r="L26" s="24">
        <v>2100</v>
      </c>
      <c r="M26" s="31">
        <v>172.22</v>
      </c>
      <c r="N26" s="26">
        <f t="shared" si="3"/>
        <v>720.00000000002694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329</v>
      </c>
      <c r="E27" s="134"/>
      <c r="F27" s="133">
        <v>318</v>
      </c>
      <c r="G27" s="134"/>
      <c r="H27" s="20">
        <f t="shared" si="0"/>
        <v>647</v>
      </c>
      <c r="I27" s="21">
        <f t="shared" si="1"/>
        <v>323.5</v>
      </c>
      <c r="J27" s="22">
        <f t="shared" si="2"/>
        <v>2</v>
      </c>
      <c r="K27" s="23">
        <v>0.83333333333333304</v>
      </c>
      <c r="L27" s="24">
        <v>2100</v>
      </c>
      <c r="M27" s="31">
        <v>172.28</v>
      </c>
      <c r="N27" s="26">
        <f t="shared" si="3"/>
        <v>720.00000000002694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287</v>
      </c>
      <c r="E28" s="134"/>
      <c r="F28" s="133">
        <v>240</v>
      </c>
      <c r="G28" s="134"/>
      <c r="H28" s="20">
        <f t="shared" si="0"/>
        <v>527</v>
      </c>
      <c r="I28" s="21">
        <f t="shared" si="1"/>
        <v>263.5</v>
      </c>
      <c r="J28" s="22">
        <f t="shared" si="2"/>
        <v>2</v>
      </c>
      <c r="K28" s="23">
        <v>0.875</v>
      </c>
      <c r="L28" s="24">
        <v>1800</v>
      </c>
      <c r="M28" s="31">
        <v>172.34</v>
      </c>
      <c r="N28" s="26">
        <f t="shared" si="3"/>
        <v>599.99999999979502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269</v>
      </c>
      <c r="E29" s="134"/>
      <c r="F29" s="133">
        <v>271</v>
      </c>
      <c r="G29" s="134"/>
      <c r="H29" s="20">
        <f t="shared" si="0"/>
        <v>540</v>
      </c>
      <c r="I29" s="21">
        <f t="shared" si="1"/>
        <v>270</v>
      </c>
      <c r="J29" s="22">
        <f t="shared" si="2"/>
        <v>2</v>
      </c>
      <c r="K29" s="23">
        <v>0.91666666666666596</v>
      </c>
      <c r="L29" s="24">
        <v>1800</v>
      </c>
      <c r="M29" s="31">
        <v>172.39</v>
      </c>
      <c r="N29" s="26">
        <f t="shared" si="3"/>
        <v>600.00000000013597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268</v>
      </c>
      <c r="E30" s="134"/>
      <c r="F30" s="133">
        <v>252</v>
      </c>
      <c r="G30" s="134"/>
      <c r="H30" s="20">
        <f t="shared" si="0"/>
        <v>520</v>
      </c>
      <c r="I30" s="21">
        <f t="shared" si="1"/>
        <v>260</v>
      </c>
      <c r="J30" s="22">
        <f t="shared" si="2"/>
        <v>2</v>
      </c>
      <c r="K30" s="23">
        <v>0.95833333333333304</v>
      </c>
      <c r="L30" s="24">
        <v>1800</v>
      </c>
      <c r="M30" s="31">
        <v>172.44</v>
      </c>
      <c r="N30" s="26">
        <f t="shared" si="3"/>
        <v>600.00000000013597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231</v>
      </c>
      <c r="E31" s="134"/>
      <c r="F31" s="133">
        <v>243</v>
      </c>
      <c r="G31" s="134"/>
      <c r="H31" s="20">
        <f t="shared" si="0"/>
        <v>474</v>
      </c>
      <c r="I31" s="35">
        <f t="shared" si="1"/>
        <v>237</v>
      </c>
      <c r="J31" s="36">
        <f t="shared" si="2"/>
        <v>2</v>
      </c>
      <c r="K31" s="37">
        <v>1</v>
      </c>
      <c r="L31" s="24">
        <v>4500</v>
      </c>
      <c r="M31" s="38">
        <v>172.49</v>
      </c>
      <c r="N31" s="26">
        <f>H31</f>
        <v>474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4.992</v>
      </c>
      <c r="E32" s="136"/>
      <c r="F32" s="135">
        <f>SUM(F8:F31)/1000</f>
        <v>5.9969999999999999</v>
      </c>
      <c r="G32" s="136"/>
      <c r="H32" s="40">
        <f>SUM(H8:H31)</f>
        <v>10989</v>
      </c>
      <c r="I32" s="41" t="s">
        <v>13</v>
      </c>
      <c r="J32" s="42"/>
      <c r="K32" s="43"/>
      <c r="L32" s="44"/>
      <c r="M32" s="45">
        <f>SUM(M31-M8+N8)</f>
        <v>481.02999999990402</v>
      </c>
      <c r="N32" s="46">
        <f>SUM(N8:N31)</f>
        <v>12834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293.64705882352899</v>
      </c>
      <c r="E33" s="116"/>
      <c r="F33" s="119">
        <f>IFERROR((AVERAGE(F8:F31)),"0")</f>
        <v>299.85000000000002</v>
      </c>
      <c r="G33" s="121"/>
      <c r="H33" s="147">
        <f>H32*1000</f>
        <v>10989000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17</v>
      </c>
      <c r="E35" s="162"/>
      <c r="F35" s="163">
        <f>COUNT(F8:F31)</f>
        <v>20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37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647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457.875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201</v>
      </c>
      <c r="D41" s="126"/>
      <c r="E41" s="73">
        <f>VLOOKUP(C41,H8:L31,4,FALSE)</f>
        <v>4.1666666666666699E-2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322.8125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-437.83208333333698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254" priority="11" operator="equal">
      <formula>"STB"</formula>
    </cfRule>
    <cfRule type="cellIs" dxfId="253" priority="12" operator="equal">
      <formula>"BD"</formula>
    </cfRule>
  </conditionalFormatting>
  <conditionalFormatting sqref="B8:B31">
    <cfRule type="cellIs" dxfId="252" priority="1" operator="equal">
      <formula>"STB"</formula>
    </cfRule>
    <cfRule type="cellIs" dxfId="251" priority="2" operator="equal">
      <formula>"BD"</formula>
    </cfRule>
  </conditionalFormatting>
  <conditionalFormatting sqref="D8:D31">
    <cfRule type="cellIs" dxfId="250" priority="8" operator="equal">
      <formula>"STB"</formula>
    </cfRule>
    <cfRule type="cellIs" dxfId="249" priority="9" operator="equal">
      <formula>"BD"</formula>
    </cfRule>
  </conditionalFormatting>
  <conditionalFormatting sqref="F8:F31">
    <cfRule type="cellIs" dxfId="248" priority="3" operator="equal">
      <formula>"STB"</formula>
    </cfRule>
    <cfRule type="cellIs" dxfId="247" priority="4" operator="equal">
      <formula>"BD"</formula>
    </cfRule>
  </conditionalFormatting>
  <conditionalFormatting sqref="H8:H31">
    <cfRule type="top10" dxfId="246" priority="5" bottom="1" rank="1"/>
    <cfRule type="top10" dxfId="245" priority="6" rank="1"/>
    <cfRule type="cellIs" dxfId="244" priority="7" stopIfTrue="1" operator="equal">
      <formula>28000</formula>
    </cfRule>
  </conditionalFormatting>
  <conditionalFormatting sqref="H32:H33">
    <cfRule type="top10" dxfId="243" priority="14" bottom="1" rank="1"/>
    <cfRule type="top10" dxfId="242" priority="15" rank="1"/>
    <cfRule type="cellIs" dxfId="241" priority="17" stopIfTrue="1" operator="equal">
      <formula>28000</formula>
    </cfRule>
  </conditionalFormatting>
  <conditionalFormatting sqref="N8 N9:O31">
    <cfRule type="cellIs" dxfId="240" priority="16" operator="equal">
      <formula>"BD"</formula>
    </cfRule>
  </conditionalFormatting>
  <conditionalFormatting sqref="O8">
    <cfRule type="cellIs" dxfId="239" priority="10" operator="equal">
      <formula>"N/A"</formula>
    </cfRule>
  </conditionalFormatting>
  <conditionalFormatting sqref="Y8:Y31">
    <cfRule type="containsText" dxfId="238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AC68"/>
  <sheetViews>
    <sheetView zoomScale="80" zoomScaleNormal="80" workbookViewId="0">
      <pane ySplit="7" topLeftCell="A9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'[18]Taniwel daily'!C4</f>
        <v>45309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362</v>
      </c>
      <c r="E8" s="134"/>
      <c r="F8" s="133" t="s">
        <v>26</v>
      </c>
      <c r="G8" s="134"/>
      <c r="H8" s="20">
        <f t="shared" ref="H8:H31" si="0">IF(SUM(B8:G8)/1000=0,"0",SUM(B8:G8))</f>
        <v>362</v>
      </c>
      <c r="I8" s="21">
        <f t="shared" ref="I8:I31" si="1">IFERROR(AVERAGE(B8:G8),"0")</f>
        <v>362</v>
      </c>
      <c r="J8" s="22">
        <f t="shared" ref="J8:J31" si="2">COUNT(B8:G8)</f>
        <v>1</v>
      </c>
      <c r="K8" s="23">
        <v>4.1666666666666699E-2</v>
      </c>
      <c r="L8" s="24">
        <v>4500</v>
      </c>
      <c r="M8" s="25">
        <v>172.51</v>
      </c>
      <c r="N8" s="26">
        <f>(M9-M8)*12000</f>
        <v>480.00000000024602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343</v>
      </c>
      <c r="E9" s="134"/>
      <c r="F9" s="133" t="s">
        <v>26</v>
      </c>
      <c r="G9" s="134"/>
      <c r="H9" s="20">
        <f t="shared" si="0"/>
        <v>343</v>
      </c>
      <c r="I9" s="21">
        <f t="shared" si="1"/>
        <v>343</v>
      </c>
      <c r="J9" s="22">
        <f t="shared" si="2"/>
        <v>1</v>
      </c>
      <c r="K9" s="23">
        <v>8.3333333333333301E-2</v>
      </c>
      <c r="L9" s="24">
        <v>4200</v>
      </c>
      <c r="M9" s="31">
        <v>172.55</v>
      </c>
      <c r="N9" s="26">
        <f t="shared" ref="N9:N30" si="3">(M10-M9)*12000</f>
        <v>479.99999999990501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452</v>
      </c>
      <c r="E10" s="134"/>
      <c r="F10" s="133" t="s">
        <v>26</v>
      </c>
      <c r="G10" s="134"/>
      <c r="H10" s="20">
        <f t="shared" si="0"/>
        <v>452</v>
      </c>
      <c r="I10" s="21">
        <f t="shared" si="1"/>
        <v>452</v>
      </c>
      <c r="J10" s="22">
        <f t="shared" si="2"/>
        <v>1</v>
      </c>
      <c r="K10" s="23">
        <v>0.125</v>
      </c>
      <c r="L10" s="24">
        <v>4200</v>
      </c>
      <c r="M10" s="31">
        <v>172.59</v>
      </c>
      <c r="N10" s="26">
        <f t="shared" si="3"/>
        <v>360.00000000001398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330</v>
      </c>
      <c r="E11" s="134"/>
      <c r="F11" s="133" t="s">
        <v>26</v>
      </c>
      <c r="G11" s="134"/>
      <c r="H11" s="20">
        <f t="shared" si="0"/>
        <v>330</v>
      </c>
      <c r="I11" s="21">
        <f t="shared" si="1"/>
        <v>330</v>
      </c>
      <c r="J11" s="22">
        <f t="shared" si="2"/>
        <v>1</v>
      </c>
      <c r="K11" s="23">
        <v>0.16666666666666699</v>
      </c>
      <c r="L11" s="24">
        <v>4000</v>
      </c>
      <c r="M11" s="31">
        <v>172.62</v>
      </c>
      <c r="N11" s="26">
        <f t="shared" si="3"/>
        <v>360.00000000001398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>
        <v>339</v>
      </c>
      <c r="E12" s="134"/>
      <c r="F12" s="133" t="s">
        <v>26</v>
      </c>
      <c r="G12" s="134"/>
      <c r="H12" s="20">
        <f t="shared" si="0"/>
        <v>339</v>
      </c>
      <c r="I12" s="21">
        <f t="shared" si="1"/>
        <v>339</v>
      </c>
      <c r="J12" s="22">
        <f t="shared" si="2"/>
        <v>1</v>
      </c>
      <c r="K12" s="23">
        <v>0.20833333333333301</v>
      </c>
      <c r="L12" s="24">
        <v>3900</v>
      </c>
      <c r="M12" s="31">
        <v>172.65</v>
      </c>
      <c r="N12" s="26">
        <f t="shared" si="3"/>
        <v>360.00000000001398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364</v>
      </c>
      <c r="E13" s="134"/>
      <c r="F13" s="133" t="s">
        <v>26</v>
      </c>
      <c r="G13" s="134"/>
      <c r="H13" s="20">
        <f t="shared" si="0"/>
        <v>364</v>
      </c>
      <c r="I13" s="21">
        <f t="shared" si="1"/>
        <v>364</v>
      </c>
      <c r="J13" s="22">
        <f t="shared" si="2"/>
        <v>1</v>
      </c>
      <c r="K13" s="23">
        <v>0.25</v>
      </c>
      <c r="L13" s="24">
        <v>3600</v>
      </c>
      <c r="M13" s="31">
        <v>172.68</v>
      </c>
      <c r="N13" s="26">
        <f t="shared" si="3"/>
        <v>479.99999999990501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388</v>
      </c>
      <c r="E14" s="134"/>
      <c r="F14" s="133" t="s">
        <v>26</v>
      </c>
      <c r="G14" s="134"/>
      <c r="H14" s="20">
        <f t="shared" si="0"/>
        <v>388</v>
      </c>
      <c r="I14" s="21">
        <f t="shared" si="1"/>
        <v>388</v>
      </c>
      <c r="J14" s="22">
        <f t="shared" si="2"/>
        <v>1</v>
      </c>
      <c r="K14" s="23">
        <v>0.29166666666666702</v>
      </c>
      <c r="L14" s="24">
        <v>3600</v>
      </c>
      <c r="M14" s="31">
        <v>172.72</v>
      </c>
      <c r="N14" s="26">
        <f t="shared" si="3"/>
        <v>360.00000000001398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 t="s">
        <v>26</v>
      </c>
      <c r="E15" s="134"/>
      <c r="F15" s="133">
        <v>363</v>
      </c>
      <c r="G15" s="134"/>
      <c r="H15" s="20">
        <f t="shared" si="0"/>
        <v>363</v>
      </c>
      <c r="I15" s="21">
        <f t="shared" si="1"/>
        <v>363</v>
      </c>
      <c r="J15" s="22">
        <f t="shared" si="2"/>
        <v>1</v>
      </c>
      <c r="K15" s="23">
        <v>0.33333333333333298</v>
      </c>
      <c r="L15" s="24">
        <v>3600</v>
      </c>
      <c r="M15" s="31">
        <v>172.75</v>
      </c>
      <c r="N15" s="26">
        <f t="shared" si="3"/>
        <v>479.99999999990501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239</v>
      </c>
      <c r="E16" s="134"/>
      <c r="F16" s="133">
        <v>232</v>
      </c>
      <c r="G16" s="134"/>
      <c r="H16" s="20">
        <f t="shared" si="0"/>
        <v>471</v>
      </c>
      <c r="I16" s="21">
        <f t="shared" si="1"/>
        <v>235.5</v>
      </c>
      <c r="J16" s="22">
        <f t="shared" si="2"/>
        <v>2</v>
      </c>
      <c r="K16" s="23">
        <v>0.375</v>
      </c>
      <c r="L16" s="24">
        <v>3600</v>
      </c>
      <c r="M16" s="31">
        <v>172.79</v>
      </c>
      <c r="N16" s="26">
        <f t="shared" si="3"/>
        <v>600.00000000013597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221</v>
      </c>
      <c r="E17" s="134"/>
      <c r="F17" s="133">
        <v>217</v>
      </c>
      <c r="G17" s="134"/>
      <c r="H17" s="20">
        <f t="shared" si="0"/>
        <v>438</v>
      </c>
      <c r="I17" s="21">
        <f t="shared" si="1"/>
        <v>219</v>
      </c>
      <c r="J17" s="22">
        <f t="shared" si="2"/>
        <v>2</v>
      </c>
      <c r="K17" s="23">
        <v>0.41666666666666602</v>
      </c>
      <c r="L17" s="24">
        <v>3400</v>
      </c>
      <c r="M17" s="31">
        <v>172.84</v>
      </c>
      <c r="N17" s="26">
        <f t="shared" si="3"/>
        <v>479.99999999990501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223</v>
      </c>
      <c r="E18" s="134"/>
      <c r="F18" s="133">
        <v>212</v>
      </c>
      <c r="G18" s="134"/>
      <c r="H18" s="20">
        <f t="shared" si="0"/>
        <v>435</v>
      </c>
      <c r="I18" s="21">
        <f t="shared" si="1"/>
        <v>217.5</v>
      </c>
      <c r="J18" s="22">
        <f t="shared" si="2"/>
        <v>2</v>
      </c>
      <c r="K18" s="23">
        <v>0.45833333333333298</v>
      </c>
      <c r="L18" s="24">
        <v>3300</v>
      </c>
      <c r="M18" s="31">
        <v>172.88</v>
      </c>
      <c r="N18" s="26">
        <f t="shared" si="3"/>
        <v>479.99999999990501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 t="s">
        <v>26</v>
      </c>
      <c r="E19" s="134"/>
      <c r="F19" s="133">
        <v>432</v>
      </c>
      <c r="G19" s="134"/>
      <c r="H19" s="20">
        <f t="shared" si="0"/>
        <v>432</v>
      </c>
      <c r="I19" s="21">
        <f t="shared" si="1"/>
        <v>432</v>
      </c>
      <c r="J19" s="22">
        <f t="shared" si="2"/>
        <v>1</v>
      </c>
      <c r="K19" s="23">
        <v>0.5</v>
      </c>
      <c r="L19" s="24">
        <v>3300</v>
      </c>
      <c r="M19" s="31">
        <v>172.92</v>
      </c>
      <c r="N19" s="26">
        <f t="shared" si="3"/>
        <v>480.00000000024602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 t="s">
        <v>26</v>
      </c>
      <c r="E20" s="134"/>
      <c r="F20" s="133">
        <v>409</v>
      </c>
      <c r="G20" s="134"/>
      <c r="H20" s="20">
        <f t="shared" si="0"/>
        <v>409</v>
      </c>
      <c r="I20" s="21">
        <f t="shared" si="1"/>
        <v>409</v>
      </c>
      <c r="J20" s="22">
        <f t="shared" si="2"/>
        <v>1</v>
      </c>
      <c r="K20" s="23">
        <v>0.54166666666666696</v>
      </c>
      <c r="L20" s="24">
        <v>3000</v>
      </c>
      <c r="M20" s="31">
        <v>172.96</v>
      </c>
      <c r="N20" s="26">
        <f t="shared" si="3"/>
        <v>479.99999999990501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 t="s">
        <v>26</v>
      </c>
      <c r="E21" s="134"/>
      <c r="F21" s="133">
        <v>402</v>
      </c>
      <c r="G21" s="134"/>
      <c r="H21" s="20">
        <f t="shared" si="0"/>
        <v>402</v>
      </c>
      <c r="I21" s="21">
        <f t="shared" si="1"/>
        <v>402</v>
      </c>
      <c r="J21" s="22">
        <f t="shared" si="2"/>
        <v>1</v>
      </c>
      <c r="K21" s="23">
        <v>0.58333333333333304</v>
      </c>
      <c r="L21" s="24">
        <v>3000</v>
      </c>
      <c r="M21" s="31">
        <v>173</v>
      </c>
      <c r="N21" s="26">
        <f t="shared" si="3"/>
        <v>360.00000000001398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 t="s">
        <v>26</v>
      </c>
      <c r="E22" s="134"/>
      <c r="F22" s="133">
        <v>411</v>
      </c>
      <c r="G22" s="134"/>
      <c r="H22" s="20">
        <f t="shared" si="0"/>
        <v>411</v>
      </c>
      <c r="I22" s="21">
        <f t="shared" si="1"/>
        <v>411</v>
      </c>
      <c r="J22" s="22">
        <f t="shared" si="2"/>
        <v>1</v>
      </c>
      <c r="K22" s="23">
        <v>0.625</v>
      </c>
      <c r="L22" s="24">
        <v>3000</v>
      </c>
      <c r="M22" s="31">
        <v>173.03</v>
      </c>
      <c r="N22" s="26">
        <f t="shared" si="3"/>
        <v>479.99999999990501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 t="s">
        <v>26</v>
      </c>
      <c r="E23" s="134"/>
      <c r="F23" s="133">
        <v>406</v>
      </c>
      <c r="G23" s="134"/>
      <c r="H23" s="20">
        <f t="shared" si="0"/>
        <v>406</v>
      </c>
      <c r="I23" s="21">
        <f t="shared" si="1"/>
        <v>406</v>
      </c>
      <c r="J23" s="22">
        <f t="shared" si="2"/>
        <v>1</v>
      </c>
      <c r="K23" s="23">
        <v>0.66666666666666596</v>
      </c>
      <c r="L23" s="24">
        <v>3000</v>
      </c>
      <c r="M23" s="31">
        <v>173.07</v>
      </c>
      <c r="N23" s="26">
        <f t="shared" si="3"/>
        <v>480.00000000024602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 t="s">
        <v>26</v>
      </c>
      <c r="E24" s="134"/>
      <c r="F24" s="133">
        <v>424</v>
      </c>
      <c r="G24" s="134"/>
      <c r="H24" s="20">
        <f t="shared" si="0"/>
        <v>424</v>
      </c>
      <c r="I24" s="21">
        <f t="shared" si="1"/>
        <v>424</v>
      </c>
      <c r="J24" s="22">
        <f t="shared" si="2"/>
        <v>1</v>
      </c>
      <c r="K24" s="23">
        <v>0.70833333333333304</v>
      </c>
      <c r="L24" s="24">
        <v>2700</v>
      </c>
      <c r="M24" s="31">
        <v>173.11</v>
      </c>
      <c r="N24" s="26">
        <f t="shared" si="3"/>
        <v>479.99999999990501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226</v>
      </c>
      <c r="E25" s="134"/>
      <c r="F25" s="133">
        <v>235</v>
      </c>
      <c r="G25" s="134"/>
      <c r="H25" s="20">
        <f t="shared" si="0"/>
        <v>461</v>
      </c>
      <c r="I25" s="21">
        <f t="shared" si="1"/>
        <v>230.5</v>
      </c>
      <c r="J25" s="22">
        <f t="shared" si="2"/>
        <v>2</v>
      </c>
      <c r="K25" s="23">
        <v>0.75</v>
      </c>
      <c r="L25" s="24">
        <v>2400</v>
      </c>
      <c r="M25" s="31">
        <v>173.15</v>
      </c>
      <c r="N25" s="26">
        <f t="shared" si="3"/>
        <v>720.00000000002694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273</v>
      </c>
      <c r="E26" s="134"/>
      <c r="F26" s="133">
        <v>321</v>
      </c>
      <c r="G26" s="134"/>
      <c r="H26" s="20">
        <f t="shared" si="0"/>
        <v>594</v>
      </c>
      <c r="I26" s="21">
        <f t="shared" si="1"/>
        <v>297</v>
      </c>
      <c r="J26" s="22">
        <f t="shared" si="2"/>
        <v>2</v>
      </c>
      <c r="K26" s="23">
        <v>0.79166666666666596</v>
      </c>
      <c r="L26" s="24">
        <v>2100</v>
      </c>
      <c r="M26" s="31">
        <v>173.21</v>
      </c>
      <c r="N26" s="26">
        <f t="shared" si="3"/>
        <v>720.00000000002694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231</v>
      </c>
      <c r="E27" s="134"/>
      <c r="F27" s="133">
        <v>387</v>
      </c>
      <c r="G27" s="134"/>
      <c r="H27" s="20">
        <f t="shared" si="0"/>
        <v>618</v>
      </c>
      <c r="I27" s="21">
        <f t="shared" si="1"/>
        <v>309</v>
      </c>
      <c r="J27" s="22">
        <f t="shared" si="2"/>
        <v>2</v>
      </c>
      <c r="K27" s="23">
        <v>0.83333333333333304</v>
      </c>
      <c r="L27" s="24">
        <v>2100</v>
      </c>
      <c r="M27" s="31">
        <v>173.27</v>
      </c>
      <c r="N27" s="26">
        <f t="shared" si="3"/>
        <v>599.99999999979502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220</v>
      </c>
      <c r="E28" s="134"/>
      <c r="F28" s="133">
        <v>249</v>
      </c>
      <c r="G28" s="134"/>
      <c r="H28" s="20">
        <f t="shared" si="0"/>
        <v>469</v>
      </c>
      <c r="I28" s="21">
        <f t="shared" si="1"/>
        <v>234.5</v>
      </c>
      <c r="J28" s="22">
        <f t="shared" si="2"/>
        <v>2</v>
      </c>
      <c r="K28" s="23">
        <v>0.875</v>
      </c>
      <c r="L28" s="24">
        <v>1800</v>
      </c>
      <c r="M28" s="31">
        <v>173.32</v>
      </c>
      <c r="N28" s="26">
        <f t="shared" si="3"/>
        <v>600.00000000013597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191</v>
      </c>
      <c r="E29" s="134"/>
      <c r="F29" s="133">
        <v>249</v>
      </c>
      <c r="G29" s="134"/>
      <c r="H29" s="20">
        <f t="shared" si="0"/>
        <v>440</v>
      </c>
      <c r="I29" s="21">
        <f t="shared" si="1"/>
        <v>220</v>
      </c>
      <c r="J29" s="22">
        <f t="shared" si="2"/>
        <v>2</v>
      </c>
      <c r="K29" s="23">
        <v>0.91666666666666596</v>
      </c>
      <c r="L29" s="24">
        <v>1800</v>
      </c>
      <c r="M29" s="31">
        <v>173.37</v>
      </c>
      <c r="N29" s="26">
        <f t="shared" si="3"/>
        <v>479.99999999990501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283</v>
      </c>
      <c r="E30" s="134"/>
      <c r="F30" s="133">
        <v>320</v>
      </c>
      <c r="G30" s="134"/>
      <c r="H30" s="20">
        <f t="shared" si="0"/>
        <v>603</v>
      </c>
      <c r="I30" s="21">
        <f t="shared" si="1"/>
        <v>301.5</v>
      </c>
      <c r="J30" s="22">
        <f t="shared" si="2"/>
        <v>2</v>
      </c>
      <c r="K30" s="23">
        <v>0.95833333333333304</v>
      </c>
      <c r="L30" s="24">
        <v>1800</v>
      </c>
      <c r="M30" s="31">
        <v>173.41</v>
      </c>
      <c r="N30" s="26">
        <f t="shared" si="3"/>
        <v>600.00000000013597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178</v>
      </c>
      <c r="E31" s="134"/>
      <c r="F31" s="133">
        <v>324</v>
      </c>
      <c r="G31" s="134"/>
      <c r="H31" s="20">
        <f t="shared" si="0"/>
        <v>502</v>
      </c>
      <c r="I31" s="35">
        <f t="shared" si="1"/>
        <v>251</v>
      </c>
      <c r="J31" s="36">
        <f t="shared" si="2"/>
        <v>2</v>
      </c>
      <c r="K31" s="37">
        <v>1</v>
      </c>
      <c r="L31" s="24">
        <v>4500</v>
      </c>
      <c r="M31" s="38">
        <v>173.46</v>
      </c>
      <c r="N31" s="26">
        <f>H31</f>
        <v>502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4.8630000000000004</v>
      </c>
      <c r="E32" s="136"/>
      <c r="F32" s="135">
        <f>SUM(F8:F31)/1000</f>
        <v>5.593</v>
      </c>
      <c r="G32" s="136"/>
      <c r="H32" s="40">
        <f>SUM(H8:H31)</f>
        <v>10456</v>
      </c>
      <c r="I32" s="41" t="s">
        <v>13</v>
      </c>
      <c r="J32" s="42"/>
      <c r="K32" s="43"/>
      <c r="L32" s="44"/>
      <c r="M32" s="45">
        <f>SUM(M31-M8+N8)</f>
        <v>480.95000000024601</v>
      </c>
      <c r="N32" s="46">
        <f>SUM(N8:N31)</f>
        <v>11902.0000000002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286.058823529412</v>
      </c>
      <c r="E33" s="116"/>
      <c r="F33" s="119">
        <f>IFERROR((AVERAGE(F8:F31)),"0")</f>
        <v>329</v>
      </c>
      <c r="G33" s="121"/>
      <c r="H33" s="147">
        <f>H32*1000</f>
        <v>10456000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17</v>
      </c>
      <c r="E35" s="162"/>
      <c r="F35" s="163">
        <f>COUNT(F8:F31)</f>
        <v>17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34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618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435.66666666666703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330</v>
      </c>
      <c r="D41" s="126"/>
      <c r="E41" s="73">
        <f>VLOOKUP(C41,H8:L31,4,FALSE)</f>
        <v>0.16666666666666699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330.85416666666703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-415.62708333332301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237" priority="11" operator="equal">
      <formula>"STB"</formula>
    </cfRule>
    <cfRule type="cellIs" dxfId="236" priority="12" operator="equal">
      <formula>"BD"</formula>
    </cfRule>
  </conditionalFormatting>
  <conditionalFormatting sqref="B8:B31">
    <cfRule type="cellIs" dxfId="235" priority="1" operator="equal">
      <formula>"STB"</formula>
    </cfRule>
    <cfRule type="cellIs" dxfId="234" priority="2" operator="equal">
      <formula>"BD"</formula>
    </cfRule>
  </conditionalFormatting>
  <conditionalFormatting sqref="D8:D31">
    <cfRule type="cellIs" dxfId="233" priority="8" operator="equal">
      <formula>"STB"</formula>
    </cfRule>
    <cfRule type="cellIs" dxfId="232" priority="9" operator="equal">
      <formula>"BD"</formula>
    </cfRule>
  </conditionalFormatting>
  <conditionalFormatting sqref="F8:F31">
    <cfRule type="cellIs" dxfId="231" priority="3" operator="equal">
      <formula>"STB"</formula>
    </cfRule>
    <cfRule type="cellIs" dxfId="230" priority="4" operator="equal">
      <formula>"BD"</formula>
    </cfRule>
  </conditionalFormatting>
  <conditionalFormatting sqref="H8:H31">
    <cfRule type="top10" dxfId="229" priority="5" bottom="1" rank="1"/>
    <cfRule type="top10" dxfId="228" priority="6" rank="1"/>
    <cfRule type="cellIs" dxfId="227" priority="7" stopIfTrue="1" operator="equal">
      <formula>28000</formula>
    </cfRule>
  </conditionalFormatting>
  <conditionalFormatting sqref="H32:H33">
    <cfRule type="top10" dxfId="226" priority="14" bottom="1" rank="1"/>
    <cfRule type="top10" dxfId="225" priority="15" rank="1"/>
    <cfRule type="cellIs" dxfId="224" priority="17" stopIfTrue="1" operator="equal">
      <formula>28000</formula>
    </cfRule>
  </conditionalFormatting>
  <conditionalFormatting sqref="N8 N9:O31">
    <cfRule type="cellIs" dxfId="223" priority="16" operator="equal">
      <formula>"BD"</formula>
    </cfRule>
  </conditionalFormatting>
  <conditionalFormatting sqref="O8">
    <cfRule type="cellIs" dxfId="222" priority="10" operator="equal">
      <formula>"N/A"</formula>
    </cfRule>
  </conditionalFormatting>
  <conditionalFormatting sqref="Y8:Y31">
    <cfRule type="containsText" dxfId="221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AC68"/>
  <sheetViews>
    <sheetView zoomScale="80" zoomScaleNormal="80" workbookViewId="0">
      <pane ySplit="7" topLeftCell="A9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'[19]Taniwel daily'!C4</f>
        <v>45310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170</v>
      </c>
      <c r="E8" s="134"/>
      <c r="F8" s="133">
        <v>297</v>
      </c>
      <c r="G8" s="134"/>
      <c r="H8" s="20">
        <f t="shared" ref="H8:H31" si="0">IF(SUM(B8:G8)/1000=0,"0",SUM(B8:G8))</f>
        <v>467</v>
      </c>
      <c r="I8" s="21">
        <f t="shared" ref="I8:I31" si="1">IFERROR(AVERAGE(B8:G8),"0")</f>
        <v>233.5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173.5</v>
      </c>
      <c r="N8" s="26">
        <f>(M9-M8)*12000</f>
        <v>479.99999999990501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 t="s">
        <v>26</v>
      </c>
      <c r="E9" s="134"/>
      <c r="F9" s="133">
        <v>450</v>
      </c>
      <c r="G9" s="134"/>
      <c r="H9" s="20">
        <f t="shared" si="0"/>
        <v>450</v>
      </c>
      <c r="I9" s="21">
        <f t="shared" si="1"/>
        <v>450</v>
      </c>
      <c r="J9" s="22">
        <f t="shared" si="2"/>
        <v>1</v>
      </c>
      <c r="K9" s="23">
        <v>8.3333333333333301E-2</v>
      </c>
      <c r="L9" s="24">
        <v>4200</v>
      </c>
      <c r="M9" s="31">
        <v>173.54</v>
      </c>
      <c r="N9" s="26">
        <f t="shared" ref="N9:N30" si="3">(M10-M9)*12000</f>
        <v>600.00000000013597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 t="s">
        <v>26</v>
      </c>
      <c r="E10" s="134"/>
      <c r="F10" s="133">
        <v>442</v>
      </c>
      <c r="G10" s="134"/>
      <c r="H10" s="20">
        <f t="shared" si="0"/>
        <v>442</v>
      </c>
      <c r="I10" s="21">
        <f t="shared" si="1"/>
        <v>442</v>
      </c>
      <c r="J10" s="22">
        <f t="shared" si="2"/>
        <v>1</v>
      </c>
      <c r="K10" s="23">
        <v>0.125</v>
      </c>
      <c r="L10" s="24">
        <v>4200</v>
      </c>
      <c r="M10" s="31">
        <v>173.59</v>
      </c>
      <c r="N10" s="26">
        <f t="shared" si="3"/>
        <v>479.99999999990501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 t="s">
        <v>26</v>
      </c>
      <c r="E11" s="134"/>
      <c r="F11" s="133">
        <v>438</v>
      </c>
      <c r="G11" s="134"/>
      <c r="H11" s="20">
        <f t="shared" si="0"/>
        <v>438</v>
      </c>
      <c r="I11" s="21">
        <f t="shared" si="1"/>
        <v>438</v>
      </c>
      <c r="J11" s="22">
        <f t="shared" si="2"/>
        <v>1</v>
      </c>
      <c r="K11" s="23">
        <v>0.16666666666666699</v>
      </c>
      <c r="L11" s="24">
        <v>4000</v>
      </c>
      <c r="M11" s="31">
        <v>173.63</v>
      </c>
      <c r="N11" s="26">
        <f t="shared" si="3"/>
        <v>360.00000000001398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 t="s">
        <v>26</v>
      </c>
      <c r="E12" s="134"/>
      <c r="F12" s="133">
        <v>198</v>
      </c>
      <c r="G12" s="134"/>
      <c r="H12" s="20">
        <f t="shared" si="0"/>
        <v>198</v>
      </c>
      <c r="I12" s="21">
        <f t="shared" si="1"/>
        <v>198</v>
      </c>
      <c r="J12" s="22">
        <f t="shared" si="2"/>
        <v>1</v>
      </c>
      <c r="K12" s="23">
        <v>0.20833333333333301</v>
      </c>
      <c r="L12" s="24">
        <v>3900</v>
      </c>
      <c r="M12" s="31">
        <v>173.66</v>
      </c>
      <c r="N12" s="26">
        <f t="shared" si="3"/>
        <v>479.99999999990501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180</v>
      </c>
      <c r="E13" s="134"/>
      <c r="F13" s="133">
        <v>307</v>
      </c>
      <c r="G13" s="134"/>
      <c r="H13" s="20">
        <f t="shared" si="0"/>
        <v>487</v>
      </c>
      <c r="I13" s="21">
        <f t="shared" si="1"/>
        <v>243.5</v>
      </c>
      <c r="J13" s="22">
        <f t="shared" si="2"/>
        <v>2</v>
      </c>
      <c r="K13" s="23">
        <v>0.25</v>
      </c>
      <c r="L13" s="24">
        <v>3600</v>
      </c>
      <c r="M13" s="31">
        <v>173.7</v>
      </c>
      <c r="N13" s="26">
        <f t="shared" si="3"/>
        <v>600.00000000013597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194</v>
      </c>
      <c r="E14" s="134"/>
      <c r="F14" s="133">
        <v>327</v>
      </c>
      <c r="G14" s="134"/>
      <c r="H14" s="20">
        <f t="shared" si="0"/>
        <v>521</v>
      </c>
      <c r="I14" s="21">
        <f t="shared" si="1"/>
        <v>260.5</v>
      </c>
      <c r="J14" s="22">
        <f t="shared" si="2"/>
        <v>2</v>
      </c>
      <c r="K14" s="23">
        <v>0.29166666666666702</v>
      </c>
      <c r="L14" s="24">
        <v>3600</v>
      </c>
      <c r="M14" s="31">
        <v>173.75</v>
      </c>
      <c r="N14" s="26">
        <f t="shared" si="3"/>
        <v>479.99999999990501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161</v>
      </c>
      <c r="E15" s="134"/>
      <c r="F15" s="133">
        <v>295</v>
      </c>
      <c r="G15" s="134"/>
      <c r="H15" s="20">
        <f t="shared" si="0"/>
        <v>456</v>
      </c>
      <c r="I15" s="21">
        <f t="shared" si="1"/>
        <v>228</v>
      </c>
      <c r="J15" s="22">
        <f t="shared" si="2"/>
        <v>2</v>
      </c>
      <c r="K15" s="23">
        <v>0.33333333333333298</v>
      </c>
      <c r="L15" s="24">
        <v>3600</v>
      </c>
      <c r="M15" s="31">
        <v>173.79</v>
      </c>
      <c r="N15" s="26">
        <f t="shared" si="3"/>
        <v>600.00000000013597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 t="s">
        <v>26</v>
      </c>
      <c r="E16" s="134"/>
      <c r="F16" s="133">
        <v>464</v>
      </c>
      <c r="G16" s="134"/>
      <c r="H16" s="20">
        <f t="shared" si="0"/>
        <v>464</v>
      </c>
      <c r="I16" s="21">
        <f t="shared" si="1"/>
        <v>464</v>
      </c>
      <c r="J16" s="22">
        <f t="shared" si="2"/>
        <v>1</v>
      </c>
      <c r="K16" s="23">
        <v>0.375</v>
      </c>
      <c r="L16" s="24">
        <v>3600</v>
      </c>
      <c r="M16" s="31">
        <v>173.84</v>
      </c>
      <c r="N16" s="26">
        <f t="shared" si="3"/>
        <v>479.99999999990501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 t="s">
        <v>26</v>
      </c>
      <c r="E17" s="134"/>
      <c r="F17" s="133">
        <v>351</v>
      </c>
      <c r="G17" s="134"/>
      <c r="H17" s="20">
        <f t="shared" si="0"/>
        <v>351</v>
      </c>
      <c r="I17" s="21">
        <f t="shared" si="1"/>
        <v>351</v>
      </c>
      <c r="J17" s="22">
        <f t="shared" si="2"/>
        <v>1</v>
      </c>
      <c r="K17" s="23">
        <v>0.41666666666666602</v>
      </c>
      <c r="L17" s="24">
        <v>3400</v>
      </c>
      <c r="M17" s="31">
        <v>173.88</v>
      </c>
      <c r="N17" s="26">
        <f t="shared" si="3"/>
        <v>360.00000000001398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 t="s">
        <v>26</v>
      </c>
      <c r="E18" s="134"/>
      <c r="F18" s="133">
        <v>338</v>
      </c>
      <c r="G18" s="134"/>
      <c r="H18" s="20">
        <f t="shared" si="0"/>
        <v>338</v>
      </c>
      <c r="I18" s="21">
        <f t="shared" si="1"/>
        <v>338</v>
      </c>
      <c r="J18" s="22">
        <f t="shared" si="2"/>
        <v>1</v>
      </c>
      <c r="K18" s="23">
        <v>0.45833333333333298</v>
      </c>
      <c r="L18" s="24">
        <v>3300</v>
      </c>
      <c r="M18" s="31">
        <v>173.91</v>
      </c>
      <c r="N18" s="26">
        <f t="shared" si="3"/>
        <v>479.99999999990501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235</v>
      </c>
      <c r="E19" s="134"/>
      <c r="F19" s="133">
        <v>278</v>
      </c>
      <c r="G19" s="134"/>
      <c r="H19" s="20">
        <f t="shared" si="0"/>
        <v>513</v>
      </c>
      <c r="I19" s="21">
        <f t="shared" si="1"/>
        <v>256.5</v>
      </c>
      <c r="J19" s="22">
        <f t="shared" si="2"/>
        <v>2</v>
      </c>
      <c r="K19" s="23">
        <v>0.5</v>
      </c>
      <c r="L19" s="24">
        <v>3300</v>
      </c>
      <c r="M19" s="31">
        <v>173.95</v>
      </c>
      <c r="N19" s="26">
        <f t="shared" si="3"/>
        <v>480.00000000024602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222</v>
      </c>
      <c r="E20" s="134"/>
      <c r="F20" s="133">
        <v>233</v>
      </c>
      <c r="G20" s="134"/>
      <c r="H20" s="20">
        <f t="shared" si="0"/>
        <v>455</v>
      </c>
      <c r="I20" s="21">
        <f t="shared" si="1"/>
        <v>227.5</v>
      </c>
      <c r="J20" s="22">
        <f t="shared" si="2"/>
        <v>2</v>
      </c>
      <c r="K20" s="23">
        <v>0.54166666666666696</v>
      </c>
      <c r="L20" s="24">
        <v>3000</v>
      </c>
      <c r="M20" s="31">
        <v>173.99</v>
      </c>
      <c r="N20" s="26">
        <f t="shared" si="3"/>
        <v>599.99999999979502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>
        <v>210</v>
      </c>
      <c r="E21" s="134"/>
      <c r="F21" s="133">
        <v>212</v>
      </c>
      <c r="G21" s="134"/>
      <c r="H21" s="20">
        <f t="shared" si="0"/>
        <v>422</v>
      </c>
      <c r="I21" s="21">
        <f t="shared" si="1"/>
        <v>211</v>
      </c>
      <c r="J21" s="22">
        <f t="shared" si="2"/>
        <v>2</v>
      </c>
      <c r="K21" s="23">
        <v>0.58333333333333304</v>
      </c>
      <c r="L21" s="24">
        <v>3000</v>
      </c>
      <c r="M21" s="31">
        <v>174.04</v>
      </c>
      <c r="N21" s="26">
        <f t="shared" si="3"/>
        <v>480.00000000024602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>
        <v>416</v>
      </c>
      <c r="E22" s="134"/>
      <c r="F22" s="133" t="s">
        <v>26</v>
      </c>
      <c r="G22" s="134"/>
      <c r="H22" s="20">
        <f t="shared" si="0"/>
        <v>416</v>
      </c>
      <c r="I22" s="21">
        <f t="shared" si="1"/>
        <v>416</v>
      </c>
      <c r="J22" s="22">
        <f t="shared" si="2"/>
        <v>1</v>
      </c>
      <c r="K22" s="23">
        <v>0.625</v>
      </c>
      <c r="L22" s="24">
        <v>3000</v>
      </c>
      <c r="M22" s="31">
        <v>174.08</v>
      </c>
      <c r="N22" s="26">
        <f t="shared" si="3"/>
        <v>360.00000000001398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406</v>
      </c>
      <c r="E23" s="134"/>
      <c r="F23" s="133" t="s">
        <v>26</v>
      </c>
      <c r="G23" s="134"/>
      <c r="H23" s="20">
        <f t="shared" si="0"/>
        <v>406</v>
      </c>
      <c r="I23" s="21">
        <f t="shared" si="1"/>
        <v>406</v>
      </c>
      <c r="J23" s="22">
        <f t="shared" si="2"/>
        <v>1</v>
      </c>
      <c r="K23" s="23">
        <v>0.66666666666666596</v>
      </c>
      <c r="L23" s="24">
        <v>3000</v>
      </c>
      <c r="M23" s="31">
        <v>174.11</v>
      </c>
      <c r="N23" s="26">
        <f t="shared" si="3"/>
        <v>599.99999999979502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447</v>
      </c>
      <c r="E24" s="134"/>
      <c r="F24" s="133" t="s">
        <v>26</v>
      </c>
      <c r="G24" s="134"/>
      <c r="H24" s="20">
        <f t="shared" si="0"/>
        <v>447</v>
      </c>
      <c r="I24" s="21">
        <f t="shared" si="1"/>
        <v>447</v>
      </c>
      <c r="J24" s="22">
        <f t="shared" si="2"/>
        <v>1</v>
      </c>
      <c r="K24" s="23">
        <v>0.70833333333333304</v>
      </c>
      <c r="L24" s="24">
        <v>2700</v>
      </c>
      <c r="M24" s="31">
        <v>174.16</v>
      </c>
      <c r="N24" s="26">
        <f t="shared" si="3"/>
        <v>479.99999999990501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244</v>
      </c>
      <c r="E25" s="134"/>
      <c r="F25" s="133">
        <v>232</v>
      </c>
      <c r="G25" s="134"/>
      <c r="H25" s="20">
        <f t="shared" si="0"/>
        <v>476</v>
      </c>
      <c r="I25" s="21">
        <f t="shared" si="1"/>
        <v>238</v>
      </c>
      <c r="J25" s="22">
        <f t="shared" si="2"/>
        <v>2</v>
      </c>
      <c r="K25" s="23">
        <v>0.75</v>
      </c>
      <c r="L25" s="24">
        <v>2400</v>
      </c>
      <c r="M25" s="31">
        <v>174.2</v>
      </c>
      <c r="N25" s="26">
        <f t="shared" si="3"/>
        <v>720.00000000002694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288</v>
      </c>
      <c r="E26" s="134"/>
      <c r="F26" s="133">
        <v>321</v>
      </c>
      <c r="G26" s="134"/>
      <c r="H26" s="20">
        <f t="shared" si="0"/>
        <v>609</v>
      </c>
      <c r="I26" s="21">
        <f t="shared" si="1"/>
        <v>304.5</v>
      </c>
      <c r="J26" s="22">
        <f t="shared" si="2"/>
        <v>2</v>
      </c>
      <c r="K26" s="23">
        <v>0.79166666666666596</v>
      </c>
      <c r="L26" s="24">
        <v>2100</v>
      </c>
      <c r="M26" s="31">
        <v>174.26</v>
      </c>
      <c r="N26" s="26">
        <f t="shared" si="3"/>
        <v>720.00000000002694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355</v>
      </c>
      <c r="E27" s="134"/>
      <c r="F27" s="133">
        <v>341</v>
      </c>
      <c r="G27" s="134"/>
      <c r="H27" s="20">
        <f t="shared" si="0"/>
        <v>696</v>
      </c>
      <c r="I27" s="21">
        <f t="shared" si="1"/>
        <v>348</v>
      </c>
      <c r="J27" s="22">
        <f t="shared" si="2"/>
        <v>2</v>
      </c>
      <c r="K27" s="23">
        <v>0.83333333333333304</v>
      </c>
      <c r="L27" s="24">
        <v>2100</v>
      </c>
      <c r="M27" s="31">
        <v>174.32</v>
      </c>
      <c r="N27" s="26">
        <f t="shared" si="3"/>
        <v>720.00000000002694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318</v>
      </c>
      <c r="E28" s="134"/>
      <c r="F28" s="133">
        <v>303</v>
      </c>
      <c r="G28" s="134"/>
      <c r="H28" s="20">
        <f t="shared" si="0"/>
        <v>621</v>
      </c>
      <c r="I28" s="21">
        <f t="shared" si="1"/>
        <v>310.5</v>
      </c>
      <c r="J28" s="22">
        <f t="shared" si="2"/>
        <v>2</v>
      </c>
      <c r="K28" s="23">
        <v>0.875</v>
      </c>
      <c r="L28" s="24">
        <v>1800</v>
      </c>
      <c r="M28" s="31">
        <v>174.38</v>
      </c>
      <c r="N28" s="26">
        <f t="shared" si="3"/>
        <v>720.00000000002694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298</v>
      </c>
      <c r="E29" s="134"/>
      <c r="F29" s="133">
        <v>292</v>
      </c>
      <c r="G29" s="134"/>
      <c r="H29" s="20">
        <f t="shared" si="0"/>
        <v>590</v>
      </c>
      <c r="I29" s="21">
        <f t="shared" si="1"/>
        <v>295</v>
      </c>
      <c r="J29" s="22">
        <f t="shared" si="2"/>
        <v>2</v>
      </c>
      <c r="K29" s="23">
        <v>0.91666666666666596</v>
      </c>
      <c r="L29" s="24">
        <v>1800</v>
      </c>
      <c r="M29" s="31">
        <v>174.44</v>
      </c>
      <c r="N29" s="26">
        <f t="shared" si="3"/>
        <v>600.00000000013597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262</v>
      </c>
      <c r="E30" s="134"/>
      <c r="F30" s="133">
        <v>265</v>
      </c>
      <c r="G30" s="134"/>
      <c r="H30" s="20">
        <f t="shared" si="0"/>
        <v>527</v>
      </c>
      <c r="I30" s="21">
        <f t="shared" si="1"/>
        <v>263.5</v>
      </c>
      <c r="J30" s="22">
        <f t="shared" si="2"/>
        <v>2</v>
      </c>
      <c r="K30" s="23">
        <v>0.95833333333333304</v>
      </c>
      <c r="L30" s="24">
        <v>1800</v>
      </c>
      <c r="M30" s="31">
        <v>174.49</v>
      </c>
      <c r="N30" s="26">
        <f t="shared" si="3"/>
        <v>479.99999999990501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248</v>
      </c>
      <c r="E31" s="134"/>
      <c r="F31" s="133">
        <v>230</v>
      </c>
      <c r="G31" s="134"/>
      <c r="H31" s="20">
        <f t="shared" si="0"/>
        <v>478</v>
      </c>
      <c r="I31" s="35">
        <f t="shared" si="1"/>
        <v>239</v>
      </c>
      <c r="J31" s="36">
        <f t="shared" si="2"/>
        <v>2</v>
      </c>
      <c r="K31" s="37">
        <v>1</v>
      </c>
      <c r="L31" s="24">
        <v>4500</v>
      </c>
      <c r="M31" s="38">
        <v>174.53</v>
      </c>
      <c r="N31" s="26">
        <f>H31</f>
        <v>478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4.6539999999999999</v>
      </c>
      <c r="E32" s="136"/>
      <c r="F32" s="135">
        <f>SUM(F8:F31)/1000</f>
        <v>6.6139999999999999</v>
      </c>
      <c r="G32" s="136"/>
      <c r="H32" s="40">
        <f>SUM(H8:H31)</f>
        <v>11268</v>
      </c>
      <c r="I32" s="41" t="s">
        <v>13</v>
      </c>
      <c r="J32" s="42"/>
      <c r="K32" s="43"/>
      <c r="L32" s="44"/>
      <c r="M32" s="45">
        <f>SUM(M31-M8+N8)</f>
        <v>481.02999999990402</v>
      </c>
      <c r="N32" s="46">
        <f>SUM(N8:N31)</f>
        <v>12838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273.76470588235298</v>
      </c>
      <c r="E33" s="116"/>
      <c r="F33" s="119">
        <f>IFERROR((AVERAGE(F8:F31)),"0")</f>
        <v>314.95238095238102</v>
      </c>
      <c r="G33" s="121"/>
      <c r="H33" s="147">
        <f>H32*1000</f>
        <v>11268000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17</v>
      </c>
      <c r="E35" s="162"/>
      <c r="F35" s="163">
        <f>COUNT(F8:F31)</f>
        <v>21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38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696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469.5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198</v>
      </c>
      <c r="D41" s="126"/>
      <c r="E41" s="73">
        <f>VLOOKUP(C41,H8:L31,4,FALSE)</f>
        <v>0.20833333333333301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317.04166666666703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-449.45708333333698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220" priority="11" operator="equal">
      <formula>"STB"</formula>
    </cfRule>
    <cfRule type="cellIs" dxfId="219" priority="12" operator="equal">
      <formula>"BD"</formula>
    </cfRule>
  </conditionalFormatting>
  <conditionalFormatting sqref="B8:B31">
    <cfRule type="cellIs" dxfId="218" priority="1" operator="equal">
      <formula>"STB"</formula>
    </cfRule>
    <cfRule type="cellIs" dxfId="217" priority="2" operator="equal">
      <formula>"BD"</formula>
    </cfRule>
  </conditionalFormatting>
  <conditionalFormatting sqref="D8:D31">
    <cfRule type="cellIs" dxfId="216" priority="8" operator="equal">
      <formula>"STB"</formula>
    </cfRule>
    <cfRule type="cellIs" dxfId="215" priority="9" operator="equal">
      <formula>"BD"</formula>
    </cfRule>
  </conditionalFormatting>
  <conditionalFormatting sqref="F8:F31">
    <cfRule type="cellIs" dxfId="214" priority="3" operator="equal">
      <formula>"STB"</formula>
    </cfRule>
    <cfRule type="cellIs" dxfId="213" priority="4" operator="equal">
      <formula>"BD"</formula>
    </cfRule>
  </conditionalFormatting>
  <conditionalFormatting sqref="H8:H31">
    <cfRule type="top10" dxfId="212" priority="5" bottom="1" rank="1"/>
    <cfRule type="top10" dxfId="211" priority="6" rank="1"/>
    <cfRule type="cellIs" dxfId="210" priority="7" stopIfTrue="1" operator="equal">
      <formula>28000</formula>
    </cfRule>
  </conditionalFormatting>
  <conditionalFormatting sqref="H32:H33">
    <cfRule type="top10" dxfId="209" priority="14" bottom="1" rank="1"/>
    <cfRule type="top10" dxfId="208" priority="15" rank="1"/>
    <cfRule type="cellIs" dxfId="207" priority="17" stopIfTrue="1" operator="equal">
      <formula>28000</formula>
    </cfRule>
  </conditionalFormatting>
  <conditionalFormatting sqref="N8 N9:O31">
    <cfRule type="cellIs" dxfId="206" priority="16" operator="equal">
      <formula>"BD"</formula>
    </cfRule>
  </conditionalFormatting>
  <conditionalFormatting sqref="O8">
    <cfRule type="cellIs" dxfId="205" priority="10" operator="equal">
      <formula>"N/A"</formula>
    </cfRule>
  </conditionalFormatting>
  <conditionalFormatting sqref="Y8:Y31">
    <cfRule type="containsText" dxfId="204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AC68"/>
  <sheetViews>
    <sheetView zoomScale="80" zoomScaleNormal="80" workbookViewId="0">
      <pane ySplit="7" topLeftCell="A9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'[20]Taniwel daily'!C4</f>
        <v>45311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248</v>
      </c>
      <c r="E8" s="134"/>
      <c r="F8" s="133">
        <v>232</v>
      </c>
      <c r="G8" s="134"/>
      <c r="H8" s="20">
        <f t="shared" ref="H8:H31" si="0">IF(SUM(B8:G8)/1000=0,"0",SUM(B8:G8))</f>
        <v>480</v>
      </c>
      <c r="I8" s="21">
        <f t="shared" ref="I8:I31" si="1">IFERROR(AVERAGE(B8:G8),"0")</f>
        <v>240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174.58</v>
      </c>
      <c r="N8" s="26">
        <f>(M9-M8)*12000</f>
        <v>599.99999999979502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243</v>
      </c>
      <c r="E9" s="134"/>
      <c r="F9" s="133">
        <v>237</v>
      </c>
      <c r="G9" s="134"/>
      <c r="H9" s="20">
        <f t="shared" si="0"/>
        <v>480</v>
      </c>
      <c r="I9" s="21">
        <f t="shared" si="1"/>
        <v>240</v>
      </c>
      <c r="J9" s="22">
        <f t="shared" si="2"/>
        <v>2</v>
      </c>
      <c r="K9" s="23">
        <v>8.3333333333333301E-2</v>
      </c>
      <c r="L9" s="24">
        <v>4200</v>
      </c>
      <c r="M9" s="31">
        <v>174.63</v>
      </c>
      <c r="N9" s="26">
        <f t="shared" ref="N9:N30" si="3">(M10-M9)*12000</f>
        <v>600.00000000013597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242</v>
      </c>
      <c r="E10" s="134"/>
      <c r="F10" s="133">
        <v>235</v>
      </c>
      <c r="G10" s="134"/>
      <c r="H10" s="20">
        <f t="shared" si="0"/>
        <v>477</v>
      </c>
      <c r="I10" s="21">
        <f t="shared" si="1"/>
        <v>238.5</v>
      </c>
      <c r="J10" s="22">
        <f t="shared" si="2"/>
        <v>2</v>
      </c>
      <c r="K10" s="23">
        <v>0.125</v>
      </c>
      <c r="L10" s="24">
        <v>4200</v>
      </c>
      <c r="M10" s="31">
        <v>174.68</v>
      </c>
      <c r="N10" s="26">
        <f t="shared" si="3"/>
        <v>479.99999999990501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460</v>
      </c>
      <c r="E11" s="134"/>
      <c r="F11" s="133" t="s">
        <v>26</v>
      </c>
      <c r="G11" s="134"/>
      <c r="H11" s="20">
        <f t="shared" si="0"/>
        <v>460</v>
      </c>
      <c r="I11" s="21">
        <f t="shared" si="1"/>
        <v>460</v>
      </c>
      <c r="J11" s="22">
        <f t="shared" si="2"/>
        <v>1</v>
      </c>
      <c r="K11" s="23">
        <v>0.16666666666666699</v>
      </c>
      <c r="L11" s="24">
        <v>4000</v>
      </c>
      <c r="M11" s="31">
        <v>174.72</v>
      </c>
      <c r="N11" s="26">
        <f t="shared" si="3"/>
        <v>479.99999999990501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>
        <v>459</v>
      </c>
      <c r="E12" s="134"/>
      <c r="F12" s="133" t="s">
        <v>26</v>
      </c>
      <c r="G12" s="134"/>
      <c r="H12" s="20">
        <f t="shared" si="0"/>
        <v>459</v>
      </c>
      <c r="I12" s="21">
        <f t="shared" si="1"/>
        <v>459</v>
      </c>
      <c r="J12" s="22">
        <f t="shared" si="2"/>
        <v>1</v>
      </c>
      <c r="K12" s="23">
        <v>0.20833333333333301</v>
      </c>
      <c r="L12" s="24">
        <v>3900</v>
      </c>
      <c r="M12" s="31">
        <v>174.76</v>
      </c>
      <c r="N12" s="26">
        <f t="shared" si="3"/>
        <v>600.00000000013597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252</v>
      </c>
      <c r="E13" s="134"/>
      <c r="F13" s="133">
        <v>251</v>
      </c>
      <c r="G13" s="134"/>
      <c r="H13" s="20">
        <f t="shared" si="0"/>
        <v>503</v>
      </c>
      <c r="I13" s="21">
        <f t="shared" si="1"/>
        <v>251.5</v>
      </c>
      <c r="J13" s="22">
        <f t="shared" si="2"/>
        <v>2</v>
      </c>
      <c r="K13" s="23">
        <v>0.25</v>
      </c>
      <c r="L13" s="24">
        <v>3600</v>
      </c>
      <c r="M13" s="31">
        <v>174.81</v>
      </c>
      <c r="N13" s="26">
        <f t="shared" si="3"/>
        <v>600.00000000013597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274</v>
      </c>
      <c r="E14" s="134"/>
      <c r="F14" s="133">
        <v>272</v>
      </c>
      <c r="G14" s="134"/>
      <c r="H14" s="20">
        <f t="shared" si="0"/>
        <v>546</v>
      </c>
      <c r="I14" s="21">
        <f t="shared" si="1"/>
        <v>273</v>
      </c>
      <c r="J14" s="22">
        <f t="shared" si="2"/>
        <v>2</v>
      </c>
      <c r="K14" s="23">
        <v>0.29166666666666702</v>
      </c>
      <c r="L14" s="24">
        <v>3600</v>
      </c>
      <c r="M14" s="31">
        <v>174.86</v>
      </c>
      <c r="N14" s="26">
        <f t="shared" si="3"/>
        <v>599.99999999979502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248</v>
      </c>
      <c r="E15" s="134"/>
      <c r="F15" s="133">
        <v>262</v>
      </c>
      <c r="G15" s="134"/>
      <c r="H15" s="20">
        <f t="shared" si="0"/>
        <v>510</v>
      </c>
      <c r="I15" s="21">
        <f t="shared" si="1"/>
        <v>255</v>
      </c>
      <c r="J15" s="22">
        <f t="shared" si="2"/>
        <v>2</v>
      </c>
      <c r="K15" s="23">
        <v>0.33333333333333298</v>
      </c>
      <c r="L15" s="24">
        <v>3600</v>
      </c>
      <c r="M15" s="31">
        <v>174.91</v>
      </c>
      <c r="N15" s="26">
        <f t="shared" si="3"/>
        <v>479.99999999990501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246</v>
      </c>
      <c r="E16" s="134"/>
      <c r="F16" s="133">
        <v>235</v>
      </c>
      <c r="G16" s="134"/>
      <c r="H16" s="20">
        <f t="shared" si="0"/>
        <v>481</v>
      </c>
      <c r="I16" s="21">
        <f t="shared" si="1"/>
        <v>240.5</v>
      </c>
      <c r="J16" s="22">
        <f t="shared" si="2"/>
        <v>2</v>
      </c>
      <c r="K16" s="23">
        <v>0.375</v>
      </c>
      <c r="L16" s="24">
        <v>3600</v>
      </c>
      <c r="M16" s="31">
        <v>174.95</v>
      </c>
      <c r="N16" s="26">
        <f t="shared" si="3"/>
        <v>480.00000000024602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246</v>
      </c>
      <c r="E17" s="134"/>
      <c r="F17" s="133">
        <v>233</v>
      </c>
      <c r="G17" s="134"/>
      <c r="H17" s="20">
        <f t="shared" si="0"/>
        <v>479</v>
      </c>
      <c r="I17" s="21">
        <f t="shared" si="1"/>
        <v>239.5</v>
      </c>
      <c r="J17" s="22">
        <f t="shared" si="2"/>
        <v>2</v>
      </c>
      <c r="K17" s="23">
        <v>0.41666666666666602</v>
      </c>
      <c r="L17" s="24">
        <v>3400</v>
      </c>
      <c r="M17" s="31">
        <v>174.99</v>
      </c>
      <c r="N17" s="26">
        <f t="shared" si="3"/>
        <v>599.99999999979502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231</v>
      </c>
      <c r="E18" s="134"/>
      <c r="F18" s="133">
        <v>235</v>
      </c>
      <c r="G18" s="134"/>
      <c r="H18" s="20">
        <f t="shared" si="0"/>
        <v>466</v>
      </c>
      <c r="I18" s="21">
        <f t="shared" si="1"/>
        <v>233</v>
      </c>
      <c r="J18" s="22">
        <f t="shared" si="2"/>
        <v>2</v>
      </c>
      <c r="K18" s="23">
        <v>0.45833333333333298</v>
      </c>
      <c r="L18" s="24">
        <v>3300</v>
      </c>
      <c r="M18" s="31">
        <v>175.04</v>
      </c>
      <c r="N18" s="26">
        <f t="shared" si="3"/>
        <v>480.00000000024602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232</v>
      </c>
      <c r="E19" s="134"/>
      <c r="F19" s="133">
        <v>230</v>
      </c>
      <c r="G19" s="134"/>
      <c r="H19" s="20">
        <f t="shared" si="0"/>
        <v>462</v>
      </c>
      <c r="I19" s="21">
        <f t="shared" si="1"/>
        <v>231</v>
      </c>
      <c r="J19" s="22">
        <f t="shared" si="2"/>
        <v>2</v>
      </c>
      <c r="K19" s="23">
        <v>0.5</v>
      </c>
      <c r="L19" s="24">
        <v>3300</v>
      </c>
      <c r="M19" s="31">
        <v>175.08</v>
      </c>
      <c r="N19" s="26">
        <f t="shared" si="3"/>
        <v>599.99999999979502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231</v>
      </c>
      <c r="E20" s="134"/>
      <c r="F20" s="133">
        <v>230</v>
      </c>
      <c r="G20" s="134"/>
      <c r="H20" s="20">
        <f t="shared" si="0"/>
        <v>461</v>
      </c>
      <c r="I20" s="21">
        <f t="shared" si="1"/>
        <v>230.5</v>
      </c>
      <c r="J20" s="22">
        <f t="shared" si="2"/>
        <v>2</v>
      </c>
      <c r="K20" s="23">
        <v>0.54166666666666696</v>
      </c>
      <c r="L20" s="24">
        <v>3000</v>
      </c>
      <c r="M20" s="31">
        <v>175.13</v>
      </c>
      <c r="N20" s="26">
        <f t="shared" si="3"/>
        <v>479.99999999990501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 t="s">
        <v>26</v>
      </c>
      <c r="E21" s="134"/>
      <c r="F21" s="133">
        <v>434</v>
      </c>
      <c r="G21" s="134"/>
      <c r="H21" s="20">
        <f t="shared" si="0"/>
        <v>434</v>
      </c>
      <c r="I21" s="21">
        <f t="shared" si="1"/>
        <v>434</v>
      </c>
      <c r="J21" s="22">
        <f t="shared" si="2"/>
        <v>1</v>
      </c>
      <c r="K21" s="23">
        <v>0.58333333333333304</v>
      </c>
      <c r="L21" s="24">
        <v>3000</v>
      </c>
      <c r="M21" s="31">
        <v>175.17</v>
      </c>
      <c r="N21" s="26">
        <f t="shared" si="3"/>
        <v>480.00000000024602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 t="s">
        <v>26</v>
      </c>
      <c r="E22" s="134"/>
      <c r="F22" s="133">
        <v>421</v>
      </c>
      <c r="G22" s="134"/>
      <c r="H22" s="20">
        <f t="shared" si="0"/>
        <v>421</v>
      </c>
      <c r="I22" s="21">
        <f t="shared" si="1"/>
        <v>421</v>
      </c>
      <c r="J22" s="22">
        <f t="shared" si="2"/>
        <v>1</v>
      </c>
      <c r="K22" s="23">
        <v>0.625</v>
      </c>
      <c r="L22" s="24">
        <v>3000</v>
      </c>
      <c r="M22" s="31">
        <v>175.21</v>
      </c>
      <c r="N22" s="26">
        <f t="shared" si="3"/>
        <v>479.99999999990501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 t="s">
        <v>26</v>
      </c>
      <c r="E23" s="134"/>
      <c r="F23" s="133">
        <v>415</v>
      </c>
      <c r="G23" s="134"/>
      <c r="H23" s="20">
        <f t="shared" si="0"/>
        <v>415</v>
      </c>
      <c r="I23" s="21">
        <f t="shared" si="1"/>
        <v>415</v>
      </c>
      <c r="J23" s="22">
        <f t="shared" si="2"/>
        <v>1</v>
      </c>
      <c r="K23" s="23">
        <v>0.66666666666666596</v>
      </c>
      <c r="L23" s="24">
        <v>3000</v>
      </c>
      <c r="M23" s="31">
        <v>175.25</v>
      </c>
      <c r="N23" s="26">
        <f t="shared" si="3"/>
        <v>479.99999999990501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 t="s">
        <v>26</v>
      </c>
      <c r="E24" s="134"/>
      <c r="F24" s="133">
        <v>431</v>
      </c>
      <c r="G24" s="134"/>
      <c r="H24" s="20">
        <f t="shared" si="0"/>
        <v>431</v>
      </c>
      <c r="I24" s="21">
        <f t="shared" si="1"/>
        <v>431</v>
      </c>
      <c r="J24" s="22">
        <f t="shared" si="2"/>
        <v>1</v>
      </c>
      <c r="K24" s="23">
        <v>0.70833333333333304</v>
      </c>
      <c r="L24" s="24">
        <v>2700</v>
      </c>
      <c r="M24" s="31">
        <v>175.29</v>
      </c>
      <c r="N24" s="26">
        <f t="shared" si="3"/>
        <v>480.00000000024602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227</v>
      </c>
      <c r="E25" s="134"/>
      <c r="F25" s="133">
        <v>222</v>
      </c>
      <c r="G25" s="134"/>
      <c r="H25" s="20">
        <f t="shared" si="0"/>
        <v>449</v>
      </c>
      <c r="I25" s="21">
        <f t="shared" si="1"/>
        <v>224.5</v>
      </c>
      <c r="J25" s="22">
        <f t="shared" si="2"/>
        <v>2</v>
      </c>
      <c r="K25" s="23">
        <v>0.75</v>
      </c>
      <c r="L25" s="24">
        <v>2400</v>
      </c>
      <c r="M25" s="31">
        <v>175.33</v>
      </c>
      <c r="N25" s="26">
        <f t="shared" si="3"/>
        <v>599.99999999979502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318</v>
      </c>
      <c r="E26" s="134"/>
      <c r="F26" s="133">
        <v>309</v>
      </c>
      <c r="G26" s="134"/>
      <c r="H26" s="20">
        <f t="shared" si="0"/>
        <v>627</v>
      </c>
      <c r="I26" s="21">
        <f t="shared" si="1"/>
        <v>313.5</v>
      </c>
      <c r="J26" s="22">
        <f t="shared" si="2"/>
        <v>2</v>
      </c>
      <c r="K26" s="23">
        <v>0.79166666666666596</v>
      </c>
      <c r="L26" s="24">
        <v>2100</v>
      </c>
      <c r="M26" s="31">
        <v>175.38</v>
      </c>
      <c r="N26" s="26">
        <f t="shared" si="3"/>
        <v>839.99999999991803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348</v>
      </c>
      <c r="E27" s="134"/>
      <c r="F27" s="133">
        <v>347</v>
      </c>
      <c r="G27" s="134"/>
      <c r="H27" s="20">
        <f t="shared" si="0"/>
        <v>695</v>
      </c>
      <c r="I27" s="21">
        <f t="shared" si="1"/>
        <v>347.5</v>
      </c>
      <c r="J27" s="22">
        <f t="shared" si="2"/>
        <v>2</v>
      </c>
      <c r="K27" s="23">
        <v>0.83333333333333304</v>
      </c>
      <c r="L27" s="24">
        <v>2100</v>
      </c>
      <c r="M27" s="31">
        <v>175.45</v>
      </c>
      <c r="N27" s="26">
        <f t="shared" si="3"/>
        <v>720.00000000002694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322</v>
      </c>
      <c r="E28" s="134"/>
      <c r="F28" s="133">
        <v>321</v>
      </c>
      <c r="G28" s="134"/>
      <c r="H28" s="20">
        <f t="shared" si="0"/>
        <v>643</v>
      </c>
      <c r="I28" s="21">
        <f t="shared" si="1"/>
        <v>321.5</v>
      </c>
      <c r="J28" s="22">
        <f t="shared" si="2"/>
        <v>2</v>
      </c>
      <c r="K28" s="23">
        <v>0.875</v>
      </c>
      <c r="L28" s="24">
        <v>1800</v>
      </c>
      <c r="M28" s="31">
        <v>175.51</v>
      </c>
      <c r="N28" s="26">
        <f t="shared" si="3"/>
        <v>480.00000000024602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236</v>
      </c>
      <c r="E29" s="134"/>
      <c r="F29" s="133">
        <v>237</v>
      </c>
      <c r="G29" s="134"/>
      <c r="H29" s="20">
        <f t="shared" si="0"/>
        <v>473</v>
      </c>
      <c r="I29" s="21">
        <f t="shared" si="1"/>
        <v>236.5</v>
      </c>
      <c r="J29" s="22">
        <f t="shared" si="2"/>
        <v>2</v>
      </c>
      <c r="K29" s="23">
        <v>0.91666666666666596</v>
      </c>
      <c r="L29" s="24">
        <v>1800</v>
      </c>
      <c r="M29" s="31">
        <v>175.55</v>
      </c>
      <c r="N29" s="26">
        <f t="shared" si="3"/>
        <v>599.99999999979502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253</v>
      </c>
      <c r="E30" s="134"/>
      <c r="F30" s="133">
        <v>265</v>
      </c>
      <c r="G30" s="134"/>
      <c r="H30" s="20">
        <f t="shared" si="0"/>
        <v>518</v>
      </c>
      <c r="I30" s="21">
        <f t="shared" si="1"/>
        <v>259</v>
      </c>
      <c r="J30" s="22">
        <f t="shared" si="2"/>
        <v>2</v>
      </c>
      <c r="K30" s="23">
        <v>0.95833333333333304</v>
      </c>
      <c r="L30" s="24">
        <v>1800</v>
      </c>
      <c r="M30" s="31">
        <v>175.6</v>
      </c>
      <c r="N30" s="26">
        <f t="shared" si="3"/>
        <v>-12839.9999999999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246</v>
      </c>
      <c r="E31" s="134"/>
      <c r="F31" s="133">
        <v>225</v>
      </c>
      <c r="G31" s="134"/>
      <c r="H31" s="20">
        <f t="shared" si="0"/>
        <v>471</v>
      </c>
      <c r="I31" s="35">
        <f t="shared" si="1"/>
        <v>235.5</v>
      </c>
      <c r="J31" s="36">
        <f t="shared" si="2"/>
        <v>2</v>
      </c>
      <c r="K31" s="37">
        <v>1</v>
      </c>
      <c r="L31" s="24">
        <v>4500</v>
      </c>
      <c r="M31" s="38">
        <v>174.53</v>
      </c>
      <c r="N31" s="26">
        <f>H31</f>
        <v>471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5.5620000000000003</v>
      </c>
      <c r="E32" s="136"/>
      <c r="F32" s="135">
        <f>SUM(F8:F31)/1000</f>
        <v>6.2789999999999999</v>
      </c>
      <c r="G32" s="136"/>
      <c r="H32" s="40">
        <f>SUM(H8:H31)</f>
        <v>11841</v>
      </c>
      <c r="I32" s="41" t="s">
        <v>13</v>
      </c>
      <c r="J32" s="42"/>
      <c r="K32" s="43"/>
      <c r="L32" s="44"/>
      <c r="M32" s="45">
        <f>SUM(M31-M8+N8)</f>
        <v>599.94999999979495</v>
      </c>
      <c r="N32" s="46">
        <f>SUM(N8:N31)</f>
        <v>-129.000000000136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278.10000000000002</v>
      </c>
      <c r="E33" s="116"/>
      <c r="F33" s="119">
        <f>IFERROR((AVERAGE(F8:F31)),"0")</f>
        <v>285.40909090909099</v>
      </c>
      <c r="G33" s="121"/>
      <c r="H33" s="147">
        <f>H32*1000</f>
        <v>11841000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20</v>
      </c>
      <c r="E35" s="162"/>
      <c r="F35" s="163">
        <f>COUNT(F8:F31)</f>
        <v>22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42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695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493.375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415</v>
      </c>
      <c r="D41" s="126"/>
      <c r="E41" s="73">
        <f>VLOOKUP(C41,H8:L31,4,FALSE)</f>
        <v>0.66666666666666596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301.27083333333297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-468.377083333342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203" priority="11" operator="equal">
      <formula>"STB"</formula>
    </cfRule>
    <cfRule type="cellIs" dxfId="202" priority="12" operator="equal">
      <formula>"BD"</formula>
    </cfRule>
  </conditionalFormatting>
  <conditionalFormatting sqref="B8:B31">
    <cfRule type="cellIs" dxfId="201" priority="1" operator="equal">
      <formula>"STB"</formula>
    </cfRule>
    <cfRule type="cellIs" dxfId="200" priority="2" operator="equal">
      <formula>"BD"</formula>
    </cfRule>
  </conditionalFormatting>
  <conditionalFormatting sqref="D8:D31">
    <cfRule type="cellIs" dxfId="199" priority="8" operator="equal">
      <formula>"STB"</formula>
    </cfRule>
    <cfRule type="cellIs" dxfId="198" priority="9" operator="equal">
      <formula>"BD"</formula>
    </cfRule>
  </conditionalFormatting>
  <conditionalFormatting sqref="F8:F31">
    <cfRule type="cellIs" dxfId="197" priority="3" operator="equal">
      <formula>"STB"</formula>
    </cfRule>
    <cfRule type="cellIs" dxfId="196" priority="4" operator="equal">
      <formula>"BD"</formula>
    </cfRule>
  </conditionalFormatting>
  <conditionalFormatting sqref="H8:H31">
    <cfRule type="top10" dxfId="195" priority="5" bottom="1" rank="1"/>
    <cfRule type="top10" dxfId="194" priority="6" rank="1"/>
    <cfRule type="cellIs" dxfId="193" priority="7" stopIfTrue="1" operator="equal">
      <formula>28000</formula>
    </cfRule>
  </conditionalFormatting>
  <conditionalFormatting sqref="H32:H33">
    <cfRule type="top10" dxfId="192" priority="14" bottom="1" rank="1"/>
    <cfRule type="top10" dxfId="191" priority="15" rank="1"/>
    <cfRule type="cellIs" dxfId="190" priority="17" stopIfTrue="1" operator="equal">
      <formula>28000</formula>
    </cfRule>
  </conditionalFormatting>
  <conditionalFormatting sqref="N8 N9:O31">
    <cfRule type="cellIs" dxfId="189" priority="16" operator="equal">
      <formula>"BD"</formula>
    </cfRule>
  </conditionalFormatting>
  <conditionalFormatting sqref="O8">
    <cfRule type="cellIs" dxfId="188" priority="10" operator="equal">
      <formula>"N/A"</formula>
    </cfRule>
  </conditionalFormatting>
  <conditionalFormatting sqref="Y8:Y31">
    <cfRule type="containsText" dxfId="187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</sheetPr>
  <dimension ref="A1:AC68"/>
  <sheetViews>
    <sheetView zoomScale="80" zoomScaleNormal="80" workbookViewId="0">
      <pane ySplit="7" topLeftCell="A16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'[21]Taniwel daily'!C4</f>
        <v>45312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199</v>
      </c>
      <c r="E8" s="134"/>
      <c r="F8" s="133" t="s">
        <v>26</v>
      </c>
      <c r="G8" s="134"/>
      <c r="H8" s="20">
        <f t="shared" ref="H8:H31" si="0">IF(SUM(B8:G8)/1000=0,"0",SUM(B8:G8))</f>
        <v>199</v>
      </c>
      <c r="I8" s="21">
        <f t="shared" ref="I8:I31" si="1">IFERROR(AVERAGE(B8:G8),"0")</f>
        <v>199</v>
      </c>
      <c r="J8" s="22">
        <f t="shared" ref="J8:J31" si="2">COUNT(B8:G8)</f>
        <v>1</v>
      </c>
      <c r="K8" s="23">
        <v>4.1666666666666699E-2</v>
      </c>
      <c r="L8" s="24">
        <v>4500</v>
      </c>
      <c r="M8" s="25">
        <v>175.69</v>
      </c>
      <c r="N8" s="26">
        <f>(M9-M8)*12000</f>
        <v>600.00000000013597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258</v>
      </c>
      <c r="E9" s="134"/>
      <c r="F9" s="133">
        <v>237</v>
      </c>
      <c r="G9" s="134"/>
      <c r="H9" s="20">
        <f t="shared" si="0"/>
        <v>495</v>
      </c>
      <c r="I9" s="21">
        <f t="shared" si="1"/>
        <v>247.5</v>
      </c>
      <c r="J9" s="22">
        <f t="shared" si="2"/>
        <v>2</v>
      </c>
      <c r="K9" s="23">
        <v>8.3333333333333301E-2</v>
      </c>
      <c r="L9" s="24">
        <v>4200</v>
      </c>
      <c r="M9" s="31">
        <v>175.74</v>
      </c>
      <c r="N9" s="26">
        <f t="shared" ref="N9:N30" si="3">(M10-M9)*12000</f>
        <v>239.99999999978201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455</v>
      </c>
      <c r="E10" s="134"/>
      <c r="F10" s="133" t="s">
        <v>26</v>
      </c>
      <c r="G10" s="134"/>
      <c r="H10" s="20">
        <f t="shared" si="0"/>
        <v>455</v>
      </c>
      <c r="I10" s="21">
        <f t="shared" si="1"/>
        <v>455</v>
      </c>
      <c r="J10" s="22">
        <f t="shared" si="2"/>
        <v>1</v>
      </c>
      <c r="K10" s="23">
        <v>0.125</v>
      </c>
      <c r="L10" s="24">
        <v>4200</v>
      </c>
      <c r="M10" s="31">
        <v>175.76</v>
      </c>
      <c r="N10" s="26">
        <f t="shared" si="3"/>
        <v>240.00000000012301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399</v>
      </c>
      <c r="E11" s="134"/>
      <c r="F11" s="133" t="s">
        <v>26</v>
      </c>
      <c r="G11" s="134"/>
      <c r="H11" s="20">
        <f t="shared" si="0"/>
        <v>399</v>
      </c>
      <c r="I11" s="21">
        <f t="shared" si="1"/>
        <v>399</v>
      </c>
      <c r="J11" s="22">
        <f t="shared" si="2"/>
        <v>1</v>
      </c>
      <c r="K11" s="23">
        <v>0.16666666666666699</v>
      </c>
      <c r="L11" s="24">
        <v>4000</v>
      </c>
      <c r="M11" s="31">
        <v>175.78</v>
      </c>
      <c r="N11" s="26">
        <f t="shared" si="3"/>
        <v>479.99999999990501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>
        <v>352</v>
      </c>
      <c r="E12" s="134"/>
      <c r="F12" s="133" t="s">
        <v>26</v>
      </c>
      <c r="G12" s="134"/>
      <c r="H12" s="20">
        <f t="shared" si="0"/>
        <v>352</v>
      </c>
      <c r="I12" s="21">
        <f t="shared" si="1"/>
        <v>352</v>
      </c>
      <c r="J12" s="22">
        <f t="shared" si="2"/>
        <v>1</v>
      </c>
      <c r="K12" s="23">
        <v>0.20833333333333301</v>
      </c>
      <c r="L12" s="24">
        <v>3900</v>
      </c>
      <c r="M12" s="31">
        <v>175.82</v>
      </c>
      <c r="N12" s="26">
        <f t="shared" si="3"/>
        <v>360.00000000001398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361</v>
      </c>
      <c r="E13" s="134"/>
      <c r="F13" s="133" t="s">
        <v>26</v>
      </c>
      <c r="G13" s="134"/>
      <c r="H13" s="20">
        <f t="shared" si="0"/>
        <v>361</v>
      </c>
      <c r="I13" s="21">
        <f t="shared" si="1"/>
        <v>361</v>
      </c>
      <c r="J13" s="22">
        <f t="shared" si="2"/>
        <v>1</v>
      </c>
      <c r="K13" s="23">
        <v>0.25</v>
      </c>
      <c r="L13" s="24">
        <v>3600</v>
      </c>
      <c r="M13" s="31">
        <v>175.85</v>
      </c>
      <c r="N13" s="26">
        <f t="shared" si="3"/>
        <v>360.00000000001398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396</v>
      </c>
      <c r="E14" s="134"/>
      <c r="F14" s="133" t="s">
        <v>26</v>
      </c>
      <c r="G14" s="134"/>
      <c r="H14" s="20">
        <f t="shared" si="0"/>
        <v>396</v>
      </c>
      <c r="I14" s="21">
        <f t="shared" si="1"/>
        <v>396</v>
      </c>
      <c r="J14" s="22">
        <f t="shared" si="2"/>
        <v>1</v>
      </c>
      <c r="K14" s="23">
        <v>0.29166666666666702</v>
      </c>
      <c r="L14" s="24">
        <v>3600</v>
      </c>
      <c r="M14" s="31">
        <v>175.88</v>
      </c>
      <c r="N14" s="26">
        <f t="shared" si="3"/>
        <v>479.99999999990501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420</v>
      </c>
      <c r="E15" s="134"/>
      <c r="F15" s="133" t="s">
        <v>26</v>
      </c>
      <c r="G15" s="134"/>
      <c r="H15" s="20">
        <f t="shared" si="0"/>
        <v>420</v>
      </c>
      <c r="I15" s="21">
        <f t="shared" si="1"/>
        <v>420</v>
      </c>
      <c r="J15" s="22">
        <f t="shared" si="2"/>
        <v>1</v>
      </c>
      <c r="K15" s="23">
        <v>0.33333333333333298</v>
      </c>
      <c r="L15" s="24">
        <v>3600</v>
      </c>
      <c r="M15" s="31">
        <v>175.92</v>
      </c>
      <c r="N15" s="26">
        <f t="shared" si="3"/>
        <v>480.00000000024602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251</v>
      </c>
      <c r="E16" s="134"/>
      <c r="F16" s="133">
        <v>273</v>
      </c>
      <c r="G16" s="134"/>
      <c r="H16" s="20">
        <f t="shared" si="0"/>
        <v>524</v>
      </c>
      <c r="I16" s="21">
        <f t="shared" si="1"/>
        <v>262</v>
      </c>
      <c r="J16" s="22">
        <f t="shared" si="2"/>
        <v>2</v>
      </c>
      <c r="K16" s="23">
        <v>0.375</v>
      </c>
      <c r="L16" s="24">
        <v>3600</v>
      </c>
      <c r="M16" s="31">
        <v>175.96</v>
      </c>
      <c r="N16" s="26">
        <f t="shared" si="3"/>
        <v>599.99999999979502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270</v>
      </c>
      <c r="E17" s="134"/>
      <c r="F17" s="133">
        <v>259</v>
      </c>
      <c r="G17" s="134"/>
      <c r="H17" s="20">
        <f t="shared" si="0"/>
        <v>529</v>
      </c>
      <c r="I17" s="21">
        <f t="shared" si="1"/>
        <v>264.5</v>
      </c>
      <c r="J17" s="22">
        <f t="shared" si="2"/>
        <v>2</v>
      </c>
      <c r="K17" s="23">
        <v>0.41666666666666602</v>
      </c>
      <c r="L17" s="24">
        <v>3400</v>
      </c>
      <c r="M17" s="31">
        <v>176.01</v>
      </c>
      <c r="N17" s="26">
        <f t="shared" si="3"/>
        <v>600.00000000013597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264</v>
      </c>
      <c r="E18" s="134"/>
      <c r="F18" s="133">
        <v>252</v>
      </c>
      <c r="G18" s="134"/>
      <c r="H18" s="20">
        <f t="shared" si="0"/>
        <v>516</v>
      </c>
      <c r="I18" s="21">
        <f t="shared" si="1"/>
        <v>258</v>
      </c>
      <c r="J18" s="22">
        <f t="shared" si="2"/>
        <v>2</v>
      </c>
      <c r="K18" s="23">
        <v>0.45833333333333298</v>
      </c>
      <c r="L18" s="24">
        <v>3300</v>
      </c>
      <c r="M18" s="31">
        <v>176.06</v>
      </c>
      <c r="N18" s="26">
        <f t="shared" si="3"/>
        <v>479.99999999990501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240</v>
      </c>
      <c r="E19" s="134"/>
      <c r="F19" s="133">
        <v>249</v>
      </c>
      <c r="G19" s="134"/>
      <c r="H19" s="20">
        <f t="shared" si="0"/>
        <v>489</v>
      </c>
      <c r="I19" s="21">
        <f t="shared" si="1"/>
        <v>244.5</v>
      </c>
      <c r="J19" s="22">
        <f t="shared" si="2"/>
        <v>2</v>
      </c>
      <c r="K19" s="23">
        <v>0.5</v>
      </c>
      <c r="L19" s="24">
        <v>3300</v>
      </c>
      <c r="M19" s="31">
        <v>176.1</v>
      </c>
      <c r="N19" s="26">
        <f t="shared" si="3"/>
        <v>600.00000000013597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225</v>
      </c>
      <c r="E20" s="134"/>
      <c r="F20" s="133">
        <v>240</v>
      </c>
      <c r="G20" s="134"/>
      <c r="H20" s="20">
        <f t="shared" si="0"/>
        <v>465</v>
      </c>
      <c r="I20" s="21">
        <f t="shared" si="1"/>
        <v>232.5</v>
      </c>
      <c r="J20" s="22">
        <f t="shared" si="2"/>
        <v>2</v>
      </c>
      <c r="K20" s="23">
        <v>0.54166666666666696</v>
      </c>
      <c r="L20" s="24">
        <v>3000</v>
      </c>
      <c r="M20" s="31">
        <v>176.15</v>
      </c>
      <c r="N20" s="26">
        <f t="shared" si="3"/>
        <v>479.99999999990501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>
        <v>420</v>
      </c>
      <c r="E21" s="134"/>
      <c r="F21" s="133" t="s">
        <v>26</v>
      </c>
      <c r="G21" s="134"/>
      <c r="H21" s="20">
        <f t="shared" si="0"/>
        <v>420</v>
      </c>
      <c r="I21" s="21">
        <f t="shared" si="1"/>
        <v>420</v>
      </c>
      <c r="J21" s="22">
        <f t="shared" si="2"/>
        <v>1</v>
      </c>
      <c r="K21" s="23">
        <v>0.58333333333333304</v>
      </c>
      <c r="L21" s="24">
        <v>3000</v>
      </c>
      <c r="M21" s="31">
        <v>176.19</v>
      </c>
      <c r="N21" s="26">
        <f t="shared" si="3"/>
        <v>479.99999999990501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>
        <v>405</v>
      </c>
      <c r="E22" s="134"/>
      <c r="F22" s="133" t="s">
        <v>26</v>
      </c>
      <c r="G22" s="134"/>
      <c r="H22" s="20">
        <f t="shared" si="0"/>
        <v>405</v>
      </c>
      <c r="I22" s="21">
        <f t="shared" si="1"/>
        <v>405</v>
      </c>
      <c r="J22" s="22">
        <f t="shared" si="2"/>
        <v>1</v>
      </c>
      <c r="K22" s="23">
        <v>0.625</v>
      </c>
      <c r="L22" s="24">
        <v>3000</v>
      </c>
      <c r="M22" s="31">
        <v>176.23</v>
      </c>
      <c r="N22" s="26">
        <f t="shared" si="3"/>
        <v>360.00000000001398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408</v>
      </c>
      <c r="E23" s="134"/>
      <c r="F23" s="133" t="s">
        <v>26</v>
      </c>
      <c r="G23" s="134"/>
      <c r="H23" s="20">
        <f t="shared" si="0"/>
        <v>408</v>
      </c>
      <c r="I23" s="21">
        <f t="shared" si="1"/>
        <v>408</v>
      </c>
      <c r="J23" s="22">
        <f t="shared" si="2"/>
        <v>1</v>
      </c>
      <c r="K23" s="23">
        <v>0.66666666666666596</v>
      </c>
      <c r="L23" s="24">
        <v>3000</v>
      </c>
      <c r="M23" s="31">
        <v>176.26</v>
      </c>
      <c r="N23" s="26">
        <f t="shared" si="3"/>
        <v>600.00000000013597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435</v>
      </c>
      <c r="E24" s="134"/>
      <c r="F24" s="133" t="s">
        <v>26</v>
      </c>
      <c r="G24" s="134"/>
      <c r="H24" s="20">
        <f t="shared" si="0"/>
        <v>435</v>
      </c>
      <c r="I24" s="21">
        <f t="shared" si="1"/>
        <v>435</v>
      </c>
      <c r="J24" s="22">
        <f t="shared" si="2"/>
        <v>1</v>
      </c>
      <c r="K24" s="23">
        <v>0.70833333333333304</v>
      </c>
      <c r="L24" s="24">
        <v>2700</v>
      </c>
      <c r="M24" s="31">
        <v>176.31</v>
      </c>
      <c r="N24" s="26">
        <f t="shared" si="3"/>
        <v>479.99999999990501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253</v>
      </c>
      <c r="E25" s="134"/>
      <c r="F25" s="133">
        <v>224</v>
      </c>
      <c r="G25" s="134"/>
      <c r="H25" s="20">
        <f t="shared" si="0"/>
        <v>477</v>
      </c>
      <c r="I25" s="21">
        <f t="shared" si="1"/>
        <v>238.5</v>
      </c>
      <c r="J25" s="22">
        <f t="shared" si="2"/>
        <v>2</v>
      </c>
      <c r="K25" s="23">
        <v>0.75</v>
      </c>
      <c r="L25" s="24">
        <v>2400</v>
      </c>
      <c r="M25" s="31">
        <v>176.35</v>
      </c>
      <c r="N25" s="26">
        <f t="shared" si="3"/>
        <v>600.00000000013597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309</v>
      </c>
      <c r="E26" s="134"/>
      <c r="F26" s="133">
        <v>302</v>
      </c>
      <c r="G26" s="134"/>
      <c r="H26" s="20">
        <f t="shared" si="0"/>
        <v>611</v>
      </c>
      <c r="I26" s="21">
        <f t="shared" si="1"/>
        <v>305.5</v>
      </c>
      <c r="J26" s="22">
        <f t="shared" si="2"/>
        <v>2</v>
      </c>
      <c r="K26" s="23">
        <v>0.79166666666666596</v>
      </c>
      <c r="L26" s="24">
        <v>2100</v>
      </c>
      <c r="M26" s="31">
        <v>176.4</v>
      </c>
      <c r="N26" s="26">
        <f t="shared" si="3"/>
        <v>599.99999999979502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307</v>
      </c>
      <c r="E27" s="134"/>
      <c r="F27" s="133" t="s">
        <v>26</v>
      </c>
      <c r="G27" s="134"/>
      <c r="H27" s="20">
        <f t="shared" si="0"/>
        <v>307</v>
      </c>
      <c r="I27" s="21">
        <f t="shared" si="1"/>
        <v>307</v>
      </c>
      <c r="J27" s="22">
        <f t="shared" si="2"/>
        <v>1</v>
      </c>
      <c r="K27" s="23">
        <v>0.83333333333333304</v>
      </c>
      <c r="L27" s="24">
        <v>2100</v>
      </c>
      <c r="M27" s="31">
        <v>176.45</v>
      </c>
      <c r="N27" s="26">
        <f t="shared" si="3"/>
        <v>360.00000000001398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341</v>
      </c>
      <c r="E28" s="134"/>
      <c r="F28" s="133">
        <v>353</v>
      </c>
      <c r="G28" s="134"/>
      <c r="H28" s="20">
        <f t="shared" si="0"/>
        <v>694</v>
      </c>
      <c r="I28" s="21">
        <f t="shared" si="1"/>
        <v>347</v>
      </c>
      <c r="J28" s="22">
        <f t="shared" si="2"/>
        <v>2</v>
      </c>
      <c r="K28" s="23">
        <v>0.875</v>
      </c>
      <c r="L28" s="24">
        <v>1800</v>
      </c>
      <c r="M28" s="31">
        <v>176.48</v>
      </c>
      <c r="N28" s="26">
        <f t="shared" si="3"/>
        <v>720.00000000002694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279</v>
      </c>
      <c r="E29" s="134"/>
      <c r="F29" s="133">
        <v>284</v>
      </c>
      <c r="G29" s="134"/>
      <c r="H29" s="20">
        <f t="shared" si="0"/>
        <v>563</v>
      </c>
      <c r="I29" s="21">
        <f t="shared" si="1"/>
        <v>281.5</v>
      </c>
      <c r="J29" s="22">
        <f t="shared" si="2"/>
        <v>2</v>
      </c>
      <c r="K29" s="23">
        <v>0.91666666666666596</v>
      </c>
      <c r="L29" s="24">
        <v>1800</v>
      </c>
      <c r="M29" s="31">
        <v>176.54</v>
      </c>
      <c r="N29" s="26">
        <f t="shared" si="3"/>
        <v>480.00000000024602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213</v>
      </c>
      <c r="E30" s="134"/>
      <c r="F30" s="133" t="s">
        <v>26</v>
      </c>
      <c r="G30" s="134"/>
      <c r="H30" s="20">
        <f t="shared" si="0"/>
        <v>213</v>
      </c>
      <c r="I30" s="21">
        <f t="shared" si="1"/>
        <v>213</v>
      </c>
      <c r="J30" s="22">
        <f t="shared" si="2"/>
        <v>1</v>
      </c>
      <c r="K30" s="23">
        <v>0.95833333333333304</v>
      </c>
      <c r="L30" s="24">
        <v>1800</v>
      </c>
      <c r="M30" s="31">
        <v>176.58</v>
      </c>
      <c r="N30" s="26">
        <f t="shared" si="3"/>
        <v>239.99999999978201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211</v>
      </c>
      <c r="E31" s="134"/>
      <c r="F31" s="133">
        <v>208</v>
      </c>
      <c r="G31" s="134"/>
      <c r="H31" s="20">
        <f t="shared" si="0"/>
        <v>419</v>
      </c>
      <c r="I31" s="35">
        <f t="shared" si="1"/>
        <v>209.5</v>
      </c>
      <c r="J31" s="36">
        <f t="shared" si="2"/>
        <v>2</v>
      </c>
      <c r="K31" s="37">
        <v>1</v>
      </c>
      <c r="L31" s="24">
        <v>4500</v>
      </c>
      <c r="M31" s="38">
        <v>176.6</v>
      </c>
      <c r="N31" s="26">
        <f>H31</f>
        <v>419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7.6710000000000003</v>
      </c>
      <c r="E32" s="136"/>
      <c r="F32" s="135">
        <f>SUM(F8:F31)/1000</f>
        <v>2.8809999999999998</v>
      </c>
      <c r="G32" s="136"/>
      <c r="H32" s="40">
        <f>SUM(H8:H31)</f>
        <v>10552</v>
      </c>
      <c r="I32" s="41" t="s">
        <v>13</v>
      </c>
      <c r="J32" s="42"/>
      <c r="K32" s="43"/>
      <c r="L32" s="44"/>
      <c r="M32" s="45">
        <f>SUM(M31-M8+N8)</f>
        <v>600.91000000013605</v>
      </c>
      <c r="N32" s="46">
        <f>SUM(N8:N31)</f>
        <v>11339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319.625</v>
      </c>
      <c r="E33" s="116"/>
      <c r="F33" s="119">
        <f>IFERROR((AVERAGE(F8:F31)),"0")</f>
        <v>261.90909090909099</v>
      </c>
      <c r="G33" s="121"/>
      <c r="H33" s="147">
        <f>H32*1000</f>
        <v>10552000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24</v>
      </c>
      <c r="E35" s="162"/>
      <c r="F35" s="163">
        <f>COUNT(F8:F31)</f>
        <v>11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35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694</v>
      </c>
      <c r="D39" s="126"/>
      <c r="E39" s="73">
        <f>VLOOKUP(C39,H8:L31,4,FALSE)</f>
        <v>0.875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439.66666666666703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199</v>
      </c>
      <c r="D41" s="126"/>
      <c r="E41" s="73">
        <f>VLOOKUP(C41,H8:L31,4,FALSE)</f>
        <v>4.1666666666666699E-2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319.20833333333297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-414.628749999994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186" priority="11" operator="equal">
      <formula>"STB"</formula>
    </cfRule>
    <cfRule type="cellIs" dxfId="185" priority="12" operator="equal">
      <formula>"BD"</formula>
    </cfRule>
  </conditionalFormatting>
  <conditionalFormatting sqref="B8:B31">
    <cfRule type="cellIs" dxfId="184" priority="1" operator="equal">
      <formula>"STB"</formula>
    </cfRule>
    <cfRule type="cellIs" dxfId="183" priority="2" operator="equal">
      <formula>"BD"</formula>
    </cfRule>
  </conditionalFormatting>
  <conditionalFormatting sqref="D8:D31">
    <cfRule type="cellIs" dxfId="182" priority="8" operator="equal">
      <formula>"STB"</formula>
    </cfRule>
    <cfRule type="cellIs" dxfId="181" priority="9" operator="equal">
      <formula>"BD"</formula>
    </cfRule>
  </conditionalFormatting>
  <conditionalFormatting sqref="F8:F31">
    <cfRule type="cellIs" dxfId="180" priority="3" operator="equal">
      <formula>"STB"</formula>
    </cfRule>
    <cfRule type="cellIs" dxfId="179" priority="4" operator="equal">
      <formula>"BD"</formula>
    </cfRule>
  </conditionalFormatting>
  <conditionalFormatting sqref="H8:H31">
    <cfRule type="top10" dxfId="178" priority="5" bottom="1" rank="1"/>
    <cfRule type="top10" dxfId="177" priority="6" rank="1"/>
    <cfRule type="cellIs" dxfId="176" priority="7" stopIfTrue="1" operator="equal">
      <formula>28000</formula>
    </cfRule>
  </conditionalFormatting>
  <conditionalFormatting sqref="H32:H33">
    <cfRule type="top10" dxfId="175" priority="14" bottom="1" rank="1"/>
    <cfRule type="top10" dxfId="174" priority="15" rank="1"/>
    <cfRule type="cellIs" dxfId="173" priority="17" stopIfTrue="1" operator="equal">
      <formula>28000</formula>
    </cfRule>
  </conditionalFormatting>
  <conditionalFormatting sqref="N8 N9:O31">
    <cfRule type="cellIs" dxfId="172" priority="16" operator="equal">
      <formula>"BD"</formula>
    </cfRule>
  </conditionalFormatting>
  <conditionalFormatting sqref="O8">
    <cfRule type="cellIs" dxfId="171" priority="10" operator="equal">
      <formula>"N/A"</formula>
    </cfRule>
  </conditionalFormatting>
  <conditionalFormatting sqref="Y8:Y31">
    <cfRule type="containsText" dxfId="170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AC68"/>
  <sheetViews>
    <sheetView zoomScale="80" zoomScaleNormal="80" workbookViewId="0">
      <pane ySplit="7" topLeftCell="A16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'[22]Taniwel daily'!C4</f>
        <v>45313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370</v>
      </c>
      <c r="E8" s="134"/>
      <c r="F8" s="133" t="s">
        <v>26</v>
      </c>
      <c r="G8" s="134"/>
      <c r="H8" s="20">
        <f t="shared" ref="H8:H31" si="0">IF(SUM(B8:G8)/1000=0,"0",SUM(B8:G8))</f>
        <v>370</v>
      </c>
      <c r="I8" s="21">
        <f t="shared" ref="I8:I31" si="1">IFERROR(AVERAGE(B8:G8),"0")</f>
        <v>370</v>
      </c>
      <c r="J8" s="22">
        <f t="shared" ref="J8:J31" si="2">COUNT(B8:G8)</f>
        <v>1</v>
      </c>
      <c r="K8" s="23">
        <v>4.1666666666666699E-2</v>
      </c>
      <c r="L8" s="24">
        <v>4500</v>
      </c>
      <c r="M8" s="25">
        <v>176.63</v>
      </c>
      <c r="N8" s="26">
        <f>(M9-M8)*12000</f>
        <v>360.00000000001398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222</v>
      </c>
      <c r="E9" s="134"/>
      <c r="F9" s="133">
        <v>241</v>
      </c>
      <c r="G9" s="134"/>
      <c r="H9" s="20">
        <f t="shared" si="0"/>
        <v>463</v>
      </c>
      <c r="I9" s="21">
        <f t="shared" si="1"/>
        <v>231.5</v>
      </c>
      <c r="J9" s="22">
        <f t="shared" si="2"/>
        <v>2</v>
      </c>
      <c r="K9" s="23">
        <v>8.3333333333333301E-2</v>
      </c>
      <c r="L9" s="24">
        <v>4200</v>
      </c>
      <c r="M9" s="31">
        <v>176.66</v>
      </c>
      <c r="N9" s="26">
        <f t="shared" ref="N9:N30" si="3">(M10-M9)*12000</f>
        <v>600.00000000013597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437</v>
      </c>
      <c r="E10" s="134"/>
      <c r="F10" s="133" t="s">
        <v>26</v>
      </c>
      <c r="G10" s="134"/>
      <c r="H10" s="20">
        <f t="shared" si="0"/>
        <v>437</v>
      </c>
      <c r="I10" s="21">
        <f t="shared" si="1"/>
        <v>437</v>
      </c>
      <c r="J10" s="22">
        <f t="shared" si="2"/>
        <v>1</v>
      </c>
      <c r="K10" s="23">
        <v>0.125</v>
      </c>
      <c r="L10" s="24">
        <v>4200</v>
      </c>
      <c r="M10" s="31">
        <v>176.71</v>
      </c>
      <c r="N10" s="26">
        <f t="shared" si="3"/>
        <v>479.99999999990501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430</v>
      </c>
      <c r="E11" s="134"/>
      <c r="F11" s="133" t="s">
        <v>26</v>
      </c>
      <c r="G11" s="134"/>
      <c r="H11" s="20">
        <f t="shared" si="0"/>
        <v>430</v>
      </c>
      <c r="I11" s="21">
        <f t="shared" si="1"/>
        <v>430</v>
      </c>
      <c r="J11" s="22">
        <f t="shared" si="2"/>
        <v>1</v>
      </c>
      <c r="K11" s="23">
        <v>0.16666666666666699</v>
      </c>
      <c r="L11" s="24">
        <v>4000</v>
      </c>
      <c r="M11" s="31">
        <v>176.75</v>
      </c>
      <c r="N11" s="26">
        <f t="shared" si="3"/>
        <v>240.00000000012301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>
        <v>384</v>
      </c>
      <c r="E12" s="134"/>
      <c r="F12" s="133" t="s">
        <v>26</v>
      </c>
      <c r="G12" s="134"/>
      <c r="H12" s="20">
        <f t="shared" si="0"/>
        <v>384</v>
      </c>
      <c r="I12" s="21">
        <f t="shared" si="1"/>
        <v>384</v>
      </c>
      <c r="J12" s="22">
        <f t="shared" si="2"/>
        <v>1</v>
      </c>
      <c r="K12" s="23">
        <v>0.20833333333333301</v>
      </c>
      <c r="L12" s="24">
        <v>3900</v>
      </c>
      <c r="M12" s="31">
        <v>176.77</v>
      </c>
      <c r="N12" s="26">
        <f t="shared" si="3"/>
        <v>839.99999999991803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262</v>
      </c>
      <c r="E13" s="134"/>
      <c r="F13" s="133">
        <v>308</v>
      </c>
      <c r="G13" s="134"/>
      <c r="H13" s="20">
        <f t="shared" si="0"/>
        <v>570</v>
      </c>
      <c r="I13" s="21">
        <f t="shared" si="1"/>
        <v>285</v>
      </c>
      <c r="J13" s="22">
        <f t="shared" si="2"/>
        <v>2</v>
      </c>
      <c r="K13" s="23">
        <v>0.25</v>
      </c>
      <c r="L13" s="24">
        <v>3600</v>
      </c>
      <c r="M13" s="31">
        <v>176.84</v>
      </c>
      <c r="N13" s="26">
        <f t="shared" si="3"/>
        <v>240.00000000012301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263</v>
      </c>
      <c r="E14" s="134"/>
      <c r="F14" s="133">
        <v>273</v>
      </c>
      <c r="G14" s="134"/>
      <c r="H14" s="20">
        <f t="shared" si="0"/>
        <v>536</v>
      </c>
      <c r="I14" s="21">
        <f t="shared" si="1"/>
        <v>268</v>
      </c>
      <c r="J14" s="22">
        <f t="shared" si="2"/>
        <v>2</v>
      </c>
      <c r="K14" s="23">
        <v>0.29166666666666702</v>
      </c>
      <c r="L14" s="24">
        <v>3600</v>
      </c>
      <c r="M14" s="31">
        <v>176.86</v>
      </c>
      <c r="N14" s="26">
        <f t="shared" si="3"/>
        <v>599.99999999979502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232</v>
      </c>
      <c r="E15" s="134"/>
      <c r="F15" s="133">
        <v>227</v>
      </c>
      <c r="G15" s="134"/>
      <c r="H15" s="20">
        <f t="shared" si="0"/>
        <v>459</v>
      </c>
      <c r="I15" s="21">
        <f t="shared" si="1"/>
        <v>229.5</v>
      </c>
      <c r="J15" s="22">
        <f t="shared" si="2"/>
        <v>2</v>
      </c>
      <c r="K15" s="23">
        <v>0.33333333333333298</v>
      </c>
      <c r="L15" s="24">
        <v>3600</v>
      </c>
      <c r="M15" s="31">
        <v>176.91</v>
      </c>
      <c r="N15" s="26">
        <f t="shared" si="3"/>
        <v>479.99999999990501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249</v>
      </c>
      <c r="E16" s="134"/>
      <c r="F16" s="133">
        <v>230</v>
      </c>
      <c r="G16" s="134"/>
      <c r="H16" s="20">
        <f t="shared" si="0"/>
        <v>479</v>
      </c>
      <c r="I16" s="21">
        <f t="shared" si="1"/>
        <v>239.5</v>
      </c>
      <c r="J16" s="22">
        <f t="shared" si="2"/>
        <v>2</v>
      </c>
      <c r="K16" s="23">
        <v>0.375</v>
      </c>
      <c r="L16" s="24">
        <v>3600</v>
      </c>
      <c r="M16" s="31">
        <v>176.95</v>
      </c>
      <c r="N16" s="26">
        <f t="shared" si="3"/>
        <v>480.00000000024602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250</v>
      </c>
      <c r="E17" s="134"/>
      <c r="F17" s="133">
        <v>230</v>
      </c>
      <c r="G17" s="134"/>
      <c r="H17" s="20">
        <f t="shared" si="0"/>
        <v>480</v>
      </c>
      <c r="I17" s="21">
        <f t="shared" si="1"/>
        <v>240</v>
      </c>
      <c r="J17" s="22">
        <f t="shared" si="2"/>
        <v>2</v>
      </c>
      <c r="K17" s="23">
        <v>0.41666666666666602</v>
      </c>
      <c r="L17" s="24">
        <v>3400</v>
      </c>
      <c r="M17" s="31">
        <v>176.99</v>
      </c>
      <c r="N17" s="26">
        <f t="shared" si="3"/>
        <v>599.99999999979502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230</v>
      </c>
      <c r="E18" s="134"/>
      <c r="F18" s="133">
        <v>236</v>
      </c>
      <c r="G18" s="134"/>
      <c r="H18" s="20">
        <f t="shared" si="0"/>
        <v>466</v>
      </c>
      <c r="I18" s="21">
        <f t="shared" si="1"/>
        <v>233</v>
      </c>
      <c r="J18" s="22">
        <f t="shared" si="2"/>
        <v>2</v>
      </c>
      <c r="K18" s="23">
        <v>0.45833333333333298</v>
      </c>
      <c r="L18" s="24">
        <v>3300</v>
      </c>
      <c r="M18" s="31">
        <v>177.04</v>
      </c>
      <c r="N18" s="26">
        <f t="shared" si="3"/>
        <v>480.00000000024602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409</v>
      </c>
      <c r="E19" s="134"/>
      <c r="F19" s="133" t="s">
        <v>26</v>
      </c>
      <c r="G19" s="134"/>
      <c r="H19" s="20">
        <f t="shared" si="0"/>
        <v>409</v>
      </c>
      <c r="I19" s="21">
        <f t="shared" si="1"/>
        <v>409</v>
      </c>
      <c r="J19" s="22">
        <f t="shared" si="2"/>
        <v>1</v>
      </c>
      <c r="K19" s="23">
        <v>0.5</v>
      </c>
      <c r="L19" s="24">
        <v>3300</v>
      </c>
      <c r="M19" s="31">
        <v>177.08</v>
      </c>
      <c r="N19" s="26">
        <f t="shared" si="3"/>
        <v>479.99999999990501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404</v>
      </c>
      <c r="E20" s="134"/>
      <c r="F20" s="133" t="s">
        <v>26</v>
      </c>
      <c r="G20" s="134"/>
      <c r="H20" s="20">
        <f t="shared" si="0"/>
        <v>404</v>
      </c>
      <c r="I20" s="21">
        <f t="shared" si="1"/>
        <v>404</v>
      </c>
      <c r="J20" s="22">
        <f t="shared" si="2"/>
        <v>1</v>
      </c>
      <c r="K20" s="23">
        <v>0.54166666666666696</v>
      </c>
      <c r="L20" s="24">
        <v>3000</v>
      </c>
      <c r="M20" s="31">
        <v>177.12</v>
      </c>
      <c r="N20" s="26">
        <f t="shared" si="3"/>
        <v>479.99999999990501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 t="s">
        <v>26</v>
      </c>
      <c r="E21" s="134"/>
      <c r="F21" s="133">
        <v>390</v>
      </c>
      <c r="G21" s="134"/>
      <c r="H21" s="20">
        <f t="shared" si="0"/>
        <v>390</v>
      </c>
      <c r="I21" s="21">
        <f t="shared" si="1"/>
        <v>390</v>
      </c>
      <c r="J21" s="22">
        <f t="shared" si="2"/>
        <v>1</v>
      </c>
      <c r="K21" s="23">
        <v>0.58333333333333304</v>
      </c>
      <c r="L21" s="24">
        <v>3000</v>
      </c>
      <c r="M21" s="31">
        <v>177.16</v>
      </c>
      <c r="N21" s="26">
        <f t="shared" si="3"/>
        <v>479.99999999990501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 t="s">
        <v>26</v>
      </c>
      <c r="E22" s="134"/>
      <c r="F22" s="133">
        <v>385</v>
      </c>
      <c r="G22" s="134"/>
      <c r="H22" s="20">
        <f t="shared" si="0"/>
        <v>385</v>
      </c>
      <c r="I22" s="21">
        <f t="shared" si="1"/>
        <v>385</v>
      </c>
      <c r="J22" s="22">
        <f t="shared" si="2"/>
        <v>1</v>
      </c>
      <c r="K22" s="23">
        <v>0.625</v>
      </c>
      <c r="L22" s="24">
        <v>3000</v>
      </c>
      <c r="M22" s="31">
        <v>177.2</v>
      </c>
      <c r="N22" s="26">
        <f t="shared" si="3"/>
        <v>360.00000000001398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 t="s">
        <v>26</v>
      </c>
      <c r="E23" s="134"/>
      <c r="F23" s="133">
        <v>417</v>
      </c>
      <c r="G23" s="134"/>
      <c r="H23" s="20">
        <f t="shared" si="0"/>
        <v>417</v>
      </c>
      <c r="I23" s="21">
        <f t="shared" si="1"/>
        <v>417</v>
      </c>
      <c r="J23" s="22">
        <f t="shared" si="2"/>
        <v>1</v>
      </c>
      <c r="K23" s="23">
        <v>0.66666666666666596</v>
      </c>
      <c r="L23" s="24">
        <v>3000</v>
      </c>
      <c r="M23" s="31">
        <v>177.23</v>
      </c>
      <c r="N23" s="26">
        <f t="shared" si="3"/>
        <v>600.00000000013597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 t="s">
        <v>26</v>
      </c>
      <c r="E24" s="134"/>
      <c r="F24" s="133">
        <v>428</v>
      </c>
      <c r="G24" s="134"/>
      <c r="H24" s="20">
        <f t="shared" si="0"/>
        <v>428</v>
      </c>
      <c r="I24" s="21">
        <f t="shared" si="1"/>
        <v>428</v>
      </c>
      <c r="J24" s="22">
        <f t="shared" si="2"/>
        <v>1</v>
      </c>
      <c r="K24" s="23">
        <v>0.70833333333333304</v>
      </c>
      <c r="L24" s="24">
        <v>2700</v>
      </c>
      <c r="M24" s="31">
        <v>177.28</v>
      </c>
      <c r="N24" s="26">
        <f t="shared" si="3"/>
        <v>479.99999999990501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 t="s">
        <v>26</v>
      </c>
      <c r="E25" s="134"/>
      <c r="F25" s="133">
        <v>449</v>
      </c>
      <c r="G25" s="134"/>
      <c r="H25" s="20">
        <f t="shared" si="0"/>
        <v>449</v>
      </c>
      <c r="I25" s="21">
        <f t="shared" si="1"/>
        <v>449</v>
      </c>
      <c r="J25" s="22">
        <f t="shared" si="2"/>
        <v>1</v>
      </c>
      <c r="K25" s="23">
        <v>0.75</v>
      </c>
      <c r="L25" s="24">
        <v>2400</v>
      </c>
      <c r="M25" s="31">
        <v>177.32</v>
      </c>
      <c r="N25" s="26">
        <f t="shared" si="3"/>
        <v>600.00000000013597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293</v>
      </c>
      <c r="E26" s="134"/>
      <c r="F26" s="133">
        <v>303</v>
      </c>
      <c r="G26" s="134"/>
      <c r="H26" s="20">
        <f t="shared" si="0"/>
        <v>596</v>
      </c>
      <c r="I26" s="21">
        <f t="shared" si="1"/>
        <v>298</v>
      </c>
      <c r="J26" s="22">
        <f t="shared" si="2"/>
        <v>2</v>
      </c>
      <c r="K26" s="23">
        <v>0.79166666666666596</v>
      </c>
      <c r="L26" s="24">
        <v>2100</v>
      </c>
      <c r="M26" s="31">
        <v>177.37</v>
      </c>
      <c r="N26" s="26">
        <f t="shared" si="3"/>
        <v>720.00000000002694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348</v>
      </c>
      <c r="E27" s="134"/>
      <c r="F27" s="133">
        <v>334</v>
      </c>
      <c r="G27" s="134"/>
      <c r="H27" s="20">
        <f t="shared" si="0"/>
        <v>682</v>
      </c>
      <c r="I27" s="21">
        <f t="shared" si="1"/>
        <v>341</v>
      </c>
      <c r="J27" s="22">
        <f t="shared" si="2"/>
        <v>2</v>
      </c>
      <c r="K27" s="23">
        <v>0.83333333333333304</v>
      </c>
      <c r="L27" s="24">
        <v>2100</v>
      </c>
      <c r="M27" s="31">
        <v>177.43</v>
      </c>
      <c r="N27" s="26">
        <f t="shared" si="3"/>
        <v>599.99999999979502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317</v>
      </c>
      <c r="E28" s="134"/>
      <c r="F28" s="133">
        <v>306</v>
      </c>
      <c r="G28" s="134"/>
      <c r="H28" s="20">
        <f t="shared" si="0"/>
        <v>623</v>
      </c>
      <c r="I28" s="21">
        <f t="shared" si="1"/>
        <v>311.5</v>
      </c>
      <c r="J28" s="22">
        <f t="shared" si="2"/>
        <v>2</v>
      </c>
      <c r="K28" s="23">
        <v>0.875</v>
      </c>
      <c r="L28" s="24">
        <v>1800</v>
      </c>
      <c r="M28" s="31">
        <v>177.48</v>
      </c>
      <c r="N28" s="26">
        <f t="shared" si="3"/>
        <v>600.00000000013597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231</v>
      </c>
      <c r="E29" s="134"/>
      <c r="F29" s="133">
        <v>234</v>
      </c>
      <c r="G29" s="134"/>
      <c r="H29" s="20">
        <f t="shared" si="0"/>
        <v>465</v>
      </c>
      <c r="I29" s="21">
        <f t="shared" si="1"/>
        <v>232.5</v>
      </c>
      <c r="J29" s="22">
        <f t="shared" si="2"/>
        <v>2</v>
      </c>
      <c r="K29" s="23">
        <v>0.91666666666666596</v>
      </c>
      <c r="L29" s="24">
        <v>1800</v>
      </c>
      <c r="M29" s="31">
        <v>177.53</v>
      </c>
      <c r="N29" s="26">
        <f t="shared" si="3"/>
        <v>600.00000000013597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267</v>
      </c>
      <c r="E30" s="134"/>
      <c r="F30" s="133">
        <v>261</v>
      </c>
      <c r="G30" s="134"/>
      <c r="H30" s="20">
        <f t="shared" si="0"/>
        <v>528</v>
      </c>
      <c r="I30" s="21">
        <f t="shared" si="1"/>
        <v>264</v>
      </c>
      <c r="J30" s="22">
        <f t="shared" si="2"/>
        <v>2</v>
      </c>
      <c r="K30" s="23">
        <v>0.95833333333333304</v>
      </c>
      <c r="L30" s="24">
        <v>1800</v>
      </c>
      <c r="M30" s="31">
        <v>177.58</v>
      </c>
      <c r="N30" s="26">
        <f t="shared" si="3"/>
        <v>599.99999999979502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242</v>
      </c>
      <c r="E31" s="134"/>
      <c r="F31" s="133">
        <v>251</v>
      </c>
      <c r="G31" s="134"/>
      <c r="H31" s="20">
        <f t="shared" si="0"/>
        <v>493</v>
      </c>
      <c r="I31" s="35">
        <f t="shared" si="1"/>
        <v>246.5</v>
      </c>
      <c r="J31" s="36">
        <f t="shared" si="2"/>
        <v>2</v>
      </c>
      <c r="K31" s="37">
        <v>1</v>
      </c>
      <c r="L31" s="24">
        <v>4500</v>
      </c>
      <c r="M31" s="38">
        <v>177.63</v>
      </c>
      <c r="N31" s="26">
        <f>H31</f>
        <v>493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5.84</v>
      </c>
      <c r="E32" s="136"/>
      <c r="F32" s="135">
        <f>SUM(F8:F31)/1000</f>
        <v>5.5030000000000001</v>
      </c>
      <c r="G32" s="136"/>
      <c r="H32" s="40">
        <f>SUM(H8:H31)</f>
        <v>11343</v>
      </c>
      <c r="I32" s="41" t="s">
        <v>13</v>
      </c>
      <c r="J32" s="42"/>
      <c r="K32" s="43"/>
      <c r="L32" s="44"/>
      <c r="M32" s="45">
        <f>SUM(M31-M8+N8)</f>
        <v>361.00000000001398</v>
      </c>
      <c r="N32" s="46">
        <f>SUM(N8:N31)</f>
        <v>12493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307.36842105263202</v>
      </c>
      <c r="E33" s="116"/>
      <c r="F33" s="119">
        <f>IFERROR((AVERAGE(F8:F31)),"0")</f>
        <v>305.722222222222</v>
      </c>
      <c r="G33" s="121"/>
      <c r="H33" s="147">
        <f>H32*1000</f>
        <v>11343000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19</v>
      </c>
      <c r="E35" s="162"/>
      <c r="F35" s="163">
        <f>COUNT(F8:F31)</f>
        <v>18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37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682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472.625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370</v>
      </c>
      <c r="D41" s="126"/>
      <c r="E41" s="73">
        <f>VLOOKUP(C41,H8:L31,4,FALSE)</f>
        <v>4.1666666666666699E-2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330.125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-457.58333333333297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169" priority="11" operator="equal">
      <formula>"STB"</formula>
    </cfRule>
    <cfRule type="cellIs" dxfId="168" priority="12" operator="equal">
      <formula>"BD"</formula>
    </cfRule>
  </conditionalFormatting>
  <conditionalFormatting sqref="B8:B31">
    <cfRule type="cellIs" dxfId="167" priority="1" operator="equal">
      <formula>"STB"</formula>
    </cfRule>
    <cfRule type="cellIs" dxfId="166" priority="2" operator="equal">
      <formula>"BD"</formula>
    </cfRule>
  </conditionalFormatting>
  <conditionalFormatting sqref="D8:D31">
    <cfRule type="cellIs" dxfId="165" priority="8" operator="equal">
      <formula>"STB"</formula>
    </cfRule>
    <cfRule type="cellIs" dxfId="164" priority="9" operator="equal">
      <formula>"BD"</formula>
    </cfRule>
  </conditionalFormatting>
  <conditionalFormatting sqref="F8:F31">
    <cfRule type="cellIs" dxfId="163" priority="3" operator="equal">
      <formula>"STB"</formula>
    </cfRule>
    <cfRule type="cellIs" dxfId="162" priority="4" operator="equal">
      <formula>"BD"</formula>
    </cfRule>
  </conditionalFormatting>
  <conditionalFormatting sqref="H8:H31">
    <cfRule type="top10" dxfId="161" priority="5" bottom="1" rank="1"/>
    <cfRule type="top10" dxfId="160" priority="6" rank="1"/>
    <cfRule type="cellIs" dxfId="159" priority="7" stopIfTrue="1" operator="equal">
      <formula>28000</formula>
    </cfRule>
  </conditionalFormatting>
  <conditionalFormatting sqref="H32:H33">
    <cfRule type="top10" dxfId="158" priority="14" bottom="1" rank="1"/>
    <cfRule type="top10" dxfId="157" priority="15" rank="1"/>
    <cfRule type="cellIs" dxfId="156" priority="17" stopIfTrue="1" operator="equal">
      <formula>28000</formula>
    </cfRule>
  </conditionalFormatting>
  <conditionalFormatting sqref="N8 N9:O31">
    <cfRule type="cellIs" dxfId="155" priority="16" operator="equal">
      <formula>"BD"</formula>
    </cfRule>
  </conditionalFormatting>
  <conditionalFormatting sqref="O8">
    <cfRule type="cellIs" dxfId="154" priority="10" operator="equal">
      <formula>"N/A"</formula>
    </cfRule>
  </conditionalFormatting>
  <conditionalFormatting sqref="Y8:Y31">
    <cfRule type="containsText" dxfId="153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AC68"/>
  <sheetViews>
    <sheetView zoomScale="80" zoomScaleNormal="80" workbookViewId="0">
      <pane ySplit="7" topLeftCell="A16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'[23]Taniwel daily'!C4</f>
        <v>45314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238</v>
      </c>
      <c r="E8" s="134"/>
      <c r="F8" s="133">
        <v>243</v>
      </c>
      <c r="G8" s="134"/>
      <c r="H8" s="20">
        <f t="shared" ref="H8:H31" si="0">IF(SUM(B8:G8)/1000=0,"0",SUM(B8:G8))</f>
        <v>481</v>
      </c>
      <c r="I8" s="21">
        <f t="shared" ref="I8:I31" si="1">IFERROR(AVERAGE(B8:G8),"0")</f>
        <v>240.5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177.66</v>
      </c>
      <c r="N8" s="26">
        <f>(M9-M8)*12000</f>
        <v>600.00000000013597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211</v>
      </c>
      <c r="E9" s="134"/>
      <c r="F9" s="133">
        <v>241</v>
      </c>
      <c r="G9" s="134"/>
      <c r="H9" s="20">
        <f t="shared" si="0"/>
        <v>452</v>
      </c>
      <c r="I9" s="21">
        <f t="shared" si="1"/>
        <v>226</v>
      </c>
      <c r="J9" s="22">
        <f t="shared" si="2"/>
        <v>2</v>
      </c>
      <c r="K9" s="23">
        <v>8.3333333333333301E-2</v>
      </c>
      <c r="L9" s="24">
        <v>4200</v>
      </c>
      <c r="M9" s="31">
        <v>177.71</v>
      </c>
      <c r="N9" s="26">
        <f t="shared" ref="N9:N30" si="3">(M10-M9)*12000</f>
        <v>239.99999999978201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 t="s">
        <v>26</v>
      </c>
      <c r="E10" s="134"/>
      <c r="F10" s="133">
        <v>185</v>
      </c>
      <c r="G10" s="134"/>
      <c r="H10" s="20">
        <f t="shared" si="0"/>
        <v>185</v>
      </c>
      <c r="I10" s="21">
        <f t="shared" si="1"/>
        <v>185</v>
      </c>
      <c r="J10" s="22">
        <f t="shared" si="2"/>
        <v>1</v>
      </c>
      <c r="K10" s="23">
        <v>0.125</v>
      </c>
      <c r="L10" s="24">
        <v>4200</v>
      </c>
      <c r="M10" s="31">
        <v>177.73</v>
      </c>
      <c r="N10" s="26">
        <f t="shared" si="3"/>
        <v>360.00000000001398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 t="s">
        <v>26</v>
      </c>
      <c r="E11" s="134"/>
      <c r="F11" s="133">
        <v>371</v>
      </c>
      <c r="G11" s="134"/>
      <c r="H11" s="20">
        <f t="shared" si="0"/>
        <v>371</v>
      </c>
      <c r="I11" s="21">
        <f t="shared" si="1"/>
        <v>371</v>
      </c>
      <c r="J11" s="22">
        <f t="shared" si="2"/>
        <v>1</v>
      </c>
      <c r="K11" s="23">
        <v>0.16666666666666699</v>
      </c>
      <c r="L11" s="24">
        <v>4000</v>
      </c>
      <c r="M11" s="31">
        <v>177.76</v>
      </c>
      <c r="N11" s="26">
        <f t="shared" si="3"/>
        <v>480.00000000024602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>
        <v>234</v>
      </c>
      <c r="E12" s="134"/>
      <c r="F12" s="133">
        <v>233</v>
      </c>
      <c r="G12" s="134"/>
      <c r="H12" s="20">
        <f t="shared" si="0"/>
        <v>467</v>
      </c>
      <c r="I12" s="21">
        <f t="shared" si="1"/>
        <v>233.5</v>
      </c>
      <c r="J12" s="22">
        <f t="shared" si="2"/>
        <v>2</v>
      </c>
      <c r="K12" s="23">
        <v>0.20833333333333301</v>
      </c>
      <c r="L12" s="24">
        <v>3900</v>
      </c>
      <c r="M12" s="31">
        <v>177.8</v>
      </c>
      <c r="N12" s="26">
        <f t="shared" si="3"/>
        <v>599.99999999979502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245</v>
      </c>
      <c r="E13" s="134"/>
      <c r="F13" s="133">
        <v>259</v>
      </c>
      <c r="G13" s="134"/>
      <c r="H13" s="20">
        <f t="shared" si="0"/>
        <v>504</v>
      </c>
      <c r="I13" s="21">
        <f t="shared" si="1"/>
        <v>252</v>
      </c>
      <c r="J13" s="22">
        <f t="shared" si="2"/>
        <v>2</v>
      </c>
      <c r="K13" s="23">
        <v>0.25</v>
      </c>
      <c r="L13" s="24">
        <v>3600</v>
      </c>
      <c r="M13" s="31">
        <v>177.85</v>
      </c>
      <c r="N13" s="26">
        <f t="shared" si="3"/>
        <v>479.99999999990501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282</v>
      </c>
      <c r="E14" s="134"/>
      <c r="F14" s="133">
        <v>267</v>
      </c>
      <c r="G14" s="134"/>
      <c r="H14" s="20">
        <f t="shared" si="0"/>
        <v>549</v>
      </c>
      <c r="I14" s="21">
        <f t="shared" si="1"/>
        <v>274.5</v>
      </c>
      <c r="J14" s="22">
        <f t="shared" si="2"/>
        <v>2</v>
      </c>
      <c r="K14" s="23">
        <v>0.29166666666666702</v>
      </c>
      <c r="L14" s="24">
        <v>3600</v>
      </c>
      <c r="M14" s="31">
        <v>177.89</v>
      </c>
      <c r="N14" s="26">
        <f t="shared" si="3"/>
        <v>600.00000000013597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261</v>
      </c>
      <c r="E15" s="134"/>
      <c r="F15" s="133">
        <v>233</v>
      </c>
      <c r="G15" s="134"/>
      <c r="H15" s="20">
        <f t="shared" si="0"/>
        <v>494</v>
      </c>
      <c r="I15" s="21">
        <f t="shared" si="1"/>
        <v>247</v>
      </c>
      <c r="J15" s="22">
        <f t="shared" si="2"/>
        <v>2</v>
      </c>
      <c r="K15" s="23">
        <v>0.33333333333333298</v>
      </c>
      <c r="L15" s="24">
        <v>3600</v>
      </c>
      <c r="M15" s="31">
        <v>177.94</v>
      </c>
      <c r="N15" s="26">
        <f t="shared" si="3"/>
        <v>600.00000000013597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235</v>
      </c>
      <c r="E16" s="134"/>
      <c r="F16" s="133">
        <v>235</v>
      </c>
      <c r="G16" s="134"/>
      <c r="H16" s="20">
        <f t="shared" si="0"/>
        <v>470</v>
      </c>
      <c r="I16" s="21">
        <f t="shared" si="1"/>
        <v>235</v>
      </c>
      <c r="J16" s="22">
        <f t="shared" si="2"/>
        <v>2</v>
      </c>
      <c r="K16" s="23">
        <v>0.375</v>
      </c>
      <c r="L16" s="24">
        <v>3600</v>
      </c>
      <c r="M16" s="31">
        <v>177.99</v>
      </c>
      <c r="N16" s="26">
        <f t="shared" si="3"/>
        <v>479.99999999990501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448</v>
      </c>
      <c r="E17" s="134"/>
      <c r="F17" s="133" t="s">
        <v>26</v>
      </c>
      <c r="G17" s="134"/>
      <c r="H17" s="20">
        <f t="shared" si="0"/>
        <v>448</v>
      </c>
      <c r="I17" s="21">
        <f t="shared" si="1"/>
        <v>448</v>
      </c>
      <c r="J17" s="22">
        <f t="shared" si="2"/>
        <v>1</v>
      </c>
      <c r="K17" s="23">
        <v>0.41666666666666602</v>
      </c>
      <c r="L17" s="24">
        <v>3400</v>
      </c>
      <c r="M17" s="31">
        <v>178.03</v>
      </c>
      <c r="N17" s="26">
        <f t="shared" si="3"/>
        <v>479.99999999990501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444</v>
      </c>
      <c r="E18" s="134"/>
      <c r="F18" s="133" t="s">
        <v>26</v>
      </c>
      <c r="G18" s="134"/>
      <c r="H18" s="20">
        <f t="shared" si="0"/>
        <v>444</v>
      </c>
      <c r="I18" s="21">
        <f t="shared" si="1"/>
        <v>444</v>
      </c>
      <c r="J18" s="22">
        <f t="shared" si="2"/>
        <v>1</v>
      </c>
      <c r="K18" s="23">
        <v>0.45833333333333298</v>
      </c>
      <c r="L18" s="24">
        <v>3300</v>
      </c>
      <c r="M18" s="31">
        <v>178.07</v>
      </c>
      <c r="N18" s="26">
        <f t="shared" si="3"/>
        <v>480.00000000024602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341</v>
      </c>
      <c r="E19" s="134"/>
      <c r="F19" s="133" t="s">
        <v>26</v>
      </c>
      <c r="G19" s="134"/>
      <c r="H19" s="20">
        <f t="shared" si="0"/>
        <v>341</v>
      </c>
      <c r="I19" s="21">
        <f t="shared" si="1"/>
        <v>341</v>
      </c>
      <c r="J19" s="22">
        <f t="shared" si="2"/>
        <v>1</v>
      </c>
      <c r="K19" s="23">
        <v>0.5</v>
      </c>
      <c r="L19" s="24">
        <v>3300</v>
      </c>
      <c r="M19" s="31">
        <v>178.11</v>
      </c>
      <c r="N19" s="26">
        <f t="shared" si="3"/>
        <v>479.99999999990501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 t="s">
        <v>26</v>
      </c>
      <c r="E20" s="134"/>
      <c r="F20" s="133">
        <v>441</v>
      </c>
      <c r="G20" s="134"/>
      <c r="H20" s="20">
        <f t="shared" si="0"/>
        <v>441</v>
      </c>
      <c r="I20" s="21">
        <f t="shared" si="1"/>
        <v>441</v>
      </c>
      <c r="J20" s="22">
        <f t="shared" si="2"/>
        <v>1</v>
      </c>
      <c r="K20" s="23">
        <v>0.54166666666666696</v>
      </c>
      <c r="L20" s="24">
        <v>3000</v>
      </c>
      <c r="M20" s="31">
        <v>178.15</v>
      </c>
      <c r="N20" s="26">
        <f t="shared" si="3"/>
        <v>479.99999999990501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 t="s">
        <v>26</v>
      </c>
      <c r="E21" s="134"/>
      <c r="F21" s="133">
        <v>430</v>
      </c>
      <c r="G21" s="134"/>
      <c r="H21" s="20">
        <f t="shared" si="0"/>
        <v>430</v>
      </c>
      <c r="I21" s="21">
        <f t="shared" si="1"/>
        <v>430</v>
      </c>
      <c r="J21" s="22">
        <f t="shared" si="2"/>
        <v>1</v>
      </c>
      <c r="K21" s="23">
        <v>0.58333333333333304</v>
      </c>
      <c r="L21" s="24">
        <v>3000</v>
      </c>
      <c r="M21" s="31">
        <v>178.19</v>
      </c>
      <c r="N21" s="26">
        <f t="shared" si="3"/>
        <v>479.99999999990501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 t="s">
        <v>26</v>
      </c>
      <c r="E22" s="134"/>
      <c r="F22" s="133">
        <v>400</v>
      </c>
      <c r="G22" s="134"/>
      <c r="H22" s="20">
        <f t="shared" si="0"/>
        <v>400</v>
      </c>
      <c r="I22" s="21">
        <f t="shared" si="1"/>
        <v>400</v>
      </c>
      <c r="J22" s="22">
        <f t="shared" si="2"/>
        <v>1</v>
      </c>
      <c r="K22" s="23">
        <v>0.625</v>
      </c>
      <c r="L22" s="24">
        <v>3000</v>
      </c>
      <c r="M22" s="31">
        <v>178.23</v>
      </c>
      <c r="N22" s="26">
        <f t="shared" si="3"/>
        <v>480.00000000024602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 t="s">
        <v>26</v>
      </c>
      <c r="E23" s="134"/>
      <c r="F23" s="133">
        <v>394</v>
      </c>
      <c r="G23" s="134"/>
      <c r="H23" s="20">
        <f t="shared" si="0"/>
        <v>394</v>
      </c>
      <c r="I23" s="21">
        <f t="shared" si="1"/>
        <v>394</v>
      </c>
      <c r="J23" s="22">
        <f t="shared" si="2"/>
        <v>1</v>
      </c>
      <c r="K23" s="23">
        <v>0.66666666666666596</v>
      </c>
      <c r="L23" s="24">
        <v>3000</v>
      </c>
      <c r="M23" s="31">
        <v>178.27</v>
      </c>
      <c r="N23" s="26">
        <f t="shared" si="3"/>
        <v>360.00000000001398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 t="s">
        <v>26</v>
      </c>
      <c r="E24" s="134"/>
      <c r="F24" s="133">
        <v>404</v>
      </c>
      <c r="G24" s="134"/>
      <c r="H24" s="20">
        <f t="shared" si="0"/>
        <v>404</v>
      </c>
      <c r="I24" s="21">
        <f t="shared" si="1"/>
        <v>404</v>
      </c>
      <c r="J24" s="22">
        <f t="shared" si="2"/>
        <v>1</v>
      </c>
      <c r="K24" s="23">
        <v>0.70833333333333304</v>
      </c>
      <c r="L24" s="24">
        <v>2700</v>
      </c>
      <c r="M24" s="31">
        <v>178.3</v>
      </c>
      <c r="N24" s="26">
        <f t="shared" si="3"/>
        <v>479.99999999990501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 t="s">
        <v>26</v>
      </c>
      <c r="E25" s="134"/>
      <c r="F25" s="133">
        <v>443</v>
      </c>
      <c r="G25" s="134"/>
      <c r="H25" s="20">
        <f t="shared" si="0"/>
        <v>443</v>
      </c>
      <c r="I25" s="21">
        <f t="shared" si="1"/>
        <v>443</v>
      </c>
      <c r="J25" s="22">
        <f t="shared" si="2"/>
        <v>1</v>
      </c>
      <c r="K25" s="23">
        <v>0.75</v>
      </c>
      <c r="L25" s="24">
        <v>2400</v>
      </c>
      <c r="M25" s="31">
        <v>178.34</v>
      </c>
      <c r="N25" s="26">
        <f t="shared" si="3"/>
        <v>599.99999999979502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284</v>
      </c>
      <c r="E26" s="134"/>
      <c r="F26" s="133">
        <v>311</v>
      </c>
      <c r="G26" s="134"/>
      <c r="H26" s="20">
        <f t="shared" si="0"/>
        <v>595</v>
      </c>
      <c r="I26" s="21">
        <f t="shared" si="1"/>
        <v>297.5</v>
      </c>
      <c r="J26" s="22">
        <f t="shared" si="2"/>
        <v>2</v>
      </c>
      <c r="K26" s="23">
        <v>0.79166666666666596</v>
      </c>
      <c r="L26" s="24">
        <v>2100</v>
      </c>
      <c r="M26" s="31">
        <v>178.39</v>
      </c>
      <c r="N26" s="26">
        <f t="shared" si="3"/>
        <v>720.00000000002694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321</v>
      </c>
      <c r="E27" s="134"/>
      <c r="F27" s="133">
        <v>327</v>
      </c>
      <c r="G27" s="134"/>
      <c r="H27" s="20">
        <f t="shared" si="0"/>
        <v>648</v>
      </c>
      <c r="I27" s="21">
        <f t="shared" si="1"/>
        <v>324</v>
      </c>
      <c r="J27" s="22">
        <f t="shared" si="2"/>
        <v>2</v>
      </c>
      <c r="K27" s="23">
        <v>0.83333333333333304</v>
      </c>
      <c r="L27" s="24">
        <v>2100</v>
      </c>
      <c r="M27" s="31">
        <v>178.45</v>
      </c>
      <c r="N27" s="26">
        <f t="shared" si="3"/>
        <v>720.00000000002694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300</v>
      </c>
      <c r="E28" s="134"/>
      <c r="F28" s="133">
        <v>301</v>
      </c>
      <c r="G28" s="134"/>
      <c r="H28" s="20">
        <f t="shared" si="0"/>
        <v>601</v>
      </c>
      <c r="I28" s="21">
        <f t="shared" si="1"/>
        <v>300.5</v>
      </c>
      <c r="J28" s="22">
        <f t="shared" si="2"/>
        <v>2</v>
      </c>
      <c r="K28" s="23">
        <v>0.875</v>
      </c>
      <c r="L28" s="24">
        <v>1800</v>
      </c>
      <c r="M28" s="31">
        <v>178.51</v>
      </c>
      <c r="N28" s="26">
        <f t="shared" si="3"/>
        <v>720.00000000002694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277</v>
      </c>
      <c r="E29" s="134"/>
      <c r="F29" s="133">
        <v>335</v>
      </c>
      <c r="G29" s="134"/>
      <c r="H29" s="20">
        <f t="shared" si="0"/>
        <v>612</v>
      </c>
      <c r="I29" s="21">
        <f t="shared" si="1"/>
        <v>306</v>
      </c>
      <c r="J29" s="22">
        <f t="shared" si="2"/>
        <v>2</v>
      </c>
      <c r="K29" s="23">
        <v>0.91666666666666596</v>
      </c>
      <c r="L29" s="24">
        <v>1800</v>
      </c>
      <c r="M29" s="31">
        <v>178.57</v>
      </c>
      <c r="N29" s="26">
        <f t="shared" si="3"/>
        <v>600.00000000013597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283</v>
      </c>
      <c r="E30" s="134"/>
      <c r="F30" s="133">
        <v>292</v>
      </c>
      <c r="G30" s="134"/>
      <c r="H30" s="20">
        <f t="shared" si="0"/>
        <v>575</v>
      </c>
      <c r="I30" s="21">
        <f t="shared" si="1"/>
        <v>287.5</v>
      </c>
      <c r="J30" s="22">
        <f t="shared" si="2"/>
        <v>2</v>
      </c>
      <c r="K30" s="23">
        <v>0.95833333333333304</v>
      </c>
      <c r="L30" s="24">
        <v>1800</v>
      </c>
      <c r="M30" s="31">
        <v>178.62</v>
      </c>
      <c r="N30" s="26">
        <f t="shared" si="3"/>
        <v>599.99999999979502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241</v>
      </c>
      <c r="E31" s="134"/>
      <c r="F31" s="133">
        <v>256</v>
      </c>
      <c r="G31" s="134"/>
      <c r="H31" s="20">
        <f t="shared" si="0"/>
        <v>497</v>
      </c>
      <c r="I31" s="35">
        <f t="shared" si="1"/>
        <v>248.5</v>
      </c>
      <c r="J31" s="36">
        <f t="shared" si="2"/>
        <v>2</v>
      </c>
      <c r="K31" s="37">
        <v>1</v>
      </c>
      <c r="L31" s="24">
        <v>4500</v>
      </c>
      <c r="M31" s="38">
        <v>178.67</v>
      </c>
      <c r="N31" s="26">
        <f>H31</f>
        <v>497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4.6449999999999996</v>
      </c>
      <c r="E32" s="136"/>
      <c r="F32" s="135">
        <f>SUM(F8:F31)/1000</f>
        <v>6.601</v>
      </c>
      <c r="G32" s="136"/>
      <c r="H32" s="40">
        <f>SUM(H8:H31)</f>
        <v>11246</v>
      </c>
      <c r="I32" s="41" t="s">
        <v>13</v>
      </c>
      <c r="J32" s="42"/>
      <c r="K32" s="43"/>
      <c r="L32" s="44"/>
      <c r="M32" s="45">
        <f>SUM(M31-M8+N8)</f>
        <v>601.01000000013596</v>
      </c>
      <c r="N32" s="46">
        <f>SUM(N8:N31)</f>
        <v>12616.9999999999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290.3125</v>
      </c>
      <c r="E33" s="116"/>
      <c r="F33" s="119">
        <f>IFERROR((AVERAGE(F8:F31)),"0")</f>
        <v>314.33333333333297</v>
      </c>
      <c r="G33" s="121"/>
      <c r="H33" s="147">
        <f>H32*1000</f>
        <v>11246000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16</v>
      </c>
      <c r="E35" s="162"/>
      <c r="F35" s="163">
        <f>COUNT(F8:F31)</f>
        <v>21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37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648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468.58333333333297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185</v>
      </c>
      <c r="D41" s="126"/>
      <c r="E41" s="73">
        <f>VLOOKUP(C41,H8:L31,4,FALSE)</f>
        <v>0.125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323.89583333333297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-443.54124999999402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152" priority="11" operator="equal">
      <formula>"STB"</formula>
    </cfRule>
    <cfRule type="cellIs" dxfId="151" priority="12" operator="equal">
      <formula>"BD"</formula>
    </cfRule>
  </conditionalFormatting>
  <conditionalFormatting sqref="B8:B31">
    <cfRule type="cellIs" dxfId="150" priority="1" operator="equal">
      <formula>"STB"</formula>
    </cfRule>
    <cfRule type="cellIs" dxfId="149" priority="2" operator="equal">
      <formula>"BD"</formula>
    </cfRule>
  </conditionalFormatting>
  <conditionalFormatting sqref="D8:D31">
    <cfRule type="cellIs" dxfId="148" priority="8" operator="equal">
      <formula>"STB"</formula>
    </cfRule>
    <cfRule type="cellIs" dxfId="147" priority="9" operator="equal">
      <formula>"BD"</formula>
    </cfRule>
  </conditionalFormatting>
  <conditionalFormatting sqref="F8:F31">
    <cfRule type="cellIs" dxfId="146" priority="3" operator="equal">
      <formula>"STB"</formula>
    </cfRule>
    <cfRule type="cellIs" dxfId="145" priority="4" operator="equal">
      <formula>"BD"</formula>
    </cfRule>
  </conditionalFormatting>
  <conditionalFormatting sqref="H8:H31">
    <cfRule type="top10" dxfId="144" priority="5" bottom="1" rank="1"/>
    <cfRule type="top10" dxfId="143" priority="6" rank="1"/>
    <cfRule type="cellIs" dxfId="142" priority="7" stopIfTrue="1" operator="equal">
      <formula>28000</formula>
    </cfRule>
  </conditionalFormatting>
  <conditionalFormatting sqref="H32:H33">
    <cfRule type="top10" dxfId="141" priority="14" bottom="1" rank="1"/>
    <cfRule type="top10" dxfId="140" priority="15" rank="1"/>
    <cfRule type="cellIs" dxfId="139" priority="17" stopIfTrue="1" operator="equal">
      <formula>28000</formula>
    </cfRule>
  </conditionalFormatting>
  <conditionalFormatting sqref="N8 N9:O31">
    <cfRule type="cellIs" dxfId="138" priority="16" operator="equal">
      <formula>"BD"</formula>
    </cfRule>
  </conditionalFormatting>
  <conditionalFormatting sqref="O8">
    <cfRule type="cellIs" dxfId="137" priority="10" operator="equal">
      <formula>"N/A"</formula>
    </cfRule>
  </conditionalFormatting>
  <conditionalFormatting sqref="Y8:Y31">
    <cfRule type="containsText" dxfId="136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A1:AC68"/>
  <sheetViews>
    <sheetView zoomScale="80" zoomScaleNormal="80" workbookViewId="0">
      <pane ySplit="7" topLeftCell="A16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'[24]Taniwel daily'!C4</f>
        <v>45315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236</v>
      </c>
      <c r="E8" s="134"/>
      <c r="F8" s="133">
        <v>248</v>
      </c>
      <c r="G8" s="134"/>
      <c r="H8" s="20">
        <f t="shared" ref="H8:H31" si="0">IF(SUM(B8:G8)/1000=0,"0",SUM(B8:G8))</f>
        <v>484</v>
      </c>
      <c r="I8" s="21">
        <f t="shared" ref="I8:I31" si="1">IFERROR(AVERAGE(B8:G8),"0")</f>
        <v>242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178.72</v>
      </c>
      <c r="N8" s="26">
        <f>(M9-M8)*12000</f>
        <v>479.99999999990501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241</v>
      </c>
      <c r="E9" s="134"/>
      <c r="F9" s="133">
        <v>238</v>
      </c>
      <c r="G9" s="134"/>
      <c r="H9" s="20">
        <f t="shared" si="0"/>
        <v>479</v>
      </c>
      <c r="I9" s="21">
        <f t="shared" si="1"/>
        <v>239.5</v>
      </c>
      <c r="J9" s="22">
        <f t="shared" si="2"/>
        <v>2</v>
      </c>
      <c r="K9" s="23">
        <v>8.3333333333333301E-2</v>
      </c>
      <c r="L9" s="24">
        <v>4200</v>
      </c>
      <c r="M9" s="31">
        <v>178.76</v>
      </c>
      <c r="N9" s="26">
        <f t="shared" ref="N9:N30" si="3">(M10-M9)*12000</f>
        <v>360.00000000001398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224</v>
      </c>
      <c r="E10" s="134"/>
      <c r="F10" s="133">
        <v>231</v>
      </c>
      <c r="G10" s="134"/>
      <c r="H10" s="20">
        <f t="shared" si="0"/>
        <v>455</v>
      </c>
      <c r="I10" s="21">
        <f t="shared" si="1"/>
        <v>227.5</v>
      </c>
      <c r="J10" s="22">
        <f t="shared" si="2"/>
        <v>2</v>
      </c>
      <c r="K10" s="23">
        <v>0.125</v>
      </c>
      <c r="L10" s="24">
        <v>4200</v>
      </c>
      <c r="M10" s="31">
        <v>178.79</v>
      </c>
      <c r="N10" s="26">
        <f t="shared" si="3"/>
        <v>360.00000000001398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202</v>
      </c>
      <c r="E11" s="134"/>
      <c r="F11" s="133">
        <v>164</v>
      </c>
      <c r="G11" s="134"/>
      <c r="H11" s="20">
        <f t="shared" si="0"/>
        <v>366</v>
      </c>
      <c r="I11" s="21">
        <f t="shared" si="1"/>
        <v>183</v>
      </c>
      <c r="J11" s="22">
        <f t="shared" si="2"/>
        <v>2</v>
      </c>
      <c r="K11" s="23">
        <v>0.16666666666666699</v>
      </c>
      <c r="L11" s="24">
        <v>4000</v>
      </c>
      <c r="M11" s="31">
        <v>178.82</v>
      </c>
      <c r="N11" s="26">
        <f t="shared" si="3"/>
        <v>360.00000000001398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 t="s">
        <v>26</v>
      </c>
      <c r="E12" s="134"/>
      <c r="F12" s="133">
        <v>350</v>
      </c>
      <c r="G12" s="134"/>
      <c r="H12" s="20">
        <f t="shared" si="0"/>
        <v>350</v>
      </c>
      <c r="I12" s="21">
        <f t="shared" si="1"/>
        <v>350</v>
      </c>
      <c r="J12" s="22">
        <f t="shared" si="2"/>
        <v>1</v>
      </c>
      <c r="K12" s="23">
        <v>0.20833333333333301</v>
      </c>
      <c r="L12" s="24">
        <v>3900</v>
      </c>
      <c r="M12" s="31">
        <v>178.85</v>
      </c>
      <c r="N12" s="26">
        <f t="shared" si="3"/>
        <v>360.00000000001398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 t="s">
        <v>26</v>
      </c>
      <c r="E13" s="134"/>
      <c r="F13" s="133">
        <v>370</v>
      </c>
      <c r="G13" s="134"/>
      <c r="H13" s="20">
        <f t="shared" si="0"/>
        <v>370</v>
      </c>
      <c r="I13" s="21">
        <f t="shared" si="1"/>
        <v>370</v>
      </c>
      <c r="J13" s="22">
        <f t="shared" si="2"/>
        <v>1</v>
      </c>
      <c r="K13" s="23">
        <v>0.25</v>
      </c>
      <c r="L13" s="24">
        <v>3600</v>
      </c>
      <c r="M13" s="31">
        <v>178.88</v>
      </c>
      <c r="N13" s="26">
        <f t="shared" si="3"/>
        <v>479.99999999990501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 t="s">
        <v>26</v>
      </c>
      <c r="E14" s="134"/>
      <c r="F14" s="133">
        <v>411</v>
      </c>
      <c r="G14" s="134"/>
      <c r="H14" s="20">
        <f t="shared" si="0"/>
        <v>411</v>
      </c>
      <c r="I14" s="21">
        <f t="shared" si="1"/>
        <v>411</v>
      </c>
      <c r="J14" s="22">
        <f t="shared" si="2"/>
        <v>1</v>
      </c>
      <c r="K14" s="23">
        <v>0.29166666666666702</v>
      </c>
      <c r="L14" s="24">
        <v>3600</v>
      </c>
      <c r="M14" s="31">
        <v>178.92</v>
      </c>
      <c r="N14" s="26">
        <f t="shared" si="3"/>
        <v>600.00000000013597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259</v>
      </c>
      <c r="E15" s="134"/>
      <c r="F15" s="133">
        <v>268</v>
      </c>
      <c r="G15" s="134"/>
      <c r="H15" s="20">
        <f t="shared" si="0"/>
        <v>527</v>
      </c>
      <c r="I15" s="21">
        <f t="shared" si="1"/>
        <v>263.5</v>
      </c>
      <c r="J15" s="22">
        <f t="shared" si="2"/>
        <v>2</v>
      </c>
      <c r="K15" s="23">
        <v>0.33333333333333298</v>
      </c>
      <c r="L15" s="24">
        <v>3600</v>
      </c>
      <c r="M15" s="31">
        <v>178.97</v>
      </c>
      <c r="N15" s="26">
        <f t="shared" si="3"/>
        <v>600.00000000013597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244</v>
      </c>
      <c r="E16" s="134"/>
      <c r="F16" s="133">
        <v>256</v>
      </c>
      <c r="G16" s="134"/>
      <c r="H16" s="20">
        <f t="shared" si="0"/>
        <v>500</v>
      </c>
      <c r="I16" s="21">
        <f t="shared" si="1"/>
        <v>250</v>
      </c>
      <c r="J16" s="22">
        <f t="shared" si="2"/>
        <v>2</v>
      </c>
      <c r="K16" s="23">
        <v>0.375</v>
      </c>
      <c r="L16" s="24">
        <v>3600</v>
      </c>
      <c r="M16" s="31">
        <v>179.02</v>
      </c>
      <c r="N16" s="26">
        <f t="shared" si="3"/>
        <v>360.00000000001398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 t="s">
        <v>26</v>
      </c>
      <c r="E17" s="134"/>
      <c r="F17" s="133">
        <v>217</v>
      </c>
      <c r="G17" s="134"/>
      <c r="H17" s="20">
        <f t="shared" si="0"/>
        <v>217</v>
      </c>
      <c r="I17" s="21">
        <f t="shared" si="1"/>
        <v>217</v>
      </c>
      <c r="J17" s="22">
        <f t="shared" si="2"/>
        <v>1</v>
      </c>
      <c r="K17" s="23">
        <v>0.41666666666666602</v>
      </c>
      <c r="L17" s="24">
        <v>3400</v>
      </c>
      <c r="M17" s="31">
        <v>179.05</v>
      </c>
      <c r="N17" s="26">
        <f t="shared" si="3"/>
        <v>239.99999999978201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 t="s">
        <v>26</v>
      </c>
      <c r="E18" s="134"/>
      <c r="F18" s="133">
        <v>213</v>
      </c>
      <c r="G18" s="134"/>
      <c r="H18" s="20">
        <f t="shared" si="0"/>
        <v>213</v>
      </c>
      <c r="I18" s="21">
        <f t="shared" si="1"/>
        <v>213</v>
      </c>
      <c r="J18" s="22">
        <f t="shared" si="2"/>
        <v>1</v>
      </c>
      <c r="K18" s="23">
        <v>0.45833333333333298</v>
      </c>
      <c r="L18" s="24">
        <v>3300</v>
      </c>
      <c r="M18" s="31">
        <v>179.07</v>
      </c>
      <c r="N18" s="26">
        <f t="shared" si="3"/>
        <v>240.00000000012301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 t="s">
        <v>26</v>
      </c>
      <c r="E19" s="134"/>
      <c r="F19" s="133">
        <v>201</v>
      </c>
      <c r="G19" s="134"/>
      <c r="H19" s="20">
        <f t="shared" si="0"/>
        <v>201</v>
      </c>
      <c r="I19" s="21">
        <f t="shared" si="1"/>
        <v>201</v>
      </c>
      <c r="J19" s="22">
        <f t="shared" si="2"/>
        <v>1</v>
      </c>
      <c r="K19" s="23">
        <v>0.5</v>
      </c>
      <c r="L19" s="24">
        <v>3300</v>
      </c>
      <c r="M19" s="31">
        <v>179.09</v>
      </c>
      <c r="N19" s="26">
        <f t="shared" si="3"/>
        <v>240.00000000012301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 t="s">
        <v>26</v>
      </c>
      <c r="E20" s="134"/>
      <c r="F20" s="133">
        <v>196</v>
      </c>
      <c r="G20" s="134"/>
      <c r="H20" s="20">
        <f t="shared" si="0"/>
        <v>196</v>
      </c>
      <c r="I20" s="21">
        <f t="shared" si="1"/>
        <v>196</v>
      </c>
      <c r="J20" s="22">
        <f t="shared" si="2"/>
        <v>1</v>
      </c>
      <c r="K20" s="23">
        <v>0.54166666666666696</v>
      </c>
      <c r="L20" s="24">
        <v>3000</v>
      </c>
      <c r="M20" s="31">
        <v>179.11</v>
      </c>
      <c r="N20" s="26">
        <f t="shared" si="3"/>
        <v>239.99999999978201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>
        <v>189</v>
      </c>
      <c r="E21" s="134"/>
      <c r="F21" s="133" t="s">
        <v>26</v>
      </c>
      <c r="G21" s="134"/>
      <c r="H21" s="20">
        <f t="shared" si="0"/>
        <v>189</v>
      </c>
      <c r="I21" s="21">
        <f t="shared" si="1"/>
        <v>189</v>
      </c>
      <c r="J21" s="22">
        <f t="shared" si="2"/>
        <v>1</v>
      </c>
      <c r="K21" s="23">
        <v>0.58333333333333304</v>
      </c>
      <c r="L21" s="24">
        <v>3000</v>
      </c>
      <c r="M21" s="31">
        <v>179.13</v>
      </c>
      <c r="N21" s="26">
        <f t="shared" si="3"/>
        <v>240.00000000012301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>
        <v>184</v>
      </c>
      <c r="E22" s="134"/>
      <c r="F22" s="133" t="s">
        <v>26</v>
      </c>
      <c r="G22" s="134"/>
      <c r="H22" s="20">
        <f t="shared" si="0"/>
        <v>184</v>
      </c>
      <c r="I22" s="21">
        <f t="shared" si="1"/>
        <v>184</v>
      </c>
      <c r="J22" s="22">
        <f t="shared" si="2"/>
        <v>1</v>
      </c>
      <c r="K22" s="23">
        <v>0.625</v>
      </c>
      <c r="L22" s="24">
        <v>3000</v>
      </c>
      <c r="M22" s="31">
        <v>179.15</v>
      </c>
      <c r="N22" s="26">
        <f t="shared" si="3"/>
        <v>360.00000000001398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433</v>
      </c>
      <c r="E23" s="134"/>
      <c r="F23" s="133" t="s">
        <v>26</v>
      </c>
      <c r="G23" s="134"/>
      <c r="H23" s="20">
        <f t="shared" si="0"/>
        <v>433</v>
      </c>
      <c r="I23" s="21">
        <f t="shared" si="1"/>
        <v>433</v>
      </c>
      <c r="J23" s="22">
        <f t="shared" si="2"/>
        <v>1</v>
      </c>
      <c r="K23" s="23">
        <v>0.66666666666666596</v>
      </c>
      <c r="L23" s="24">
        <v>3000</v>
      </c>
      <c r="M23" s="31">
        <v>179.18</v>
      </c>
      <c r="N23" s="26">
        <f t="shared" si="3"/>
        <v>599.99999999979502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434</v>
      </c>
      <c r="E24" s="134"/>
      <c r="F24" s="133" t="s">
        <v>26</v>
      </c>
      <c r="G24" s="134"/>
      <c r="H24" s="20">
        <f t="shared" si="0"/>
        <v>434</v>
      </c>
      <c r="I24" s="21">
        <f t="shared" si="1"/>
        <v>434</v>
      </c>
      <c r="J24" s="22">
        <f t="shared" si="2"/>
        <v>1</v>
      </c>
      <c r="K24" s="23">
        <v>0.70833333333333304</v>
      </c>
      <c r="L24" s="24">
        <v>2700</v>
      </c>
      <c r="M24" s="31">
        <v>179.23</v>
      </c>
      <c r="N24" s="26">
        <f t="shared" si="3"/>
        <v>480.00000000024602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437</v>
      </c>
      <c r="E25" s="134"/>
      <c r="F25" s="133" t="s">
        <v>26</v>
      </c>
      <c r="G25" s="134"/>
      <c r="H25" s="20">
        <f t="shared" si="0"/>
        <v>437</v>
      </c>
      <c r="I25" s="21">
        <f t="shared" si="1"/>
        <v>437</v>
      </c>
      <c r="J25" s="22">
        <f t="shared" si="2"/>
        <v>1</v>
      </c>
      <c r="K25" s="23">
        <v>0.75</v>
      </c>
      <c r="L25" s="24">
        <v>2400</v>
      </c>
      <c r="M25" s="31">
        <v>179.27</v>
      </c>
      <c r="N25" s="26">
        <f t="shared" si="3"/>
        <v>479.99999999990501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285</v>
      </c>
      <c r="E26" s="134"/>
      <c r="F26" s="133">
        <v>289</v>
      </c>
      <c r="G26" s="134"/>
      <c r="H26" s="20">
        <f t="shared" si="0"/>
        <v>574</v>
      </c>
      <c r="I26" s="21">
        <f t="shared" si="1"/>
        <v>287</v>
      </c>
      <c r="J26" s="22">
        <f t="shared" si="2"/>
        <v>2</v>
      </c>
      <c r="K26" s="23">
        <v>0.79166666666666596</v>
      </c>
      <c r="L26" s="24">
        <v>2100</v>
      </c>
      <c r="M26" s="31">
        <v>179.31</v>
      </c>
      <c r="N26" s="26">
        <f t="shared" si="3"/>
        <v>720.00000000002694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324</v>
      </c>
      <c r="E27" s="134"/>
      <c r="F27" s="133">
        <v>381</v>
      </c>
      <c r="G27" s="134"/>
      <c r="H27" s="20">
        <f t="shared" si="0"/>
        <v>705</v>
      </c>
      <c r="I27" s="21">
        <f t="shared" si="1"/>
        <v>352.5</v>
      </c>
      <c r="J27" s="22">
        <f t="shared" si="2"/>
        <v>2</v>
      </c>
      <c r="K27" s="23">
        <v>0.83333333333333304</v>
      </c>
      <c r="L27" s="24">
        <v>2100</v>
      </c>
      <c r="M27" s="31">
        <v>179.37</v>
      </c>
      <c r="N27" s="26">
        <f t="shared" si="3"/>
        <v>720.00000000002694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309</v>
      </c>
      <c r="E28" s="134"/>
      <c r="F28" s="133">
        <v>285</v>
      </c>
      <c r="G28" s="134"/>
      <c r="H28" s="20">
        <f t="shared" si="0"/>
        <v>594</v>
      </c>
      <c r="I28" s="21">
        <f t="shared" si="1"/>
        <v>297</v>
      </c>
      <c r="J28" s="22">
        <f t="shared" si="2"/>
        <v>2</v>
      </c>
      <c r="K28" s="23">
        <v>0.875</v>
      </c>
      <c r="L28" s="24">
        <v>1800</v>
      </c>
      <c r="M28" s="31">
        <v>179.43</v>
      </c>
      <c r="N28" s="26">
        <f t="shared" si="3"/>
        <v>720.00000000002694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260</v>
      </c>
      <c r="E29" s="134"/>
      <c r="F29" s="133">
        <v>293</v>
      </c>
      <c r="G29" s="134"/>
      <c r="H29" s="20">
        <f t="shared" si="0"/>
        <v>553</v>
      </c>
      <c r="I29" s="21">
        <f t="shared" si="1"/>
        <v>276.5</v>
      </c>
      <c r="J29" s="22">
        <f t="shared" si="2"/>
        <v>2</v>
      </c>
      <c r="K29" s="23">
        <v>0.91666666666666596</v>
      </c>
      <c r="L29" s="24">
        <v>1800</v>
      </c>
      <c r="M29" s="31">
        <v>179.49</v>
      </c>
      <c r="N29" s="26">
        <f t="shared" si="3"/>
        <v>599.99999999979502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281</v>
      </c>
      <c r="E30" s="134"/>
      <c r="F30" s="133">
        <v>262</v>
      </c>
      <c r="G30" s="134"/>
      <c r="H30" s="20">
        <f t="shared" si="0"/>
        <v>543</v>
      </c>
      <c r="I30" s="21">
        <f t="shared" si="1"/>
        <v>271.5</v>
      </c>
      <c r="J30" s="22">
        <f t="shared" si="2"/>
        <v>2</v>
      </c>
      <c r="K30" s="23">
        <v>0.95833333333333304</v>
      </c>
      <c r="L30" s="24">
        <v>1800</v>
      </c>
      <c r="M30" s="31">
        <v>179.54</v>
      </c>
      <c r="N30" s="26">
        <f t="shared" si="3"/>
        <v>600.00000000013597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240</v>
      </c>
      <c r="E31" s="134"/>
      <c r="F31" s="133">
        <v>259</v>
      </c>
      <c r="G31" s="134"/>
      <c r="H31" s="20">
        <f t="shared" si="0"/>
        <v>499</v>
      </c>
      <c r="I31" s="35">
        <f t="shared" si="1"/>
        <v>249.5</v>
      </c>
      <c r="J31" s="36">
        <f t="shared" si="2"/>
        <v>2</v>
      </c>
      <c r="K31" s="37">
        <v>1</v>
      </c>
      <c r="L31" s="24">
        <v>4500</v>
      </c>
      <c r="M31" s="38">
        <v>179.59</v>
      </c>
      <c r="N31" s="26">
        <f>H31</f>
        <v>499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4.782</v>
      </c>
      <c r="E32" s="136"/>
      <c r="F32" s="135">
        <f>SUM(F8:F31)/1000</f>
        <v>5.1319999999999997</v>
      </c>
      <c r="G32" s="136"/>
      <c r="H32" s="40">
        <f>SUM(H8:H31)</f>
        <v>9914</v>
      </c>
      <c r="I32" s="41" t="s">
        <v>13</v>
      </c>
      <c r="J32" s="42"/>
      <c r="K32" s="43"/>
      <c r="L32" s="44"/>
      <c r="M32" s="45">
        <f>SUM(M31-M8+N8)</f>
        <v>480.86999999990502</v>
      </c>
      <c r="N32" s="46">
        <f>SUM(N8:N31)</f>
        <v>10939.0000000001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281.29411764705901</v>
      </c>
      <c r="E33" s="116"/>
      <c r="F33" s="119">
        <f>IFERROR((AVERAGE(F8:F31)),"0")</f>
        <v>270.10526315789502</v>
      </c>
      <c r="G33" s="121"/>
      <c r="H33" s="147">
        <f>H32*1000</f>
        <v>9914000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17</v>
      </c>
      <c r="E35" s="162"/>
      <c r="F35" s="163">
        <f>COUNT(F8:F31)</f>
        <v>19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36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705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413.08333333333297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184</v>
      </c>
      <c r="D41" s="126"/>
      <c r="E41" s="73">
        <f>VLOOKUP(C41,H8:L31,4,FALSE)</f>
        <v>0.625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282.27083333333297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-393.04708333333701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135" priority="11" operator="equal">
      <formula>"STB"</formula>
    </cfRule>
    <cfRule type="cellIs" dxfId="134" priority="12" operator="equal">
      <formula>"BD"</formula>
    </cfRule>
  </conditionalFormatting>
  <conditionalFormatting sqref="B8:B31">
    <cfRule type="cellIs" dxfId="133" priority="1" operator="equal">
      <formula>"STB"</formula>
    </cfRule>
    <cfRule type="cellIs" dxfId="132" priority="2" operator="equal">
      <formula>"BD"</formula>
    </cfRule>
  </conditionalFormatting>
  <conditionalFormatting sqref="D8:D31">
    <cfRule type="cellIs" dxfId="131" priority="8" operator="equal">
      <formula>"STB"</formula>
    </cfRule>
    <cfRule type="cellIs" dxfId="130" priority="9" operator="equal">
      <formula>"BD"</formula>
    </cfRule>
  </conditionalFormatting>
  <conditionalFormatting sqref="F8:F31">
    <cfRule type="cellIs" dxfId="129" priority="3" operator="equal">
      <formula>"STB"</formula>
    </cfRule>
    <cfRule type="cellIs" dxfId="128" priority="4" operator="equal">
      <formula>"BD"</formula>
    </cfRule>
  </conditionalFormatting>
  <conditionalFormatting sqref="H8:H31">
    <cfRule type="top10" dxfId="127" priority="5" bottom="1" rank="1"/>
    <cfRule type="top10" dxfId="126" priority="6" rank="1"/>
    <cfRule type="cellIs" dxfId="125" priority="7" stopIfTrue="1" operator="equal">
      <formula>28000</formula>
    </cfRule>
  </conditionalFormatting>
  <conditionalFormatting sqref="H32:H33">
    <cfRule type="top10" dxfId="124" priority="14" bottom="1" rank="1"/>
    <cfRule type="top10" dxfId="123" priority="15" rank="1"/>
    <cfRule type="cellIs" dxfId="122" priority="17" stopIfTrue="1" operator="equal">
      <formula>28000</formula>
    </cfRule>
  </conditionalFormatting>
  <conditionalFormatting sqref="N8 N9:O31">
    <cfRule type="cellIs" dxfId="121" priority="16" operator="equal">
      <formula>"BD"</formula>
    </cfRule>
  </conditionalFormatting>
  <conditionalFormatting sqref="O8">
    <cfRule type="cellIs" dxfId="120" priority="10" operator="equal">
      <formula>"N/A"</formula>
    </cfRule>
  </conditionalFormatting>
  <conditionalFormatting sqref="Y8:Y31">
    <cfRule type="containsText" dxfId="119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AC68"/>
  <sheetViews>
    <sheetView zoomScale="80" zoomScaleNormal="80" workbookViewId="0">
      <pane ySplit="7" topLeftCell="A16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'[25]Taniwel daily'!C4</f>
        <v>45316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263</v>
      </c>
      <c r="E8" s="134"/>
      <c r="F8" s="133">
        <v>270</v>
      </c>
      <c r="G8" s="134"/>
      <c r="H8" s="20">
        <f t="shared" ref="H8:H31" si="0">IF(SUM(B8:G8)/1000=0,"0",SUM(B8:G8))</f>
        <v>533</v>
      </c>
      <c r="I8" s="21">
        <f t="shared" ref="I8:I31" si="1">IFERROR(AVERAGE(B8:G8),"0")</f>
        <v>266.5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179.64</v>
      </c>
      <c r="N8" s="26">
        <f>(M9-M8)*12000</f>
        <v>480.00000000024602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251</v>
      </c>
      <c r="E9" s="134"/>
      <c r="F9" s="133">
        <v>260</v>
      </c>
      <c r="G9" s="134"/>
      <c r="H9" s="20">
        <f t="shared" si="0"/>
        <v>511</v>
      </c>
      <c r="I9" s="21">
        <f t="shared" si="1"/>
        <v>255.5</v>
      </c>
      <c r="J9" s="22">
        <f t="shared" si="2"/>
        <v>2</v>
      </c>
      <c r="K9" s="23">
        <v>8.3333333333333301E-2</v>
      </c>
      <c r="L9" s="24">
        <v>4200</v>
      </c>
      <c r="M9" s="31">
        <v>179.68</v>
      </c>
      <c r="N9" s="26">
        <f t="shared" ref="N9:N30" si="3">(M10-M9)*12000</f>
        <v>479.99999999990501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235</v>
      </c>
      <c r="E10" s="134"/>
      <c r="F10" s="133">
        <v>248</v>
      </c>
      <c r="G10" s="134"/>
      <c r="H10" s="20">
        <f t="shared" si="0"/>
        <v>483</v>
      </c>
      <c r="I10" s="21">
        <f t="shared" si="1"/>
        <v>241.5</v>
      </c>
      <c r="J10" s="22">
        <f t="shared" si="2"/>
        <v>2</v>
      </c>
      <c r="K10" s="23">
        <v>0.125</v>
      </c>
      <c r="L10" s="24">
        <v>4200</v>
      </c>
      <c r="M10" s="31">
        <v>179.72</v>
      </c>
      <c r="N10" s="26">
        <f t="shared" si="3"/>
        <v>600.00000000013597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234</v>
      </c>
      <c r="E11" s="134"/>
      <c r="F11" s="133">
        <v>240</v>
      </c>
      <c r="G11" s="134"/>
      <c r="H11" s="20">
        <f t="shared" si="0"/>
        <v>474</v>
      </c>
      <c r="I11" s="21">
        <f t="shared" si="1"/>
        <v>237</v>
      </c>
      <c r="J11" s="22">
        <f t="shared" si="2"/>
        <v>2</v>
      </c>
      <c r="K11" s="23">
        <v>0.16666666666666699</v>
      </c>
      <c r="L11" s="24">
        <v>4000</v>
      </c>
      <c r="M11" s="31">
        <v>179.77</v>
      </c>
      <c r="N11" s="26">
        <f t="shared" si="3"/>
        <v>479.99999999990501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 t="s">
        <v>26</v>
      </c>
      <c r="E12" s="134"/>
      <c r="F12" s="133">
        <v>450</v>
      </c>
      <c r="G12" s="134"/>
      <c r="H12" s="20">
        <f t="shared" si="0"/>
        <v>450</v>
      </c>
      <c r="I12" s="21">
        <f t="shared" si="1"/>
        <v>450</v>
      </c>
      <c r="J12" s="22">
        <f t="shared" si="2"/>
        <v>1</v>
      </c>
      <c r="K12" s="23">
        <v>0.20833333333333301</v>
      </c>
      <c r="L12" s="24">
        <v>3900</v>
      </c>
      <c r="M12" s="31">
        <v>179.81</v>
      </c>
      <c r="N12" s="26">
        <f t="shared" si="3"/>
        <v>479.99999999990501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 t="s">
        <v>26</v>
      </c>
      <c r="E13" s="134"/>
      <c r="F13" s="133">
        <v>392</v>
      </c>
      <c r="G13" s="134"/>
      <c r="H13" s="20">
        <f t="shared" si="0"/>
        <v>392</v>
      </c>
      <c r="I13" s="21">
        <f t="shared" si="1"/>
        <v>392</v>
      </c>
      <c r="J13" s="22">
        <f t="shared" si="2"/>
        <v>1</v>
      </c>
      <c r="K13" s="23">
        <v>0.25</v>
      </c>
      <c r="L13" s="24">
        <v>3600</v>
      </c>
      <c r="M13" s="31">
        <v>179.85</v>
      </c>
      <c r="N13" s="26">
        <f t="shared" si="3"/>
        <v>479.99999999990501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 t="s">
        <v>26</v>
      </c>
      <c r="E14" s="134"/>
      <c r="F14" s="133">
        <v>418</v>
      </c>
      <c r="G14" s="134"/>
      <c r="H14" s="20">
        <f t="shared" si="0"/>
        <v>418</v>
      </c>
      <c r="I14" s="21">
        <f t="shared" si="1"/>
        <v>418</v>
      </c>
      <c r="J14" s="22">
        <f t="shared" si="2"/>
        <v>1</v>
      </c>
      <c r="K14" s="23">
        <v>0.29166666666666702</v>
      </c>
      <c r="L14" s="24">
        <v>3600</v>
      </c>
      <c r="M14" s="31">
        <v>179.89</v>
      </c>
      <c r="N14" s="26">
        <f t="shared" si="3"/>
        <v>600.00000000013597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231</v>
      </c>
      <c r="E15" s="134"/>
      <c r="F15" s="133">
        <v>229</v>
      </c>
      <c r="G15" s="134"/>
      <c r="H15" s="20">
        <f t="shared" si="0"/>
        <v>460</v>
      </c>
      <c r="I15" s="21">
        <f t="shared" si="1"/>
        <v>230</v>
      </c>
      <c r="J15" s="22">
        <f t="shared" si="2"/>
        <v>2</v>
      </c>
      <c r="K15" s="23">
        <v>0.33333333333333298</v>
      </c>
      <c r="L15" s="24">
        <v>3600</v>
      </c>
      <c r="M15" s="31">
        <v>179.94</v>
      </c>
      <c r="N15" s="26">
        <f t="shared" si="3"/>
        <v>479.99999999990501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442</v>
      </c>
      <c r="E16" s="134"/>
      <c r="F16" s="133" t="s">
        <v>26</v>
      </c>
      <c r="G16" s="134"/>
      <c r="H16" s="20">
        <f t="shared" si="0"/>
        <v>442</v>
      </c>
      <c r="I16" s="21">
        <f t="shared" si="1"/>
        <v>442</v>
      </c>
      <c r="J16" s="22">
        <f t="shared" si="2"/>
        <v>1</v>
      </c>
      <c r="K16" s="23">
        <v>0.375</v>
      </c>
      <c r="L16" s="24">
        <v>3600</v>
      </c>
      <c r="M16" s="31">
        <v>179.98</v>
      </c>
      <c r="N16" s="26">
        <f t="shared" si="3"/>
        <v>480.00000000024602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421</v>
      </c>
      <c r="E17" s="134"/>
      <c r="F17" s="133" t="s">
        <v>26</v>
      </c>
      <c r="G17" s="134"/>
      <c r="H17" s="20">
        <f t="shared" si="0"/>
        <v>421</v>
      </c>
      <c r="I17" s="21">
        <f t="shared" si="1"/>
        <v>421</v>
      </c>
      <c r="J17" s="22">
        <f t="shared" si="2"/>
        <v>1</v>
      </c>
      <c r="K17" s="23">
        <v>0.41666666666666602</v>
      </c>
      <c r="L17" s="24">
        <v>3400</v>
      </c>
      <c r="M17" s="31">
        <v>180.02</v>
      </c>
      <c r="N17" s="26">
        <f t="shared" si="3"/>
        <v>479.99999999990501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443</v>
      </c>
      <c r="E18" s="134"/>
      <c r="F18" s="133" t="s">
        <v>26</v>
      </c>
      <c r="G18" s="134"/>
      <c r="H18" s="20">
        <f t="shared" si="0"/>
        <v>443</v>
      </c>
      <c r="I18" s="21">
        <f t="shared" si="1"/>
        <v>443</v>
      </c>
      <c r="J18" s="22">
        <f t="shared" si="2"/>
        <v>1</v>
      </c>
      <c r="K18" s="23">
        <v>0.45833333333333298</v>
      </c>
      <c r="L18" s="24">
        <v>3300</v>
      </c>
      <c r="M18" s="31">
        <v>180.06</v>
      </c>
      <c r="N18" s="26">
        <f t="shared" si="3"/>
        <v>479.99999999990501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439</v>
      </c>
      <c r="E19" s="134"/>
      <c r="F19" s="133" t="s">
        <v>26</v>
      </c>
      <c r="G19" s="134"/>
      <c r="H19" s="20">
        <f t="shared" si="0"/>
        <v>439</v>
      </c>
      <c r="I19" s="21">
        <f t="shared" si="1"/>
        <v>439</v>
      </c>
      <c r="J19" s="22">
        <f t="shared" si="2"/>
        <v>1</v>
      </c>
      <c r="K19" s="23">
        <v>0.5</v>
      </c>
      <c r="L19" s="24">
        <v>3300</v>
      </c>
      <c r="M19" s="31">
        <v>180.1</v>
      </c>
      <c r="N19" s="26">
        <f t="shared" si="3"/>
        <v>479.99999999990501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424</v>
      </c>
      <c r="E20" s="134"/>
      <c r="F20" s="133" t="s">
        <v>26</v>
      </c>
      <c r="G20" s="134"/>
      <c r="H20" s="20">
        <f t="shared" si="0"/>
        <v>424</v>
      </c>
      <c r="I20" s="21">
        <f t="shared" si="1"/>
        <v>424</v>
      </c>
      <c r="J20" s="22">
        <f t="shared" si="2"/>
        <v>1</v>
      </c>
      <c r="K20" s="23">
        <v>0.54166666666666696</v>
      </c>
      <c r="L20" s="24">
        <v>3000</v>
      </c>
      <c r="M20" s="31">
        <v>180.14</v>
      </c>
      <c r="N20" s="26">
        <f t="shared" si="3"/>
        <v>480.00000000024602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>
        <v>417</v>
      </c>
      <c r="E21" s="134"/>
      <c r="F21" s="133" t="s">
        <v>26</v>
      </c>
      <c r="G21" s="134"/>
      <c r="H21" s="20">
        <f t="shared" si="0"/>
        <v>417</v>
      </c>
      <c r="I21" s="21">
        <f t="shared" si="1"/>
        <v>417</v>
      </c>
      <c r="J21" s="22">
        <f t="shared" si="2"/>
        <v>1</v>
      </c>
      <c r="K21" s="23">
        <v>0.58333333333333304</v>
      </c>
      <c r="L21" s="24">
        <v>3000</v>
      </c>
      <c r="M21" s="31">
        <v>180.18</v>
      </c>
      <c r="N21" s="26">
        <f t="shared" si="3"/>
        <v>479.99999999990501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>
        <v>403</v>
      </c>
      <c r="E22" s="134"/>
      <c r="F22" s="133" t="s">
        <v>26</v>
      </c>
      <c r="G22" s="134"/>
      <c r="H22" s="20">
        <f t="shared" si="0"/>
        <v>403</v>
      </c>
      <c r="I22" s="21">
        <f t="shared" si="1"/>
        <v>403</v>
      </c>
      <c r="J22" s="22">
        <f t="shared" si="2"/>
        <v>1</v>
      </c>
      <c r="K22" s="23">
        <v>0.625</v>
      </c>
      <c r="L22" s="24">
        <v>3000</v>
      </c>
      <c r="M22" s="31">
        <v>180.22</v>
      </c>
      <c r="N22" s="26">
        <f t="shared" si="3"/>
        <v>479.99999999990501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429</v>
      </c>
      <c r="E23" s="134"/>
      <c r="F23" s="133" t="s">
        <v>26</v>
      </c>
      <c r="G23" s="134"/>
      <c r="H23" s="20">
        <f t="shared" si="0"/>
        <v>429</v>
      </c>
      <c r="I23" s="21">
        <f t="shared" si="1"/>
        <v>429</v>
      </c>
      <c r="J23" s="22">
        <f t="shared" si="2"/>
        <v>1</v>
      </c>
      <c r="K23" s="23">
        <v>0.66666666666666596</v>
      </c>
      <c r="L23" s="24">
        <v>3000</v>
      </c>
      <c r="M23" s="31">
        <v>180.26</v>
      </c>
      <c r="N23" s="26">
        <f t="shared" si="3"/>
        <v>480.00000000024602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445</v>
      </c>
      <c r="E24" s="134"/>
      <c r="F24" s="133" t="s">
        <v>26</v>
      </c>
      <c r="G24" s="134"/>
      <c r="H24" s="20">
        <f t="shared" si="0"/>
        <v>445</v>
      </c>
      <c r="I24" s="21">
        <f t="shared" si="1"/>
        <v>445</v>
      </c>
      <c r="J24" s="22">
        <f t="shared" si="2"/>
        <v>1</v>
      </c>
      <c r="K24" s="23">
        <v>0.70833333333333304</v>
      </c>
      <c r="L24" s="24">
        <v>2700</v>
      </c>
      <c r="M24" s="31">
        <v>180.3</v>
      </c>
      <c r="N24" s="26">
        <f t="shared" si="3"/>
        <v>599.99999999979502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472</v>
      </c>
      <c r="E25" s="134"/>
      <c r="F25" s="133" t="s">
        <v>26</v>
      </c>
      <c r="G25" s="134"/>
      <c r="H25" s="20">
        <f t="shared" si="0"/>
        <v>472</v>
      </c>
      <c r="I25" s="21">
        <f t="shared" si="1"/>
        <v>472</v>
      </c>
      <c r="J25" s="22">
        <f t="shared" si="2"/>
        <v>1</v>
      </c>
      <c r="K25" s="23">
        <v>0.75</v>
      </c>
      <c r="L25" s="24">
        <v>2400</v>
      </c>
      <c r="M25" s="31">
        <v>180.35</v>
      </c>
      <c r="N25" s="26">
        <f t="shared" si="3"/>
        <v>479.99999999990501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485</v>
      </c>
      <c r="E26" s="134"/>
      <c r="F26" s="133" t="s">
        <v>26</v>
      </c>
      <c r="G26" s="134"/>
      <c r="H26" s="20">
        <f t="shared" si="0"/>
        <v>485</v>
      </c>
      <c r="I26" s="21">
        <f t="shared" si="1"/>
        <v>485</v>
      </c>
      <c r="J26" s="22">
        <f t="shared" si="2"/>
        <v>1</v>
      </c>
      <c r="K26" s="23">
        <v>0.79166666666666596</v>
      </c>
      <c r="L26" s="24">
        <v>2100</v>
      </c>
      <c r="M26" s="31">
        <v>180.39</v>
      </c>
      <c r="N26" s="26">
        <f t="shared" si="3"/>
        <v>600.00000000013597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263</v>
      </c>
      <c r="E27" s="134"/>
      <c r="F27" s="133">
        <v>287</v>
      </c>
      <c r="G27" s="134"/>
      <c r="H27" s="20">
        <f t="shared" si="0"/>
        <v>550</v>
      </c>
      <c r="I27" s="21">
        <f t="shared" si="1"/>
        <v>275</v>
      </c>
      <c r="J27" s="22">
        <f t="shared" si="2"/>
        <v>2</v>
      </c>
      <c r="K27" s="23">
        <v>0.83333333333333304</v>
      </c>
      <c r="L27" s="24">
        <v>2100</v>
      </c>
      <c r="M27" s="31">
        <v>180.44</v>
      </c>
      <c r="N27" s="26">
        <f t="shared" si="3"/>
        <v>720.00000000002694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325</v>
      </c>
      <c r="E28" s="134"/>
      <c r="F28" s="133">
        <v>344</v>
      </c>
      <c r="G28" s="134"/>
      <c r="H28" s="20">
        <f t="shared" si="0"/>
        <v>669</v>
      </c>
      <c r="I28" s="21">
        <f t="shared" si="1"/>
        <v>334.5</v>
      </c>
      <c r="J28" s="22">
        <f t="shared" si="2"/>
        <v>2</v>
      </c>
      <c r="K28" s="23">
        <v>0.875</v>
      </c>
      <c r="L28" s="24">
        <v>1800</v>
      </c>
      <c r="M28" s="31">
        <v>180.5</v>
      </c>
      <c r="N28" s="26">
        <f t="shared" si="3"/>
        <v>839.99999999991803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306</v>
      </c>
      <c r="E29" s="134"/>
      <c r="F29" s="133">
        <v>298</v>
      </c>
      <c r="G29" s="134"/>
      <c r="H29" s="20">
        <f t="shared" si="0"/>
        <v>604</v>
      </c>
      <c r="I29" s="21">
        <f t="shared" si="1"/>
        <v>302</v>
      </c>
      <c r="J29" s="22">
        <f t="shared" si="2"/>
        <v>2</v>
      </c>
      <c r="K29" s="23">
        <v>0.91666666666666596</v>
      </c>
      <c r="L29" s="24">
        <v>1800</v>
      </c>
      <c r="M29" s="31">
        <v>180.57</v>
      </c>
      <c r="N29" s="26">
        <f t="shared" si="3"/>
        <v>480.00000000024602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273</v>
      </c>
      <c r="E30" s="134"/>
      <c r="F30" s="133">
        <v>271</v>
      </c>
      <c r="G30" s="134"/>
      <c r="H30" s="20">
        <f t="shared" si="0"/>
        <v>544</v>
      </c>
      <c r="I30" s="21">
        <f t="shared" si="1"/>
        <v>272</v>
      </c>
      <c r="J30" s="22">
        <f t="shared" si="2"/>
        <v>2</v>
      </c>
      <c r="K30" s="23">
        <v>0.95833333333333304</v>
      </c>
      <c r="L30" s="24">
        <v>1800</v>
      </c>
      <c r="M30" s="31">
        <v>180.61</v>
      </c>
      <c r="N30" s="26">
        <f t="shared" si="3"/>
        <v>479.99999999990501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250</v>
      </c>
      <c r="E31" s="134"/>
      <c r="F31" s="133">
        <v>251</v>
      </c>
      <c r="G31" s="134"/>
      <c r="H31" s="20">
        <f t="shared" si="0"/>
        <v>501</v>
      </c>
      <c r="I31" s="35">
        <f t="shared" si="1"/>
        <v>250.5</v>
      </c>
      <c r="J31" s="36">
        <f t="shared" si="2"/>
        <v>2</v>
      </c>
      <c r="K31" s="37">
        <v>1</v>
      </c>
      <c r="L31" s="24">
        <v>4500</v>
      </c>
      <c r="M31" s="38">
        <v>180.65</v>
      </c>
      <c r="N31" s="26">
        <f>H31</f>
        <v>501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7.4509999999999996</v>
      </c>
      <c r="E32" s="136"/>
      <c r="F32" s="135">
        <f>SUM(F8:F31)/1000</f>
        <v>3.9580000000000002</v>
      </c>
      <c r="G32" s="136"/>
      <c r="H32" s="40">
        <f>SUM(H8:H31)</f>
        <v>11409</v>
      </c>
      <c r="I32" s="41" t="s">
        <v>13</v>
      </c>
      <c r="J32" s="42"/>
      <c r="K32" s="43"/>
      <c r="L32" s="44"/>
      <c r="M32" s="45">
        <f>SUM(M31-M8+N8)</f>
        <v>481.01000000024601</v>
      </c>
      <c r="N32" s="46">
        <f>SUM(N8:N31)</f>
        <v>12621.0000000002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354.80952380952402</v>
      </c>
      <c r="E33" s="116"/>
      <c r="F33" s="119">
        <f>IFERROR((AVERAGE(F8:F31)),"0")</f>
        <v>304.461538461538</v>
      </c>
      <c r="G33" s="121"/>
      <c r="H33" s="147">
        <f>H32*1000</f>
        <v>11409000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21</v>
      </c>
      <c r="E35" s="162"/>
      <c r="F35" s="163">
        <f>COUNT(F8:F31)</f>
        <v>13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34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669</v>
      </c>
      <c r="D39" s="126"/>
      <c r="E39" s="73">
        <f>VLOOKUP(C39,H8:L31,4,FALSE)</f>
        <v>0.875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475.375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392</v>
      </c>
      <c r="D41" s="126"/>
      <c r="E41" s="73">
        <f>VLOOKUP(C41,H8:L31,4,FALSE)</f>
        <v>0.25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364.35416666666703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-455.33291666665599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118" priority="11" operator="equal">
      <formula>"STB"</formula>
    </cfRule>
    <cfRule type="cellIs" dxfId="117" priority="12" operator="equal">
      <formula>"BD"</formula>
    </cfRule>
  </conditionalFormatting>
  <conditionalFormatting sqref="B8:B31">
    <cfRule type="cellIs" dxfId="116" priority="1" operator="equal">
      <formula>"STB"</formula>
    </cfRule>
    <cfRule type="cellIs" dxfId="115" priority="2" operator="equal">
      <formula>"BD"</formula>
    </cfRule>
  </conditionalFormatting>
  <conditionalFormatting sqref="D8:D31">
    <cfRule type="cellIs" dxfId="114" priority="8" operator="equal">
      <formula>"STB"</formula>
    </cfRule>
    <cfRule type="cellIs" dxfId="113" priority="9" operator="equal">
      <formula>"BD"</formula>
    </cfRule>
  </conditionalFormatting>
  <conditionalFormatting sqref="F8:F31">
    <cfRule type="cellIs" dxfId="112" priority="3" operator="equal">
      <formula>"STB"</formula>
    </cfRule>
    <cfRule type="cellIs" dxfId="111" priority="4" operator="equal">
      <formula>"BD"</formula>
    </cfRule>
  </conditionalFormatting>
  <conditionalFormatting sqref="H8:H31">
    <cfRule type="top10" dxfId="110" priority="5" bottom="1" rank="1"/>
    <cfRule type="top10" dxfId="109" priority="6" rank="1"/>
    <cfRule type="cellIs" dxfId="108" priority="7" stopIfTrue="1" operator="equal">
      <formula>28000</formula>
    </cfRule>
  </conditionalFormatting>
  <conditionalFormatting sqref="H32:H33">
    <cfRule type="top10" dxfId="107" priority="14" bottom="1" rank="1"/>
    <cfRule type="top10" dxfId="106" priority="15" rank="1"/>
    <cfRule type="cellIs" dxfId="105" priority="17" stopIfTrue="1" operator="equal">
      <formula>28000</formula>
    </cfRule>
  </conditionalFormatting>
  <conditionalFormatting sqref="N8 N9:O31">
    <cfRule type="cellIs" dxfId="104" priority="16" operator="equal">
      <formula>"BD"</formula>
    </cfRule>
  </conditionalFormatting>
  <conditionalFormatting sqref="O8">
    <cfRule type="cellIs" dxfId="103" priority="10" operator="equal">
      <formula>"N/A"</formula>
    </cfRule>
  </conditionalFormatting>
  <conditionalFormatting sqref="Y8:Y31">
    <cfRule type="containsText" dxfId="102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AC68"/>
  <sheetViews>
    <sheetView zoomScale="80" zoomScaleNormal="80" workbookViewId="0">
      <pane ySplit="7" topLeftCell="A16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'[26]Taniwel daily'!C4</f>
        <v>45317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224</v>
      </c>
      <c r="E8" s="134"/>
      <c r="F8" s="133">
        <v>245</v>
      </c>
      <c r="G8" s="134"/>
      <c r="H8" s="20">
        <f t="shared" ref="H8:H31" si="0">IF(SUM(B8:G8)/1000=0,"0",SUM(B8:G8))</f>
        <v>469</v>
      </c>
      <c r="I8" s="21">
        <f t="shared" ref="I8:I31" si="1">IFERROR(AVERAGE(B8:G8),"0")</f>
        <v>234.5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180.7</v>
      </c>
      <c r="N8" s="26">
        <f>(M9-M8)*12000</f>
        <v>480.00000000024602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225</v>
      </c>
      <c r="E9" s="134"/>
      <c r="F9" s="133">
        <v>235</v>
      </c>
      <c r="G9" s="134"/>
      <c r="H9" s="20">
        <f t="shared" si="0"/>
        <v>460</v>
      </c>
      <c r="I9" s="21">
        <f t="shared" si="1"/>
        <v>230</v>
      </c>
      <c r="J9" s="22">
        <f t="shared" si="2"/>
        <v>2</v>
      </c>
      <c r="K9" s="23">
        <v>8.3333333333333301E-2</v>
      </c>
      <c r="L9" s="24">
        <v>4200</v>
      </c>
      <c r="M9" s="31">
        <v>180.74</v>
      </c>
      <c r="N9" s="26">
        <f t="shared" ref="N9:N30" si="3">(M10-M9)*12000</f>
        <v>479.99999999990501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447</v>
      </c>
      <c r="E10" s="134"/>
      <c r="F10" s="133" t="s">
        <v>26</v>
      </c>
      <c r="G10" s="134"/>
      <c r="H10" s="20">
        <f t="shared" si="0"/>
        <v>447</v>
      </c>
      <c r="I10" s="21">
        <f t="shared" si="1"/>
        <v>447</v>
      </c>
      <c r="J10" s="22">
        <f t="shared" si="2"/>
        <v>1</v>
      </c>
      <c r="K10" s="23">
        <v>0.125</v>
      </c>
      <c r="L10" s="24">
        <v>4200</v>
      </c>
      <c r="M10" s="31">
        <v>180.78</v>
      </c>
      <c r="N10" s="26">
        <f t="shared" si="3"/>
        <v>600.00000000013597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357</v>
      </c>
      <c r="E11" s="134"/>
      <c r="F11" s="133" t="s">
        <v>26</v>
      </c>
      <c r="G11" s="134"/>
      <c r="H11" s="20">
        <f t="shared" si="0"/>
        <v>357</v>
      </c>
      <c r="I11" s="21">
        <f t="shared" si="1"/>
        <v>357</v>
      </c>
      <c r="J11" s="22">
        <f t="shared" si="2"/>
        <v>1</v>
      </c>
      <c r="K11" s="23">
        <v>0.16666666666666699</v>
      </c>
      <c r="L11" s="24">
        <v>4000</v>
      </c>
      <c r="M11" s="31">
        <v>180.83</v>
      </c>
      <c r="N11" s="26">
        <f t="shared" si="3"/>
        <v>119.999999999891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>
        <v>280</v>
      </c>
      <c r="E12" s="134"/>
      <c r="F12" s="133" t="s">
        <v>26</v>
      </c>
      <c r="G12" s="134"/>
      <c r="H12" s="20">
        <f t="shared" si="0"/>
        <v>280</v>
      </c>
      <c r="I12" s="21">
        <f t="shared" si="1"/>
        <v>280</v>
      </c>
      <c r="J12" s="22">
        <f t="shared" si="2"/>
        <v>1</v>
      </c>
      <c r="K12" s="23">
        <v>0.20833333333333301</v>
      </c>
      <c r="L12" s="24">
        <v>3900</v>
      </c>
      <c r="M12" s="31">
        <v>180.84</v>
      </c>
      <c r="N12" s="26">
        <f t="shared" si="3"/>
        <v>360.00000000001398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383</v>
      </c>
      <c r="E13" s="134"/>
      <c r="F13" s="133" t="s">
        <v>26</v>
      </c>
      <c r="G13" s="134"/>
      <c r="H13" s="20">
        <f t="shared" si="0"/>
        <v>383</v>
      </c>
      <c r="I13" s="21">
        <f t="shared" si="1"/>
        <v>383</v>
      </c>
      <c r="J13" s="22">
        <f t="shared" si="2"/>
        <v>1</v>
      </c>
      <c r="K13" s="23">
        <v>0.25</v>
      </c>
      <c r="L13" s="24">
        <v>3600</v>
      </c>
      <c r="M13" s="31">
        <v>180.87</v>
      </c>
      <c r="N13" s="26">
        <f t="shared" si="3"/>
        <v>479.99999999990501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409</v>
      </c>
      <c r="E14" s="134"/>
      <c r="F14" s="133" t="s">
        <v>26</v>
      </c>
      <c r="G14" s="134"/>
      <c r="H14" s="20">
        <f t="shared" si="0"/>
        <v>409</v>
      </c>
      <c r="I14" s="21">
        <f t="shared" si="1"/>
        <v>409</v>
      </c>
      <c r="J14" s="22">
        <f t="shared" si="2"/>
        <v>1</v>
      </c>
      <c r="K14" s="23">
        <v>0.29166666666666702</v>
      </c>
      <c r="L14" s="24">
        <v>3600</v>
      </c>
      <c r="M14" s="31">
        <v>180.91</v>
      </c>
      <c r="N14" s="26">
        <f t="shared" si="3"/>
        <v>479.99999999990501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 t="s">
        <v>26</v>
      </c>
      <c r="E15" s="134"/>
      <c r="F15" s="133">
        <v>382</v>
      </c>
      <c r="G15" s="134"/>
      <c r="H15" s="20">
        <f t="shared" si="0"/>
        <v>382</v>
      </c>
      <c r="I15" s="21">
        <f t="shared" si="1"/>
        <v>382</v>
      </c>
      <c r="J15" s="22">
        <f t="shared" si="2"/>
        <v>1</v>
      </c>
      <c r="K15" s="23">
        <v>0.33333333333333298</v>
      </c>
      <c r="L15" s="24">
        <v>3600</v>
      </c>
      <c r="M15" s="31">
        <v>180.95</v>
      </c>
      <c r="N15" s="26">
        <f t="shared" si="3"/>
        <v>360.00000000001398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 t="s">
        <v>26</v>
      </c>
      <c r="E16" s="134"/>
      <c r="F16" s="133">
        <v>353</v>
      </c>
      <c r="G16" s="134"/>
      <c r="H16" s="20">
        <f t="shared" si="0"/>
        <v>353</v>
      </c>
      <c r="I16" s="21">
        <f t="shared" si="1"/>
        <v>353</v>
      </c>
      <c r="J16" s="22">
        <f t="shared" si="2"/>
        <v>1</v>
      </c>
      <c r="K16" s="23">
        <v>0.375</v>
      </c>
      <c r="L16" s="24">
        <v>3600</v>
      </c>
      <c r="M16" s="31">
        <v>180.98</v>
      </c>
      <c r="N16" s="26">
        <f t="shared" si="3"/>
        <v>720.00000000002694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290</v>
      </c>
      <c r="E17" s="134"/>
      <c r="F17" s="133">
        <v>240</v>
      </c>
      <c r="G17" s="134"/>
      <c r="H17" s="20">
        <f t="shared" si="0"/>
        <v>530</v>
      </c>
      <c r="I17" s="21">
        <f t="shared" si="1"/>
        <v>265</v>
      </c>
      <c r="J17" s="22">
        <f t="shared" si="2"/>
        <v>2</v>
      </c>
      <c r="K17" s="23">
        <v>0.41666666666666602</v>
      </c>
      <c r="L17" s="24">
        <v>3400</v>
      </c>
      <c r="M17" s="31">
        <v>181.04</v>
      </c>
      <c r="N17" s="26">
        <f>(M22-M17)*12000</f>
        <v>720.00000000002694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 t="s">
        <v>26</v>
      </c>
      <c r="E18" s="134"/>
      <c r="F18" s="133" t="s">
        <v>26</v>
      </c>
      <c r="G18" s="134"/>
      <c r="H18" s="20" t="str">
        <f t="shared" si="0"/>
        <v>0</v>
      </c>
      <c r="I18" s="21" t="str">
        <f t="shared" si="1"/>
        <v>0</v>
      </c>
      <c r="J18" s="22">
        <f t="shared" si="2"/>
        <v>0</v>
      </c>
      <c r="K18" s="23">
        <v>0.45833333333333298</v>
      </c>
      <c r="L18" s="24">
        <v>3300</v>
      </c>
      <c r="M18" s="31">
        <v>0</v>
      </c>
      <c r="N18" s="26">
        <f t="shared" si="3"/>
        <v>0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 t="s">
        <v>26</v>
      </c>
      <c r="E19" s="134"/>
      <c r="F19" s="133" t="s">
        <v>26</v>
      </c>
      <c r="G19" s="134"/>
      <c r="H19" s="20" t="str">
        <f t="shared" si="0"/>
        <v>0</v>
      </c>
      <c r="I19" s="21" t="str">
        <f t="shared" si="1"/>
        <v>0</v>
      </c>
      <c r="J19" s="22">
        <f t="shared" si="2"/>
        <v>0</v>
      </c>
      <c r="K19" s="23">
        <v>0.5</v>
      </c>
      <c r="L19" s="24">
        <v>3300</v>
      </c>
      <c r="M19" s="31">
        <v>0</v>
      </c>
      <c r="N19" s="26">
        <f t="shared" si="3"/>
        <v>0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 t="s">
        <v>26</v>
      </c>
      <c r="E20" s="134"/>
      <c r="F20" s="133" t="s">
        <v>26</v>
      </c>
      <c r="G20" s="134"/>
      <c r="H20" s="20" t="str">
        <f t="shared" si="0"/>
        <v>0</v>
      </c>
      <c r="I20" s="21" t="str">
        <f t="shared" si="1"/>
        <v>0</v>
      </c>
      <c r="J20" s="22">
        <f t="shared" si="2"/>
        <v>0</v>
      </c>
      <c r="K20" s="23">
        <v>0.54166666666666696</v>
      </c>
      <c r="L20" s="24">
        <v>3000</v>
      </c>
      <c r="M20" s="31">
        <v>0</v>
      </c>
      <c r="N20" s="26">
        <f t="shared" si="3"/>
        <v>0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 t="s">
        <v>26</v>
      </c>
      <c r="E21" s="134"/>
      <c r="F21" s="133" t="s">
        <v>26</v>
      </c>
      <c r="G21" s="134"/>
      <c r="H21" s="20" t="str">
        <f t="shared" si="0"/>
        <v>0</v>
      </c>
      <c r="I21" s="21" t="str">
        <f t="shared" si="1"/>
        <v>0</v>
      </c>
      <c r="J21" s="22">
        <f t="shared" si="2"/>
        <v>0</v>
      </c>
      <c r="K21" s="23">
        <v>0.58333333333333304</v>
      </c>
      <c r="L21" s="24">
        <v>3000</v>
      </c>
      <c r="M21" s="31">
        <v>0</v>
      </c>
      <c r="N21" s="26">
        <v>0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>
        <v>376</v>
      </c>
      <c r="E22" s="134"/>
      <c r="F22" s="133" t="s">
        <v>26</v>
      </c>
      <c r="G22" s="134"/>
      <c r="H22" s="20">
        <f t="shared" si="0"/>
        <v>376</v>
      </c>
      <c r="I22" s="21">
        <f t="shared" si="1"/>
        <v>376</v>
      </c>
      <c r="J22" s="22">
        <f t="shared" si="2"/>
        <v>1</v>
      </c>
      <c r="K22" s="23">
        <v>0.625</v>
      </c>
      <c r="L22" s="24">
        <v>3000</v>
      </c>
      <c r="M22" s="31">
        <v>181.1</v>
      </c>
      <c r="N22" s="26">
        <f t="shared" si="3"/>
        <v>479.99999999990501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401</v>
      </c>
      <c r="E23" s="134"/>
      <c r="F23" s="133" t="s">
        <v>26</v>
      </c>
      <c r="G23" s="134"/>
      <c r="H23" s="20">
        <f t="shared" si="0"/>
        <v>401</v>
      </c>
      <c r="I23" s="21">
        <f t="shared" si="1"/>
        <v>401</v>
      </c>
      <c r="J23" s="22">
        <f t="shared" si="2"/>
        <v>1</v>
      </c>
      <c r="K23" s="23">
        <v>0.66666666666666596</v>
      </c>
      <c r="L23" s="24">
        <v>3000</v>
      </c>
      <c r="M23" s="31">
        <v>181.14</v>
      </c>
      <c r="N23" s="26">
        <f t="shared" si="3"/>
        <v>360.00000000001398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398</v>
      </c>
      <c r="E24" s="134"/>
      <c r="F24" s="133" t="s">
        <v>26</v>
      </c>
      <c r="G24" s="134"/>
      <c r="H24" s="20">
        <f t="shared" si="0"/>
        <v>398</v>
      </c>
      <c r="I24" s="21">
        <f t="shared" si="1"/>
        <v>398</v>
      </c>
      <c r="J24" s="22">
        <f t="shared" si="2"/>
        <v>1</v>
      </c>
      <c r="K24" s="23">
        <v>0.70833333333333304</v>
      </c>
      <c r="L24" s="24">
        <v>2700</v>
      </c>
      <c r="M24" s="31">
        <v>181.17</v>
      </c>
      <c r="N24" s="26">
        <f t="shared" si="3"/>
        <v>480.00000000024602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364</v>
      </c>
      <c r="E25" s="134"/>
      <c r="F25" s="133" t="s">
        <v>26</v>
      </c>
      <c r="G25" s="134"/>
      <c r="H25" s="20">
        <f t="shared" si="0"/>
        <v>364</v>
      </c>
      <c r="I25" s="21">
        <f t="shared" si="1"/>
        <v>364</v>
      </c>
      <c r="J25" s="22">
        <f t="shared" si="2"/>
        <v>1</v>
      </c>
      <c r="K25" s="23">
        <v>0.75</v>
      </c>
      <c r="L25" s="24">
        <v>2400</v>
      </c>
      <c r="M25" s="31">
        <v>181.21</v>
      </c>
      <c r="N25" s="26">
        <f t="shared" si="3"/>
        <v>479.99999999990501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455</v>
      </c>
      <c r="E26" s="134"/>
      <c r="F26" s="133" t="s">
        <v>26</v>
      </c>
      <c r="G26" s="134"/>
      <c r="H26" s="20">
        <f t="shared" si="0"/>
        <v>455</v>
      </c>
      <c r="I26" s="21">
        <f t="shared" si="1"/>
        <v>455</v>
      </c>
      <c r="J26" s="22">
        <f t="shared" si="2"/>
        <v>1</v>
      </c>
      <c r="K26" s="23">
        <v>0.79166666666666596</v>
      </c>
      <c r="L26" s="24">
        <v>2100</v>
      </c>
      <c r="M26" s="31">
        <v>181.25</v>
      </c>
      <c r="N26" s="26">
        <f t="shared" si="3"/>
        <v>479.99999999990501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263</v>
      </c>
      <c r="E27" s="134"/>
      <c r="F27" s="133">
        <v>273</v>
      </c>
      <c r="G27" s="134"/>
      <c r="H27" s="20">
        <f t="shared" si="0"/>
        <v>536</v>
      </c>
      <c r="I27" s="21">
        <f t="shared" si="1"/>
        <v>268</v>
      </c>
      <c r="J27" s="22">
        <f t="shared" si="2"/>
        <v>2</v>
      </c>
      <c r="K27" s="23">
        <v>0.83333333333333304</v>
      </c>
      <c r="L27" s="24">
        <v>2100</v>
      </c>
      <c r="M27" s="31">
        <v>181.29</v>
      </c>
      <c r="N27" s="26">
        <f t="shared" si="3"/>
        <v>600.00000000013597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288</v>
      </c>
      <c r="E28" s="134"/>
      <c r="F28" s="133">
        <v>292</v>
      </c>
      <c r="G28" s="134"/>
      <c r="H28" s="20">
        <f t="shared" si="0"/>
        <v>580</v>
      </c>
      <c r="I28" s="21">
        <f t="shared" si="1"/>
        <v>290</v>
      </c>
      <c r="J28" s="22">
        <f t="shared" si="2"/>
        <v>2</v>
      </c>
      <c r="K28" s="23">
        <v>0.875</v>
      </c>
      <c r="L28" s="24">
        <v>1800</v>
      </c>
      <c r="M28" s="31">
        <v>181.34</v>
      </c>
      <c r="N28" s="26">
        <f t="shared" si="3"/>
        <v>599.99999999979502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231</v>
      </c>
      <c r="E29" s="134"/>
      <c r="F29" s="133">
        <v>262</v>
      </c>
      <c r="G29" s="134"/>
      <c r="H29" s="20">
        <f t="shared" si="0"/>
        <v>493</v>
      </c>
      <c r="I29" s="21">
        <f t="shared" si="1"/>
        <v>246.5</v>
      </c>
      <c r="J29" s="22">
        <f t="shared" si="2"/>
        <v>2</v>
      </c>
      <c r="K29" s="23">
        <v>0.91666666666666596</v>
      </c>
      <c r="L29" s="24">
        <v>1800</v>
      </c>
      <c r="M29" s="31">
        <v>181.39</v>
      </c>
      <c r="N29" s="26">
        <f t="shared" si="3"/>
        <v>600.00000000013597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260</v>
      </c>
      <c r="E30" s="134"/>
      <c r="F30" s="133">
        <v>263</v>
      </c>
      <c r="G30" s="134"/>
      <c r="H30" s="20">
        <f t="shared" si="0"/>
        <v>523</v>
      </c>
      <c r="I30" s="21">
        <f t="shared" si="1"/>
        <v>261.5</v>
      </c>
      <c r="J30" s="22">
        <f t="shared" si="2"/>
        <v>2</v>
      </c>
      <c r="K30" s="23">
        <v>0.95833333333333304</v>
      </c>
      <c r="L30" s="24">
        <v>1800</v>
      </c>
      <c r="M30" s="31">
        <v>181.44</v>
      </c>
      <c r="N30" s="26">
        <f t="shared" si="3"/>
        <v>479.99999999990501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237</v>
      </c>
      <c r="E31" s="134"/>
      <c r="F31" s="133">
        <v>249</v>
      </c>
      <c r="G31" s="134"/>
      <c r="H31" s="20">
        <f t="shared" si="0"/>
        <v>486</v>
      </c>
      <c r="I31" s="35">
        <f t="shared" si="1"/>
        <v>243</v>
      </c>
      <c r="J31" s="36">
        <f t="shared" si="2"/>
        <v>2</v>
      </c>
      <c r="K31" s="37">
        <v>1</v>
      </c>
      <c r="L31" s="24">
        <v>4500</v>
      </c>
      <c r="M31" s="38">
        <v>181.48</v>
      </c>
      <c r="N31" s="26">
        <f>H31</f>
        <v>486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5.8879999999999999</v>
      </c>
      <c r="E32" s="136"/>
      <c r="F32" s="135">
        <f>SUM(F8:F31)/1000</f>
        <v>2.794</v>
      </c>
      <c r="G32" s="136"/>
      <c r="H32" s="40">
        <f>SUM(H8:H31)</f>
        <v>8682</v>
      </c>
      <c r="I32" s="41" t="s">
        <v>13</v>
      </c>
      <c r="J32" s="42"/>
      <c r="K32" s="43"/>
      <c r="L32" s="44"/>
      <c r="M32" s="45">
        <f>SUM(M31-M8+N8)</f>
        <v>480.78000000024599</v>
      </c>
      <c r="N32" s="46">
        <f>SUM(N8:N31)</f>
        <v>9846.0000000000091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327.11111111111097</v>
      </c>
      <c r="E33" s="116"/>
      <c r="F33" s="119">
        <f>IFERROR((AVERAGE(F8:F31)),"0")</f>
        <v>279.39999999999998</v>
      </c>
      <c r="G33" s="121"/>
      <c r="H33" s="147">
        <f>H32*1000</f>
        <v>8682000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18</v>
      </c>
      <c r="E35" s="162"/>
      <c r="F35" s="163">
        <f>COUNT(F8:F31)</f>
        <v>10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28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580</v>
      </c>
      <c r="D39" s="126"/>
      <c r="E39" s="73">
        <f>VLOOKUP(C39,H8:L31,4,FALSE)</f>
        <v>0.875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434.1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280</v>
      </c>
      <c r="D41" s="126"/>
      <c r="E41" s="73">
        <f>VLOOKUP(C41,H8:L31,4,FALSE)</f>
        <v>0.20833333333333301</v>
      </c>
      <c r="F41" s="85"/>
      <c r="G41" s="74"/>
      <c r="H41" s="127" t="s">
        <v>22</v>
      </c>
      <c r="I41" s="128"/>
      <c r="J41" s="129"/>
      <c r="K41" s="75">
        <f>MIN(J8:J31)</f>
        <v>0</v>
      </c>
      <c r="L41" s="76"/>
      <c r="N41" s="127" t="s">
        <v>23</v>
      </c>
      <c r="O41" s="128"/>
      <c r="P41" s="128"/>
      <c r="Q41" s="129"/>
      <c r="R41" s="86">
        <f>AVERAGE(I8:I31)</f>
        <v>332.17500000000001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-341.71749999999003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101" priority="11" operator="equal">
      <formula>"STB"</formula>
    </cfRule>
    <cfRule type="cellIs" dxfId="100" priority="12" operator="equal">
      <formula>"BD"</formula>
    </cfRule>
  </conditionalFormatting>
  <conditionalFormatting sqref="B8:B31">
    <cfRule type="cellIs" dxfId="99" priority="1" operator="equal">
      <formula>"STB"</formula>
    </cfRule>
    <cfRule type="cellIs" dxfId="98" priority="2" operator="equal">
      <formula>"BD"</formula>
    </cfRule>
  </conditionalFormatting>
  <conditionalFormatting sqref="D8:D31">
    <cfRule type="cellIs" dxfId="97" priority="8" operator="equal">
      <formula>"STB"</formula>
    </cfRule>
    <cfRule type="cellIs" dxfId="96" priority="9" operator="equal">
      <formula>"BD"</formula>
    </cfRule>
  </conditionalFormatting>
  <conditionalFormatting sqref="F8:F31">
    <cfRule type="cellIs" dxfId="95" priority="3" operator="equal">
      <formula>"STB"</formula>
    </cfRule>
    <cfRule type="cellIs" dxfId="94" priority="4" operator="equal">
      <formula>"BD"</formula>
    </cfRule>
  </conditionalFormatting>
  <conditionalFormatting sqref="H8:H31">
    <cfRule type="top10" dxfId="93" priority="5" bottom="1" rank="1"/>
    <cfRule type="top10" dxfId="92" priority="6" rank="1"/>
    <cfRule type="cellIs" dxfId="91" priority="7" stopIfTrue="1" operator="equal">
      <formula>28000</formula>
    </cfRule>
  </conditionalFormatting>
  <conditionalFormatting sqref="H32:H33">
    <cfRule type="top10" dxfId="90" priority="14" bottom="1" rank="1"/>
    <cfRule type="top10" dxfId="89" priority="15" rank="1"/>
    <cfRule type="cellIs" dxfId="88" priority="17" stopIfTrue="1" operator="equal">
      <formula>28000</formula>
    </cfRule>
  </conditionalFormatting>
  <conditionalFormatting sqref="N8 N9:O31">
    <cfRule type="cellIs" dxfId="87" priority="16" operator="equal">
      <formula>"BD"</formula>
    </cfRule>
  </conditionalFormatting>
  <conditionalFormatting sqref="O8">
    <cfRule type="cellIs" dxfId="86" priority="10" operator="equal">
      <formula>"N/A"</formula>
    </cfRule>
  </conditionalFormatting>
  <conditionalFormatting sqref="Y8:Y31">
    <cfRule type="containsText" dxfId="85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:AC68"/>
  <sheetViews>
    <sheetView zoomScale="55" zoomScaleNormal="55" workbookViewId="0">
      <pane ySplit="7" topLeftCell="A21" activePane="bottomLeft" state="frozen"/>
      <selection pane="bottomLeft" activeCell="J38" sqref="J38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'[27]Taniwel daily'!C4</f>
        <v>45318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243</v>
      </c>
      <c r="E8" s="134"/>
      <c r="F8" s="133">
        <v>221</v>
      </c>
      <c r="G8" s="134"/>
      <c r="H8" s="20">
        <f t="shared" ref="H8:H31" si="0">IF(SUM(B8:G8)/1000=0,"0",SUM(B8:G8))</f>
        <v>464</v>
      </c>
      <c r="I8" s="21">
        <f t="shared" ref="I8:I31" si="1">IFERROR(AVERAGE(B8:G8),"0")</f>
        <v>232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181.53</v>
      </c>
      <c r="N8" s="26">
        <f>(M9-M8)*12000</f>
        <v>479.99999999990501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226</v>
      </c>
      <c r="E9" s="134"/>
      <c r="F9" s="133">
        <v>225</v>
      </c>
      <c r="G9" s="134"/>
      <c r="H9" s="20">
        <f t="shared" si="0"/>
        <v>451</v>
      </c>
      <c r="I9" s="21">
        <f t="shared" si="1"/>
        <v>225.5</v>
      </c>
      <c r="J9" s="22">
        <f t="shared" si="2"/>
        <v>2</v>
      </c>
      <c r="K9" s="23">
        <v>8.3333333333333301E-2</v>
      </c>
      <c r="L9" s="24">
        <v>4200</v>
      </c>
      <c r="M9" s="31">
        <v>181.57</v>
      </c>
      <c r="N9" s="26">
        <f t="shared" ref="N9:N30" si="3">(M10-M9)*12000</f>
        <v>480.00000000024602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436</v>
      </c>
      <c r="E10" s="134"/>
      <c r="F10" s="133" t="s">
        <v>26</v>
      </c>
      <c r="G10" s="134"/>
      <c r="H10" s="20">
        <f t="shared" si="0"/>
        <v>436</v>
      </c>
      <c r="I10" s="21">
        <f t="shared" si="1"/>
        <v>436</v>
      </c>
      <c r="J10" s="22">
        <f t="shared" si="2"/>
        <v>1</v>
      </c>
      <c r="K10" s="23">
        <v>0.125</v>
      </c>
      <c r="L10" s="24">
        <v>4200</v>
      </c>
      <c r="M10" s="31">
        <v>181.61</v>
      </c>
      <c r="N10" s="26">
        <f t="shared" si="3"/>
        <v>599.99999999979502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392</v>
      </c>
      <c r="E11" s="134"/>
      <c r="F11" s="133" t="s">
        <v>26</v>
      </c>
      <c r="G11" s="134"/>
      <c r="H11" s="20">
        <f t="shared" si="0"/>
        <v>392</v>
      </c>
      <c r="I11" s="21">
        <f t="shared" si="1"/>
        <v>392</v>
      </c>
      <c r="J11" s="22">
        <f t="shared" si="2"/>
        <v>1</v>
      </c>
      <c r="K11" s="23">
        <v>0.16666666666666699</v>
      </c>
      <c r="L11" s="24">
        <v>4000</v>
      </c>
      <c r="M11" s="31">
        <v>181.66</v>
      </c>
      <c r="N11" s="26">
        <f t="shared" si="3"/>
        <v>479.99999999990501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>
        <v>401</v>
      </c>
      <c r="E12" s="134"/>
      <c r="F12" s="133" t="s">
        <v>26</v>
      </c>
      <c r="G12" s="134"/>
      <c r="H12" s="20">
        <f t="shared" si="0"/>
        <v>401</v>
      </c>
      <c r="I12" s="21">
        <f t="shared" si="1"/>
        <v>401</v>
      </c>
      <c r="J12" s="22">
        <f t="shared" si="2"/>
        <v>1</v>
      </c>
      <c r="K12" s="23">
        <v>0.20833333333333301</v>
      </c>
      <c r="L12" s="24">
        <v>3900</v>
      </c>
      <c r="M12" s="31">
        <v>181.7</v>
      </c>
      <c r="N12" s="26">
        <f t="shared" si="3"/>
        <v>360.00000000001398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426</v>
      </c>
      <c r="E13" s="134"/>
      <c r="F13" s="133" t="s">
        <v>26</v>
      </c>
      <c r="G13" s="134"/>
      <c r="H13" s="20">
        <f t="shared" si="0"/>
        <v>426</v>
      </c>
      <c r="I13" s="21">
        <f t="shared" si="1"/>
        <v>426</v>
      </c>
      <c r="J13" s="22">
        <f t="shared" si="2"/>
        <v>1</v>
      </c>
      <c r="K13" s="23">
        <v>0.25</v>
      </c>
      <c r="L13" s="24">
        <v>3600</v>
      </c>
      <c r="M13" s="31">
        <v>181.73</v>
      </c>
      <c r="N13" s="26">
        <f t="shared" si="3"/>
        <v>480.00000000024602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237</v>
      </c>
      <c r="E14" s="134"/>
      <c r="F14" s="133">
        <v>228</v>
      </c>
      <c r="G14" s="134"/>
      <c r="H14" s="20">
        <f t="shared" si="0"/>
        <v>465</v>
      </c>
      <c r="I14" s="21">
        <f t="shared" si="1"/>
        <v>232.5</v>
      </c>
      <c r="J14" s="22">
        <f t="shared" si="2"/>
        <v>2</v>
      </c>
      <c r="K14" s="23">
        <v>0.29166666666666702</v>
      </c>
      <c r="L14" s="24">
        <v>3600</v>
      </c>
      <c r="M14" s="31">
        <v>181.77</v>
      </c>
      <c r="N14" s="26">
        <f t="shared" si="3"/>
        <v>479.99999999990501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224</v>
      </c>
      <c r="E15" s="134"/>
      <c r="F15" s="133">
        <v>245</v>
      </c>
      <c r="G15" s="134"/>
      <c r="H15" s="20">
        <f t="shared" si="0"/>
        <v>469</v>
      </c>
      <c r="I15" s="21">
        <f t="shared" si="1"/>
        <v>234.5</v>
      </c>
      <c r="J15" s="22">
        <f t="shared" si="2"/>
        <v>2</v>
      </c>
      <c r="K15" s="23">
        <v>0.33333333333333298</v>
      </c>
      <c r="L15" s="24">
        <v>3600</v>
      </c>
      <c r="M15" s="31">
        <v>181.81</v>
      </c>
      <c r="N15" s="26">
        <f t="shared" si="3"/>
        <v>600.00000000013597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221</v>
      </c>
      <c r="E16" s="134"/>
      <c r="F16" s="133">
        <v>225</v>
      </c>
      <c r="G16" s="134"/>
      <c r="H16" s="20">
        <f t="shared" si="0"/>
        <v>446</v>
      </c>
      <c r="I16" s="21">
        <f t="shared" si="1"/>
        <v>223</v>
      </c>
      <c r="J16" s="22">
        <f t="shared" si="2"/>
        <v>2</v>
      </c>
      <c r="K16" s="23">
        <v>0.375</v>
      </c>
      <c r="L16" s="24">
        <v>3600</v>
      </c>
      <c r="M16" s="31">
        <v>181.86</v>
      </c>
      <c r="N16" s="26">
        <f t="shared" si="3"/>
        <v>479.99999999990501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 t="s">
        <v>26</v>
      </c>
      <c r="E17" s="134"/>
      <c r="F17" s="133">
        <v>416</v>
      </c>
      <c r="G17" s="134"/>
      <c r="H17" s="20">
        <f t="shared" si="0"/>
        <v>416</v>
      </c>
      <c r="I17" s="21">
        <f t="shared" si="1"/>
        <v>416</v>
      </c>
      <c r="J17" s="22">
        <f t="shared" si="2"/>
        <v>1</v>
      </c>
      <c r="K17" s="23">
        <v>0.41666666666666602</v>
      </c>
      <c r="L17" s="24">
        <v>3400</v>
      </c>
      <c r="M17" s="31">
        <v>181.9</v>
      </c>
      <c r="N17" s="26">
        <f>(M22-M17)*12000</f>
        <v>2279.99999999997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 t="s">
        <v>26</v>
      </c>
      <c r="E18" s="134"/>
      <c r="F18" s="133">
        <v>408</v>
      </c>
      <c r="G18" s="134"/>
      <c r="H18" s="20">
        <f t="shared" si="0"/>
        <v>408</v>
      </c>
      <c r="I18" s="21">
        <f t="shared" si="1"/>
        <v>408</v>
      </c>
      <c r="J18" s="22">
        <f t="shared" si="2"/>
        <v>1</v>
      </c>
      <c r="K18" s="23">
        <v>0.45833333333333298</v>
      </c>
      <c r="L18" s="24">
        <v>3300</v>
      </c>
      <c r="M18" s="31">
        <v>181.94</v>
      </c>
      <c r="N18" s="26">
        <f t="shared" si="3"/>
        <v>479.99999999990501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 t="s">
        <v>26</v>
      </c>
      <c r="E19" s="134"/>
      <c r="F19" s="133">
        <v>407</v>
      </c>
      <c r="G19" s="134"/>
      <c r="H19" s="20">
        <f t="shared" si="0"/>
        <v>407</v>
      </c>
      <c r="I19" s="21">
        <f t="shared" si="1"/>
        <v>407</v>
      </c>
      <c r="J19" s="22">
        <f t="shared" si="2"/>
        <v>1</v>
      </c>
      <c r="K19" s="23">
        <v>0.5</v>
      </c>
      <c r="L19" s="24">
        <v>3300</v>
      </c>
      <c r="M19" s="31">
        <v>181.98</v>
      </c>
      <c r="N19" s="26">
        <f t="shared" si="3"/>
        <v>480.00000000024602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 t="s">
        <v>26</v>
      </c>
      <c r="E20" s="134"/>
      <c r="F20" s="133">
        <v>396</v>
      </c>
      <c r="G20" s="134"/>
      <c r="H20" s="20">
        <f t="shared" si="0"/>
        <v>396</v>
      </c>
      <c r="I20" s="21">
        <f t="shared" si="1"/>
        <v>396</v>
      </c>
      <c r="J20" s="22">
        <f t="shared" si="2"/>
        <v>1</v>
      </c>
      <c r="K20" s="23">
        <v>0.54166666666666696</v>
      </c>
      <c r="L20" s="24">
        <v>3000</v>
      </c>
      <c r="M20" s="31">
        <v>182.02</v>
      </c>
      <c r="N20" s="26">
        <f t="shared" si="3"/>
        <v>360.00000000001398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 t="s">
        <v>26</v>
      </c>
      <c r="E21" s="134"/>
      <c r="F21" s="133">
        <v>384</v>
      </c>
      <c r="G21" s="134"/>
      <c r="H21" s="20">
        <f t="shared" si="0"/>
        <v>384</v>
      </c>
      <c r="I21" s="21">
        <f t="shared" si="1"/>
        <v>384</v>
      </c>
      <c r="J21" s="22">
        <f t="shared" si="2"/>
        <v>1</v>
      </c>
      <c r="K21" s="23">
        <v>0.58333333333333304</v>
      </c>
      <c r="L21" s="24">
        <v>3000</v>
      </c>
      <c r="M21" s="31">
        <v>182.05</v>
      </c>
      <c r="N21" s="26">
        <v>0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>
        <v>377</v>
      </c>
      <c r="E22" s="134"/>
      <c r="F22" s="133" t="s">
        <v>26</v>
      </c>
      <c r="G22" s="134"/>
      <c r="H22" s="20">
        <f t="shared" si="0"/>
        <v>377</v>
      </c>
      <c r="I22" s="21">
        <f t="shared" si="1"/>
        <v>377</v>
      </c>
      <c r="J22" s="22">
        <f t="shared" si="2"/>
        <v>1</v>
      </c>
      <c r="K22" s="23">
        <v>0.625</v>
      </c>
      <c r="L22" s="24">
        <v>3000</v>
      </c>
      <c r="M22" s="31">
        <v>182.09</v>
      </c>
      <c r="N22" s="26">
        <f t="shared" si="3"/>
        <v>360.00000000001398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376</v>
      </c>
      <c r="E23" s="134"/>
      <c r="F23" s="133" t="s">
        <v>26</v>
      </c>
      <c r="G23" s="134"/>
      <c r="H23" s="20">
        <f t="shared" si="0"/>
        <v>376</v>
      </c>
      <c r="I23" s="21">
        <f t="shared" si="1"/>
        <v>376</v>
      </c>
      <c r="J23" s="22">
        <f t="shared" si="2"/>
        <v>1</v>
      </c>
      <c r="K23" s="23">
        <v>0.66666666666666596</v>
      </c>
      <c r="L23" s="24">
        <v>3000</v>
      </c>
      <c r="M23" s="31">
        <v>182.12</v>
      </c>
      <c r="N23" s="26">
        <f t="shared" si="3"/>
        <v>479.99999999990501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384</v>
      </c>
      <c r="E24" s="134"/>
      <c r="F24" s="133" t="s">
        <v>26</v>
      </c>
      <c r="G24" s="134"/>
      <c r="H24" s="20">
        <f t="shared" si="0"/>
        <v>384</v>
      </c>
      <c r="I24" s="21">
        <f t="shared" si="1"/>
        <v>384</v>
      </c>
      <c r="J24" s="22">
        <f t="shared" si="2"/>
        <v>1</v>
      </c>
      <c r="K24" s="23">
        <v>0.70833333333333304</v>
      </c>
      <c r="L24" s="24">
        <v>2700</v>
      </c>
      <c r="M24" s="31">
        <v>182.16</v>
      </c>
      <c r="N24" s="26">
        <f t="shared" si="3"/>
        <v>479.99999999990501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401</v>
      </c>
      <c r="E25" s="134"/>
      <c r="F25" s="133" t="s">
        <v>26</v>
      </c>
      <c r="G25" s="134"/>
      <c r="H25" s="20">
        <f t="shared" si="0"/>
        <v>401</v>
      </c>
      <c r="I25" s="21">
        <f t="shared" si="1"/>
        <v>401</v>
      </c>
      <c r="J25" s="22">
        <f t="shared" si="2"/>
        <v>1</v>
      </c>
      <c r="K25" s="23">
        <v>0.75</v>
      </c>
      <c r="L25" s="24">
        <v>2400</v>
      </c>
      <c r="M25" s="31">
        <v>182.2</v>
      </c>
      <c r="N25" s="26">
        <f t="shared" si="3"/>
        <v>480.00000000024602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278</v>
      </c>
      <c r="E26" s="134"/>
      <c r="F26" s="133">
        <v>263</v>
      </c>
      <c r="G26" s="134"/>
      <c r="H26" s="20">
        <f t="shared" si="0"/>
        <v>541</v>
      </c>
      <c r="I26" s="21">
        <f t="shared" si="1"/>
        <v>270.5</v>
      </c>
      <c r="J26" s="22">
        <f t="shared" si="2"/>
        <v>2</v>
      </c>
      <c r="K26" s="23">
        <v>0.79166666666666596</v>
      </c>
      <c r="L26" s="24">
        <v>2100</v>
      </c>
      <c r="M26" s="31">
        <v>182.24</v>
      </c>
      <c r="N26" s="26">
        <f t="shared" si="3"/>
        <v>720.00000000002694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305</v>
      </c>
      <c r="E27" s="134"/>
      <c r="F27" s="133">
        <v>305</v>
      </c>
      <c r="G27" s="134"/>
      <c r="H27" s="20">
        <f t="shared" si="0"/>
        <v>610</v>
      </c>
      <c r="I27" s="21">
        <f t="shared" si="1"/>
        <v>305</v>
      </c>
      <c r="J27" s="22">
        <f t="shared" si="2"/>
        <v>2</v>
      </c>
      <c r="K27" s="23">
        <v>0.83333333333333304</v>
      </c>
      <c r="L27" s="24">
        <v>2100</v>
      </c>
      <c r="M27" s="31">
        <v>182.3</v>
      </c>
      <c r="N27" s="26">
        <f t="shared" si="3"/>
        <v>720.00000000002694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272</v>
      </c>
      <c r="E28" s="134"/>
      <c r="F28" s="133">
        <v>283</v>
      </c>
      <c r="G28" s="134"/>
      <c r="H28" s="20">
        <f t="shared" si="0"/>
        <v>555</v>
      </c>
      <c r="I28" s="21">
        <f t="shared" si="1"/>
        <v>277.5</v>
      </c>
      <c r="J28" s="22">
        <f t="shared" si="2"/>
        <v>2</v>
      </c>
      <c r="K28" s="23">
        <v>0.875</v>
      </c>
      <c r="L28" s="24">
        <v>1800</v>
      </c>
      <c r="M28" s="31">
        <v>182.36</v>
      </c>
      <c r="N28" s="26">
        <f t="shared" si="3"/>
        <v>599.99999999979502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265</v>
      </c>
      <c r="E29" s="134"/>
      <c r="F29" s="133">
        <v>256</v>
      </c>
      <c r="G29" s="134"/>
      <c r="H29" s="20">
        <f t="shared" si="0"/>
        <v>521</v>
      </c>
      <c r="I29" s="21">
        <f t="shared" si="1"/>
        <v>260.5</v>
      </c>
      <c r="J29" s="22">
        <f t="shared" si="2"/>
        <v>2</v>
      </c>
      <c r="K29" s="23">
        <v>0.91666666666666596</v>
      </c>
      <c r="L29" s="24">
        <v>1800</v>
      </c>
      <c r="M29" s="31">
        <v>182.41</v>
      </c>
      <c r="N29" s="26">
        <f t="shared" si="3"/>
        <v>479.99999999990501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269</v>
      </c>
      <c r="E30" s="134"/>
      <c r="F30" s="133">
        <v>230</v>
      </c>
      <c r="G30" s="134"/>
      <c r="H30" s="20">
        <f t="shared" si="0"/>
        <v>499</v>
      </c>
      <c r="I30" s="21">
        <f t="shared" si="1"/>
        <v>249.5</v>
      </c>
      <c r="J30" s="22">
        <f t="shared" si="2"/>
        <v>2</v>
      </c>
      <c r="K30" s="23">
        <v>0.95833333333333304</v>
      </c>
      <c r="L30" s="24">
        <v>1800</v>
      </c>
      <c r="M30" s="31">
        <v>182.45</v>
      </c>
      <c r="N30" s="26">
        <f t="shared" si="3"/>
        <v>600.00000000013597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225</v>
      </c>
      <c r="E31" s="134"/>
      <c r="F31" s="133">
        <v>241</v>
      </c>
      <c r="G31" s="134"/>
      <c r="H31" s="20">
        <f t="shared" si="0"/>
        <v>466</v>
      </c>
      <c r="I31" s="35">
        <f t="shared" si="1"/>
        <v>233</v>
      </c>
      <c r="J31" s="36">
        <f t="shared" si="2"/>
        <v>2</v>
      </c>
      <c r="K31" s="37">
        <v>1</v>
      </c>
      <c r="L31" s="24">
        <v>4500</v>
      </c>
      <c r="M31" s="38">
        <v>182.5</v>
      </c>
      <c r="N31" s="26">
        <f>H31</f>
        <v>466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5.9580000000000002</v>
      </c>
      <c r="E32" s="136"/>
      <c r="F32" s="135">
        <f>SUM(F8:F31)/1000</f>
        <v>4.7329999999999997</v>
      </c>
      <c r="G32" s="136"/>
      <c r="H32" s="40">
        <f>SUM(H8:H31)</f>
        <v>10691</v>
      </c>
      <c r="I32" s="41" t="s">
        <v>13</v>
      </c>
      <c r="J32" s="42"/>
      <c r="K32" s="43"/>
      <c r="L32" s="44"/>
      <c r="M32" s="45">
        <f>SUM(M31-M8+N8)</f>
        <v>480.96999999990499</v>
      </c>
      <c r="N32" s="46">
        <f>SUM(N8:N31)</f>
        <v>13426.0000000002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313.57894736842098</v>
      </c>
      <c r="E33" s="116"/>
      <c r="F33" s="119">
        <f>IFERROR((AVERAGE(F8:F31)),"0")</f>
        <v>295.8125</v>
      </c>
      <c r="G33" s="121"/>
      <c r="H33" s="147">
        <f>H32*1000</f>
        <v>10691000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19</v>
      </c>
      <c r="E35" s="162"/>
      <c r="F35" s="163">
        <f>COUNT(F8:F31)</f>
        <v>16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35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610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445.45833333333297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376</v>
      </c>
      <c r="D41" s="126"/>
      <c r="E41" s="73">
        <f>VLOOKUP(C41,H8:L31,4,FALSE)</f>
        <v>0.66666666666666596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331.14583333333297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-425.41791666667098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84" priority="11" operator="equal">
      <formula>"STB"</formula>
    </cfRule>
    <cfRule type="cellIs" dxfId="83" priority="12" operator="equal">
      <formula>"BD"</formula>
    </cfRule>
  </conditionalFormatting>
  <conditionalFormatting sqref="B8:B31">
    <cfRule type="cellIs" dxfId="82" priority="1" operator="equal">
      <formula>"STB"</formula>
    </cfRule>
    <cfRule type="cellIs" dxfId="81" priority="2" operator="equal">
      <formula>"BD"</formula>
    </cfRule>
  </conditionalFormatting>
  <conditionalFormatting sqref="D8:D31">
    <cfRule type="cellIs" dxfId="80" priority="8" operator="equal">
      <formula>"STB"</formula>
    </cfRule>
    <cfRule type="cellIs" dxfId="79" priority="9" operator="equal">
      <formula>"BD"</formula>
    </cfRule>
  </conditionalFormatting>
  <conditionalFormatting sqref="F8:F31">
    <cfRule type="cellIs" dxfId="78" priority="3" operator="equal">
      <formula>"STB"</formula>
    </cfRule>
    <cfRule type="cellIs" dxfId="77" priority="4" operator="equal">
      <formula>"BD"</formula>
    </cfRule>
  </conditionalFormatting>
  <conditionalFormatting sqref="H8:H31">
    <cfRule type="top10" dxfId="76" priority="5" bottom="1" rank="1"/>
    <cfRule type="top10" dxfId="75" priority="6" rank="1"/>
    <cfRule type="cellIs" dxfId="74" priority="7" stopIfTrue="1" operator="equal">
      <formula>28000</formula>
    </cfRule>
  </conditionalFormatting>
  <conditionalFormatting sqref="H32:H33">
    <cfRule type="top10" dxfId="73" priority="14" bottom="1" rank="1"/>
    <cfRule type="top10" dxfId="72" priority="15" rank="1"/>
    <cfRule type="cellIs" dxfId="71" priority="17" stopIfTrue="1" operator="equal">
      <formula>28000</formula>
    </cfRule>
  </conditionalFormatting>
  <conditionalFormatting sqref="N8 N9:O31">
    <cfRule type="cellIs" dxfId="70" priority="16" operator="equal">
      <formula>"BD"</formula>
    </cfRule>
  </conditionalFormatting>
  <conditionalFormatting sqref="O8">
    <cfRule type="cellIs" dxfId="69" priority="10" operator="equal">
      <formula>"N/A"</formula>
    </cfRule>
  </conditionalFormatting>
  <conditionalFormatting sqref="Y8:Y31">
    <cfRule type="containsText" dxfId="68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0000"/>
  </sheetPr>
  <dimension ref="A1:AC68"/>
  <sheetViews>
    <sheetView zoomScale="80" zoomScaleNormal="80" workbookViewId="0">
      <pane ySplit="7" topLeftCell="A16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'[28]Taniwel daily'!C4</f>
        <v>45319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407</v>
      </c>
      <c r="E8" s="134"/>
      <c r="F8" s="133" t="s">
        <v>26</v>
      </c>
      <c r="G8" s="134"/>
      <c r="H8" s="20">
        <f t="shared" ref="H8:H31" si="0">IF(SUM(B8:G8)/1000=0,"0",SUM(B8:G8))</f>
        <v>407</v>
      </c>
      <c r="I8" s="21">
        <f t="shared" ref="I8:I31" si="1">IFERROR(AVERAGE(B8:G8),"0")</f>
        <v>407</v>
      </c>
      <c r="J8" s="22">
        <f t="shared" ref="J8:J31" si="2">COUNT(B8:G8)</f>
        <v>1</v>
      </c>
      <c r="K8" s="23">
        <v>4.1666666666666699E-2</v>
      </c>
      <c r="L8" s="24">
        <v>4500</v>
      </c>
      <c r="M8" s="25">
        <v>182.54</v>
      </c>
      <c r="N8" s="26">
        <f>(M9-M8)*12000</f>
        <v>480.00000000024602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399</v>
      </c>
      <c r="E9" s="134"/>
      <c r="F9" s="133" t="s">
        <v>26</v>
      </c>
      <c r="G9" s="134"/>
      <c r="H9" s="20">
        <f t="shared" si="0"/>
        <v>399</v>
      </c>
      <c r="I9" s="21">
        <f t="shared" si="1"/>
        <v>399</v>
      </c>
      <c r="J9" s="22">
        <f t="shared" si="2"/>
        <v>1</v>
      </c>
      <c r="K9" s="23">
        <v>8.3333333333333301E-2</v>
      </c>
      <c r="L9" s="24">
        <v>4200</v>
      </c>
      <c r="M9" s="31">
        <v>182.58</v>
      </c>
      <c r="N9" s="26">
        <f t="shared" ref="N9:N30" si="3">(M10-M9)*12000</f>
        <v>360.00000000001398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387</v>
      </c>
      <c r="E10" s="134"/>
      <c r="F10" s="133" t="s">
        <v>26</v>
      </c>
      <c r="G10" s="134"/>
      <c r="H10" s="20">
        <f t="shared" si="0"/>
        <v>387</v>
      </c>
      <c r="I10" s="21">
        <f t="shared" si="1"/>
        <v>387</v>
      </c>
      <c r="J10" s="22">
        <f t="shared" si="2"/>
        <v>1</v>
      </c>
      <c r="K10" s="23">
        <v>0.125</v>
      </c>
      <c r="L10" s="24">
        <v>4200</v>
      </c>
      <c r="M10" s="31">
        <v>182.61</v>
      </c>
      <c r="N10" s="26">
        <f t="shared" si="3"/>
        <v>479.99999999990501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382</v>
      </c>
      <c r="E11" s="134"/>
      <c r="F11" s="133" t="s">
        <v>26</v>
      </c>
      <c r="G11" s="134"/>
      <c r="H11" s="20">
        <f t="shared" si="0"/>
        <v>382</v>
      </c>
      <c r="I11" s="21">
        <f t="shared" si="1"/>
        <v>382</v>
      </c>
      <c r="J11" s="22">
        <f t="shared" si="2"/>
        <v>1</v>
      </c>
      <c r="K11" s="23">
        <v>0.16666666666666699</v>
      </c>
      <c r="L11" s="24">
        <v>4000</v>
      </c>
      <c r="M11" s="31">
        <v>182.65</v>
      </c>
      <c r="N11" s="26">
        <f t="shared" si="3"/>
        <v>479.99999999990501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>
        <v>379</v>
      </c>
      <c r="E12" s="134"/>
      <c r="F12" s="133" t="s">
        <v>26</v>
      </c>
      <c r="G12" s="134"/>
      <c r="H12" s="20">
        <f t="shared" si="0"/>
        <v>379</v>
      </c>
      <c r="I12" s="21">
        <f t="shared" si="1"/>
        <v>379</v>
      </c>
      <c r="J12" s="22">
        <f t="shared" si="2"/>
        <v>1</v>
      </c>
      <c r="K12" s="23">
        <v>0.20833333333333301</v>
      </c>
      <c r="L12" s="24">
        <v>3900</v>
      </c>
      <c r="M12" s="31">
        <v>182.69</v>
      </c>
      <c r="N12" s="26">
        <f t="shared" si="3"/>
        <v>479.99999999990501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401</v>
      </c>
      <c r="E13" s="134"/>
      <c r="F13" s="133" t="s">
        <v>26</v>
      </c>
      <c r="G13" s="134"/>
      <c r="H13" s="20">
        <f t="shared" si="0"/>
        <v>401</v>
      </c>
      <c r="I13" s="21">
        <f t="shared" si="1"/>
        <v>401</v>
      </c>
      <c r="J13" s="22">
        <f t="shared" si="2"/>
        <v>1</v>
      </c>
      <c r="K13" s="23">
        <v>0.25</v>
      </c>
      <c r="L13" s="24">
        <v>3600</v>
      </c>
      <c r="M13" s="31">
        <v>182.73</v>
      </c>
      <c r="N13" s="26">
        <f t="shared" si="3"/>
        <v>480.00000000024602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440</v>
      </c>
      <c r="E14" s="134"/>
      <c r="F14" s="133" t="s">
        <v>26</v>
      </c>
      <c r="G14" s="134"/>
      <c r="H14" s="20">
        <f t="shared" si="0"/>
        <v>440</v>
      </c>
      <c r="I14" s="21">
        <f t="shared" si="1"/>
        <v>440</v>
      </c>
      <c r="J14" s="22">
        <f t="shared" si="2"/>
        <v>1</v>
      </c>
      <c r="K14" s="23">
        <v>0.29166666666666702</v>
      </c>
      <c r="L14" s="24">
        <v>3600</v>
      </c>
      <c r="M14" s="31">
        <v>182.77</v>
      </c>
      <c r="N14" s="26">
        <f t="shared" si="3"/>
        <v>479.99999999990501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261</v>
      </c>
      <c r="E15" s="134"/>
      <c r="F15" s="133">
        <v>234</v>
      </c>
      <c r="G15" s="134"/>
      <c r="H15" s="20">
        <f t="shared" si="0"/>
        <v>495</v>
      </c>
      <c r="I15" s="21">
        <f t="shared" si="1"/>
        <v>247.5</v>
      </c>
      <c r="J15" s="22">
        <f t="shared" si="2"/>
        <v>2</v>
      </c>
      <c r="K15" s="23">
        <v>0.33333333333333298</v>
      </c>
      <c r="L15" s="24">
        <v>3600</v>
      </c>
      <c r="M15" s="31">
        <v>182.81</v>
      </c>
      <c r="N15" s="26">
        <f t="shared" si="3"/>
        <v>600.00000000013597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250</v>
      </c>
      <c r="E16" s="134"/>
      <c r="F16" s="133">
        <v>231</v>
      </c>
      <c r="G16" s="134"/>
      <c r="H16" s="20">
        <f t="shared" si="0"/>
        <v>481</v>
      </c>
      <c r="I16" s="21">
        <f t="shared" si="1"/>
        <v>240.5</v>
      </c>
      <c r="J16" s="22">
        <f t="shared" si="2"/>
        <v>2</v>
      </c>
      <c r="K16" s="23">
        <v>0.375</v>
      </c>
      <c r="L16" s="24">
        <v>3600</v>
      </c>
      <c r="M16" s="31">
        <v>182.86</v>
      </c>
      <c r="N16" s="26">
        <f t="shared" si="3"/>
        <v>479.99999999990501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443</v>
      </c>
      <c r="E17" s="134"/>
      <c r="F17" s="133" t="s">
        <v>26</v>
      </c>
      <c r="G17" s="134"/>
      <c r="H17" s="20">
        <f t="shared" si="0"/>
        <v>443</v>
      </c>
      <c r="I17" s="21">
        <f t="shared" si="1"/>
        <v>443</v>
      </c>
      <c r="J17" s="22">
        <f t="shared" si="2"/>
        <v>1</v>
      </c>
      <c r="K17" s="23">
        <v>0.41666666666666602</v>
      </c>
      <c r="L17" s="24">
        <v>3400</v>
      </c>
      <c r="M17" s="31">
        <v>182.9</v>
      </c>
      <c r="N17" s="26">
        <f>(M22-M17)*12000</f>
        <v>2279.99999999997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428</v>
      </c>
      <c r="E18" s="134"/>
      <c r="F18" s="133" t="s">
        <v>26</v>
      </c>
      <c r="G18" s="134"/>
      <c r="H18" s="20">
        <f t="shared" si="0"/>
        <v>428</v>
      </c>
      <c r="I18" s="21">
        <f t="shared" si="1"/>
        <v>428</v>
      </c>
      <c r="J18" s="22">
        <f t="shared" si="2"/>
        <v>1</v>
      </c>
      <c r="K18" s="23">
        <v>0.45833333333333298</v>
      </c>
      <c r="L18" s="24">
        <v>3300</v>
      </c>
      <c r="M18" s="31">
        <v>182.94</v>
      </c>
      <c r="N18" s="26">
        <f t="shared" si="3"/>
        <v>479.99999999990501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412</v>
      </c>
      <c r="E19" s="134"/>
      <c r="F19" s="133" t="s">
        <v>26</v>
      </c>
      <c r="G19" s="134"/>
      <c r="H19" s="20">
        <f t="shared" si="0"/>
        <v>412</v>
      </c>
      <c r="I19" s="21">
        <f t="shared" si="1"/>
        <v>412</v>
      </c>
      <c r="J19" s="22">
        <f t="shared" si="2"/>
        <v>1</v>
      </c>
      <c r="K19" s="23">
        <v>0.5</v>
      </c>
      <c r="L19" s="24">
        <v>3300</v>
      </c>
      <c r="M19" s="31">
        <v>182.98</v>
      </c>
      <c r="N19" s="26">
        <f t="shared" si="3"/>
        <v>480.00000000024602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388</v>
      </c>
      <c r="E20" s="134"/>
      <c r="F20" s="133" t="s">
        <v>26</v>
      </c>
      <c r="G20" s="134"/>
      <c r="H20" s="20">
        <f t="shared" si="0"/>
        <v>388</v>
      </c>
      <c r="I20" s="21">
        <f t="shared" si="1"/>
        <v>388</v>
      </c>
      <c r="J20" s="22">
        <f t="shared" si="2"/>
        <v>1</v>
      </c>
      <c r="K20" s="23">
        <v>0.54166666666666696</v>
      </c>
      <c r="L20" s="24">
        <v>3000</v>
      </c>
      <c r="M20" s="31">
        <v>183.02</v>
      </c>
      <c r="N20" s="26">
        <f t="shared" si="3"/>
        <v>360.00000000001398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>
        <v>371</v>
      </c>
      <c r="E21" s="134"/>
      <c r="F21" s="133" t="s">
        <v>26</v>
      </c>
      <c r="G21" s="134"/>
      <c r="H21" s="20">
        <f t="shared" si="0"/>
        <v>371</v>
      </c>
      <c r="I21" s="21">
        <f t="shared" si="1"/>
        <v>371</v>
      </c>
      <c r="J21" s="22">
        <f t="shared" si="2"/>
        <v>1</v>
      </c>
      <c r="K21" s="23">
        <v>0.58333333333333304</v>
      </c>
      <c r="L21" s="24">
        <v>3000</v>
      </c>
      <c r="M21" s="31">
        <v>183.05</v>
      </c>
      <c r="N21" s="26">
        <v>0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>
        <v>363</v>
      </c>
      <c r="E22" s="134"/>
      <c r="F22" s="133" t="s">
        <v>26</v>
      </c>
      <c r="G22" s="134"/>
      <c r="H22" s="20">
        <f t="shared" si="0"/>
        <v>363</v>
      </c>
      <c r="I22" s="21">
        <f t="shared" si="1"/>
        <v>363</v>
      </c>
      <c r="J22" s="22">
        <f t="shared" si="2"/>
        <v>1</v>
      </c>
      <c r="K22" s="23">
        <v>0.625</v>
      </c>
      <c r="L22" s="24">
        <v>3000</v>
      </c>
      <c r="M22" s="31">
        <v>183.09</v>
      </c>
      <c r="N22" s="26">
        <f t="shared" si="3"/>
        <v>360.00000000001398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365</v>
      </c>
      <c r="E23" s="134"/>
      <c r="F23" s="133" t="s">
        <v>26</v>
      </c>
      <c r="G23" s="134"/>
      <c r="H23" s="20">
        <f t="shared" si="0"/>
        <v>365</v>
      </c>
      <c r="I23" s="21">
        <f t="shared" si="1"/>
        <v>365</v>
      </c>
      <c r="J23" s="22">
        <f t="shared" si="2"/>
        <v>1</v>
      </c>
      <c r="K23" s="23">
        <v>0.66666666666666596</v>
      </c>
      <c r="L23" s="24">
        <v>3000</v>
      </c>
      <c r="M23" s="31">
        <v>183.12</v>
      </c>
      <c r="N23" s="26">
        <f t="shared" si="3"/>
        <v>479.99999999990501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 t="s">
        <v>26</v>
      </c>
      <c r="E24" s="134"/>
      <c r="F24" s="133">
        <v>379</v>
      </c>
      <c r="G24" s="134"/>
      <c r="H24" s="20">
        <f t="shared" si="0"/>
        <v>379</v>
      </c>
      <c r="I24" s="21">
        <f t="shared" si="1"/>
        <v>379</v>
      </c>
      <c r="J24" s="22">
        <f t="shared" si="2"/>
        <v>1</v>
      </c>
      <c r="K24" s="23">
        <v>0.70833333333333304</v>
      </c>
      <c r="L24" s="24">
        <v>2700</v>
      </c>
      <c r="M24" s="31">
        <v>183.16</v>
      </c>
      <c r="N24" s="26">
        <f t="shared" si="3"/>
        <v>479.99999999990501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 t="s">
        <v>26</v>
      </c>
      <c r="E25" s="134"/>
      <c r="F25" s="133">
        <v>394</v>
      </c>
      <c r="G25" s="134"/>
      <c r="H25" s="20">
        <f t="shared" si="0"/>
        <v>394</v>
      </c>
      <c r="I25" s="21">
        <f t="shared" si="1"/>
        <v>394</v>
      </c>
      <c r="J25" s="22">
        <f t="shared" si="2"/>
        <v>1</v>
      </c>
      <c r="K25" s="23">
        <v>0.75</v>
      </c>
      <c r="L25" s="24">
        <v>2400</v>
      </c>
      <c r="M25" s="31">
        <v>183.2</v>
      </c>
      <c r="N25" s="26">
        <f t="shared" si="3"/>
        <v>480.00000000024602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264</v>
      </c>
      <c r="E26" s="134"/>
      <c r="F26" s="133">
        <v>274</v>
      </c>
      <c r="G26" s="134"/>
      <c r="H26" s="20">
        <f t="shared" si="0"/>
        <v>538</v>
      </c>
      <c r="I26" s="21">
        <f t="shared" si="1"/>
        <v>269</v>
      </c>
      <c r="J26" s="22">
        <f t="shared" si="2"/>
        <v>2</v>
      </c>
      <c r="K26" s="23">
        <v>0.79166666666666596</v>
      </c>
      <c r="L26" s="24">
        <v>2100</v>
      </c>
      <c r="M26" s="31">
        <v>183.24</v>
      </c>
      <c r="N26" s="26">
        <f t="shared" si="3"/>
        <v>599.99999999979502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298</v>
      </c>
      <c r="E27" s="134"/>
      <c r="F27" s="133">
        <v>303</v>
      </c>
      <c r="G27" s="134"/>
      <c r="H27" s="20">
        <f t="shared" si="0"/>
        <v>601</v>
      </c>
      <c r="I27" s="21">
        <f t="shared" si="1"/>
        <v>300.5</v>
      </c>
      <c r="J27" s="22">
        <f t="shared" si="2"/>
        <v>2</v>
      </c>
      <c r="K27" s="23">
        <v>0.83333333333333304</v>
      </c>
      <c r="L27" s="24">
        <v>2100</v>
      </c>
      <c r="M27" s="31">
        <v>183.29</v>
      </c>
      <c r="N27" s="26">
        <f t="shared" si="3"/>
        <v>480.00000000024602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283</v>
      </c>
      <c r="E28" s="134"/>
      <c r="F28" s="133">
        <v>280</v>
      </c>
      <c r="G28" s="134"/>
      <c r="H28" s="20">
        <f t="shared" si="0"/>
        <v>563</v>
      </c>
      <c r="I28" s="21">
        <f t="shared" si="1"/>
        <v>281.5</v>
      </c>
      <c r="J28" s="22">
        <f t="shared" si="2"/>
        <v>2</v>
      </c>
      <c r="K28" s="23">
        <v>0.875</v>
      </c>
      <c r="L28" s="24">
        <v>1800</v>
      </c>
      <c r="M28" s="31">
        <v>183.33</v>
      </c>
      <c r="N28" s="26">
        <f t="shared" si="3"/>
        <v>599.99999999979502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404</v>
      </c>
      <c r="E29" s="134"/>
      <c r="F29" s="133" t="s">
        <v>26</v>
      </c>
      <c r="G29" s="134"/>
      <c r="H29" s="20">
        <f t="shared" si="0"/>
        <v>404</v>
      </c>
      <c r="I29" s="21">
        <f t="shared" si="1"/>
        <v>404</v>
      </c>
      <c r="J29" s="22">
        <f t="shared" si="2"/>
        <v>1</v>
      </c>
      <c r="K29" s="23">
        <v>0.91666666666666596</v>
      </c>
      <c r="L29" s="24">
        <v>1800</v>
      </c>
      <c r="M29" s="31">
        <v>183.38</v>
      </c>
      <c r="N29" s="26">
        <f t="shared" si="3"/>
        <v>479.99999999990501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378</v>
      </c>
      <c r="E30" s="134"/>
      <c r="F30" s="133" t="s">
        <v>26</v>
      </c>
      <c r="G30" s="134"/>
      <c r="H30" s="20">
        <f t="shared" si="0"/>
        <v>378</v>
      </c>
      <c r="I30" s="21">
        <f t="shared" si="1"/>
        <v>378</v>
      </c>
      <c r="J30" s="22">
        <f t="shared" si="2"/>
        <v>1</v>
      </c>
      <c r="K30" s="23">
        <v>0.95833333333333304</v>
      </c>
      <c r="L30" s="24">
        <v>1800</v>
      </c>
      <c r="M30" s="31">
        <v>183.42</v>
      </c>
      <c r="N30" s="26">
        <f t="shared" si="3"/>
        <v>360.00000000001398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347</v>
      </c>
      <c r="E31" s="134"/>
      <c r="F31" s="133" t="s">
        <v>26</v>
      </c>
      <c r="G31" s="134"/>
      <c r="H31" s="20">
        <f t="shared" si="0"/>
        <v>347</v>
      </c>
      <c r="I31" s="35">
        <f t="shared" si="1"/>
        <v>347</v>
      </c>
      <c r="J31" s="36">
        <f t="shared" si="2"/>
        <v>1</v>
      </c>
      <c r="K31" s="37">
        <v>1</v>
      </c>
      <c r="L31" s="24">
        <v>4500</v>
      </c>
      <c r="M31" s="38">
        <v>183.45</v>
      </c>
      <c r="N31" s="26">
        <f>H31</f>
        <v>347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8.0500000000000007</v>
      </c>
      <c r="E32" s="136"/>
      <c r="F32" s="135">
        <f>SUM(F8:F31)/1000</f>
        <v>2.0950000000000002</v>
      </c>
      <c r="G32" s="136"/>
      <c r="H32" s="40">
        <f>SUM(H8:H31)</f>
        <v>10145</v>
      </c>
      <c r="I32" s="41" t="s">
        <v>13</v>
      </c>
      <c r="J32" s="42"/>
      <c r="K32" s="43"/>
      <c r="L32" s="44"/>
      <c r="M32" s="45">
        <f>SUM(M31-M8+N8)</f>
        <v>480.91000000024599</v>
      </c>
      <c r="N32" s="46">
        <f>SUM(N8:N31)</f>
        <v>12587.0000000001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365.90909090909099</v>
      </c>
      <c r="E33" s="116"/>
      <c r="F33" s="119">
        <f>IFERROR((AVERAGE(F8:F31)),"0")</f>
        <v>299.28571428571399</v>
      </c>
      <c r="G33" s="121"/>
      <c r="H33" s="147">
        <f>H32*1000</f>
        <v>10145000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22</v>
      </c>
      <c r="E35" s="162"/>
      <c r="F35" s="163">
        <f>COUNT(F8:F31)</f>
        <v>7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29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601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422.70833333333297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347</v>
      </c>
      <c r="D41" s="126"/>
      <c r="E41" s="73">
        <f>VLOOKUP(C41,H8:L31,4,FALSE)</f>
        <v>1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366.91666666666703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-402.67041666665602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67" priority="11" operator="equal">
      <formula>"STB"</formula>
    </cfRule>
    <cfRule type="cellIs" dxfId="66" priority="12" operator="equal">
      <formula>"BD"</formula>
    </cfRule>
  </conditionalFormatting>
  <conditionalFormatting sqref="B8:B31">
    <cfRule type="cellIs" dxfId="65" priority="1" operator="equal">
      <formula>"STB"</formula>
    </cfRule>
    <cfRule type="cellIs" dxfId="64" priority="2" operator="equal">
      <formula>"BD"</formula>
    </cfRule>
  </conditionalFormatting>
  <conditionalFormatting sqref="D8:D31">
    <cfRule type="cellIs" dxfId="63" priority="8" operator="equal">
      <formula>"STB"</formula>
    </cfRule>
    <cfRule type="cellIs" dxfId="62" priority="9" operator="equal">
      <formula>"BD"</formula>
    </cfRule>
  </conditionalFormatting>
  <conditionalFormatting sqref="F8:F31">
    <cfRule type="cellIs" dxfId="61" priority="3" operator="equal">
      <formula>"STB"</formula>
    </cfRule>
    <cfRule type="cellIs" dxfId="60" priority="4" operator="equal">
      <formula>"BD"</formula>
    </cfRule>
  </conditionalFormatting>
  <conditionalFormatting sqref="H8:H31">
    <cfRule type="top10" dxfId="59" priority="5" bottom="1" rank="1"/>
    <cfRule type="top10" dxfId="58" priority="6" rank="1"/>
    <cfRule type="cellIs" dxfId="57" priority="7" stopIfTrue="1" operator="equal">
      <formula>28000</formula>
    </cfRule>
  </conditionalFormatting>
  <conditionalFormatting sqref="H32:H33">
    <cfRule type="top10" dxfId="56" priority="14" bottom="1" rank="1"/>
    <cfRule type="top10" dxfId="55" priority="15" rank="1"/>
    <cfRule type="cellIs" dxfId="54" priority="17" stopIfTrue="1" operator="equal">
      <formula>28000</formula>
    </cfRule>
  </conditionalFormatting>
  <conditionalFormatting sqref="N8 N9:O31">
    <cfRule type="cellIs" dxfId="53" priority="16" operator="equal">
      <formula>"BD"</formula>
    </cfRule>
  </conditionalFormatting>
  <conditionalFormatting sqref="O8">
    <cfRule type="cellIs" dxfId="52" priority="10" operator="equal">
      <formula>"N/A"</formula>
    </cfRule>
  </conditionalFormatting>
  <conditionalFormatting sqref="Y8:Y31">
    <cfRule type="containsText" dxfId="51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A1:AC68"/>
  <sheetViews>
    <sheetView zoomScale="80" zoomScaleNormal="80" workbookViewId="0">
      <pane ySplit="7" topLeftCell="A21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'[29]Taniwel daily'!C4</f>
        <v>45320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218</v>
      </c>
      <c r="E8" s="134"/>
      <c r="F8" s="133">
        <v>232</v>
      </c>
      <c r="G8" s="134"/>
      <c r="H8" s="20">
        <f t="shared" ref="H8:H31" si="0">IF(SUM(B8:G8)/1000=0,"0",SUM(B8:G8))</f>
        <v>450</v>
      </c>
      <c r="I8" s="21">
        <f t="shared" ref="I8:I31" si="1">IFERROR(AVERAGE(B8:G8),"0")</f>
        <v>225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183.49</v>
      </c>
      <c r="N8" s="26">
        <f>(M9-M8)*12000</f>
        <v>479.99999999990501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 t="s">
        <v>26</v>
      </c>
      <c r="E9" s="134"/>
      <c r="F9" s="133">
        <v>434</v>
      </c>
      <c r="G9" s="134"/>
      <c r="H9" s="20">
        <f t="shared" si="0"/>
        <v>434</v>
      </c>
      <c r="I9" s="21">
        <f t="shared" si="1"/>
        <v>434</v>
      </c>
      <c r="J9" s="22">
        <f t="shared" si="2"/>
        <v>1</v>
      </c>
      <c r="K9" s="23">
        <v>8.3333333333333301E-2</v>
      </c>
      <c r="L9" s="24">
        <v>4200</v>
      </c>
      <c r="M9" s="31">
        <v>183.53</v>
      </c>
      <c r="N9" s="26">
        <f t="shared" ref="N9:N15" si="3">(M10-M9)*12000</f>
        <v>360.00000000001398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 t="s">
        <v>26</v>
      </c>
      <c r="E10" s="134"/>
      <c r="F10" s="133">
        <v>119</v>
      </c>
      <c r="G10" s="134"/>
      <c r="H10" s="20">
        <f t="shared" si="0"/>
        <v>119</v>
      </c>
      <c r="I10" s="21">
        <f t="shared" si="1"/>
        <v>119</v>
      </c>
      <c r="J10" s="22">
        <f t="shared" si="2"/>
        <v>1</v>
      </c>
      <c r="K10" s="23">
        <v>0.125</v>
      </c>
      <c r="L10" s="24">
        <v>4200</v>
      </c>
      <c r="M10" s="31">
        <v>183.56</v>
      </c>
      <c r="N10" s="26">
        <f t="shared" si="3"/>
        <v>240.00000000012301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 t="s">
        <v>26</v>
      </c>
      <c r="E11" s="134"/>
      <c r="F11" s="133">
        <v>299</v>
      </c>
      <c r="G11" s="134"/>
      <c r="H11" s="20">
        <f t="shared" si="0"/>
        <v>299</v>
      </c>
      <c r="I11" s="21">
        <f t="shared" si="1"/>
        <v>299</v>
      </c>
      <c r="J11" s="22">
        <f t="shared" si="2"/>
        <v>1</v>
      </c>
      <c r="K11" s="23">
        <v>0.16666666666666699</v>
      </c>
      <c r="L11" s="24">
        <v>4000</v>
      </c>
      <c r="M11" s="31">
        <v>183.58</v>
      </c>
      <c r="N11" s="26">
        <f t="shared" si="3"/>
        <v>360.00000000001398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 t="s">
        <v>26</v>
      </c>
      <c r="E12" s="134"/>
      <c r="F12" s="133">
        <v>275</v>
      </c>
      <c r="G12" s="134"/>
      <c r="H12" s="20">
        <f t="shared" si="0"/>
        <v>275</v>
      </c>
      <c r="I12" s="21">
        <f t="shared" si="1"/>
        <v>275</v>
      </c>
      <c r="J12" s="22">
        <f t="shared" si="2"/>
        <v>1</v>
      </c>
      <c r="K12" s="23">
        <v>0.20833333333333301</v>
      </c>
      <c r="L12" s="24">
        <v>3900</v>
      </c>
      <c r="M12" s="31">
        <v>183.61</v>
      </c>
      <c r="N12" s="26">
        <f t="shared" si="3"/>
        <v>359.99999999967298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 t="s">
        <v>26</v>
      </c>
      <c r="E13" s="134"/>
      <c r="F13" s="133">
        <v>297</v>
      </c>
      <c r="G13" s="134"/>
      <c r="H13" s="20">
        <f t="shared" si="0"/>
        <v>297</v>
      </c>
      <c r="I13" s="21">
        <f t="shared" si="1"/>
        <v>297</v>
      </c>
      <c r="J13" s="22">
        <f t="shared" si="2"/>
        <v>1</v>
      </c>
      <c r="K13" s="23">
        <v>0.25</v>
      </c>
      <c r="L13" s="24">
        <v>3600</v>
      </c>
      <c r="M13" s="31">
        <v>183.64</v>
      </c>
      <c r="N13" s="26">
        <f t="shared" si="3"/>
        <v>360.00000000001398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 t="s">
        <v>26</v>
      </c>
      <c r="E14" s="134"/>
      <c r="F14" s="133">
        <v>338</v>
      </c>
      <c r="G14" s="134"/>
      <c r="H14" s="20">
        <f t="shared" si="0"/>
        <v>338</v>
      </c>
      <c r="I14" s="21">
        <f t="shared" si="1"/>
        <v>338</v>
      </c>
      <c r="J14" s="22">
        <f t="shared" si="2"/>
        <v>1</v>
      </c>
      <c r="K14" s="23">
        <v>0.29166666666666702</v>
      </c>
      <c r="L14" s="24">
        <v>3600</v>
      </c>
      <c r="M14" s="31">
        <v>183.67</v>
      </c>
      <c r="N14" s="26">
        <f t="shared" si="3"/>
        <v>360.00000000001398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 t="s">
        <v>26</v>
      </c>
      <c r="E15" s="134"/>
      <c r="F15" s="133">
        <v>286</v>
      </c>
      <c r="G15" s="134"/>
      <c r="H15" s="20">
        <f t="shared" si="0"/>
        <v>286</v>
      </c>
      <c r="I15" s="21">
        <f t="shared" si="1"/>
        <v>286</v>
      </c>
      <c r="J15" s="22">
        <f t="shared" si="2"/>
        <v>1</v>
      </c>
      <c r="K15" s="23">
        <v>0.33333333333333298</v>
      </c>
      <c r="L15" s="24">
        <v>3600</v>
      </c>
      <c r="M15" s="31">
        <v>183.7</v>
      </c>
      <c r="N15" s="26">
        <f t="shared" si="3"/>
        <v>360.00000000001398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 t="s">
        <v>26</v>
      </c>
      <c r="E16" s="134"/>
      <c r="F16" s="133">
        <v>346</v>
      </c>
      <c r="G16" s="134"/>
      <c r="H16" s="20">
        <f t="shared" si="0"/>
        <v>346</v>
      </c>
      <c r="I16" s="21">
        <f t="shared" si="1"/>
        <v>346</v>
      </c>
      <c r="J16" s="22">
        <f t="shared" si="2"/>
        <v>1</v>
      </c>
      <c r="K16" s="23">
        <v>0.375</v>
      </c>
      <c r="L16" s="24">
        <v>3600</v>
      </c>
      <c r="M16" s="31">
        <v>183.73</v>
      </c>
      <c r="N16" s="26">
        <f t="shared" ref="N16:N30" si="4">(M17-M16)*12000</f>
        <v>360.00000000001398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 t="s">
        <v>26</v>
      </c>
      <c r="E17" s="134"/>
      <c r="F17" s="133">
        <v>341</v>
      </c>
      <c r="G17" s="134"/>
      <c r="H17" s="20">
        <f t="shared" si="0"/>
        <v>341</v>
      </c>
      <c r="I17" s="21">
        <f t="shared" si="1"/>
        <v>341</v>
      </c>
      <c r="J17" s="22">
        <f t="shared" si="2"/>
        <v>1</v>
      </c>
      <c r="K17" s="23">
        <v>0.41666666666666602</v>
      </c>
      <c r="L17" s="24">
        <v>3400</v>
      </c>
      <c r="M17" s="31">
        <v>183.76</v>
      </c>
      <c r="N17" s="26">
        <f t="shared" si="4"/>
        <v>360.00000000001398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 t="s">
        <v>26</v>
      </c>
      <c r="E18" s="134"/>
      <c r="F18" s="133">
        <v>330</v>
      </c>
      <c r="G18" s="134"/>
      <c r="H18" s="20">
        <f t="shared" si="0"/>
        <v>330</v>
      </c>
      <c r="I18" s="21">
        <f t="shared" si="1"/>
        <v>330</v>
      </c>
      <c r="J18" s="22">
        <f t="shared" si="2"/>
        <v>1</v>
      </c>
      <c r="K18" s="23">
        <v>0.45833333333333298</v>
      </c>
      <c r="L18" s="24">
        <v>3300</v>
      </c>
      <c r="M18" s="31">
        <v>183.79</v>
      </c>
      <c r="N18" s="26">
        <f t="shared" si="4"/>
        <v>360.00000000001398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 t="s">
        <v>26</v>
      </c>
      <c r="E19" s="134"/>
      <c r="F19" s="133">
        <v>354</v>
      </c>
      <c r="G19" s="134"/>
      <c r="H19" s="20">
        <f t="shared" si="0"/>
        <v>354</v>
      </c>
      <c r="I19" s="21">
        <f t="shared" si="1"/>
        <v>354</v>
      </c>
      <c r="J19" s="22">
        <f t="shared" si="2"/>
        <v>1</v>
      </c>
      <c r="K19" s="23">
        <v>0.5</v>
      </c>
      <c r="L19" s="24">
        <v>3300</v>
      </c>
      <c r="M19" s="31">
        <v>183.82</v>
      </c>
      <c r="N19" s="26">
        <f t="shared" si="4"/>
        <v>360.00000000001398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 t="s">
        <v>26</v>
      </c>
      <c r="E20" s="134"/>
      <c r="F20" s="133">
        <v>262</v>
      </c>
      <c r="G20" s="134"/>
      <c r="H20" s="20">
        <f t="shared" si="0"/>
        <v>262</v>
      </c>
      <c r="I20" s="21">
        <f t="shared" si="1"/>
        <v>262</v>
      </c>
      <c r="J20" s="22">
        <f t="shared" si="2"/>
        <v>1</v>
      </c>
      <c r="K20" s="23">
        <v>0.54166666666666696</v>
      </c>
      <c r="L20" s="24">
        <v>3000</v>
      </c>
      <c r="M20" s="31">
        <v>183.85</v>
      </c>
      <c r="N20" s="26">
        <f t="shared" si="4"/>
        <v>360.00000000001398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>
        <v>357</v>
      </c>
      <c r="E21" s="134"/>
      <c r="F21" s="133" t="s">
        <v>26</v>
      </c>
      <c r="G21" s="134"/>
      <c r="H21" s="20">
        <f t="shared" si="0"/>
        <v>357</v>
      </c>
      <c r="I21" s="21">
        <f t="shared" si="1"/>
        <v>357</v>
      </c>
      <c r="J21" s="22">
        <f t="shared" si="2"/>
        <v>1</v>
      </c>
      <c r="K21" s="23">
        <v>0.58333333333333304</v>
      </c>
      <c r="L21" s="24">
        <v>3000</v>
      </c>
      <c r="M21" s="31">
        <v>183.88</v>
      </c>
      <c r="N21" s="26">
        <f t="shared" si="4"/>
        <v>240.00000000012301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>
        <v>176</v>
      </c>
      <c r="E22" s="134"/>
      <c r="F22" s="133" t="s">
        <v>26</v>
      </c>
      <c r="G22" s="134"/>
      <c r="H22" s="20">
        <f t="shared" si="0"/>
        <v>176</v>
      </c>
      <c r="I22" s="21">
        <f t="shared" si="1"/>
        <v>176</v>
      </c>
      <c r="J22" s="22">
        <f t="shared" si="2"/>
        <v>1</v>
      </c>
      <c r="K22" s="23">
        <v>0.625</v>
      </c>
      <c r="L22" s="24">
        <v>3000</v>
      </c>
      <c r="M22" s="31">
        <v>183.9</v>
      </c>
      <c r="N22" s="26">
        <f t="shared" si="4"/>
        <v>119.999999999891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242</v>
      </c>
      <c r="E23" s="134"/>
      <c r="F23" s="133" t="s">
        <v>26</v>
      </c>
      <c r="G23" s="134"/>
      <c r="H23" s="20">
        <f t="shared" si="0"/>
        <v>242</v>
      </c>
      <c r="I23" s="21">
        <f t="shared" si="1"/>
        <v>242</v>
      </c>
      <c r="J23" s="22">
        <f t="shared" si="2"/>
        <v>1</v>
      </c>
      <c r="K23" s="23">
        <v>0.66666666666666596</v>
      </c>
      <c r="L23" s="24">
        <v>3000</v>
      </c>
      <c r="M23" s="31">
        <v>183.91</v>
      </c>
      <c r="N23" s="26">
        <f t="shared" si="4"/>
        <v>360.00000000001398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192</v>
      </c>
      <c r="E24" s="134"/>
      <c r="F24" s="133">
        <v>183</v>
      </c>
      <c r="G24" s="134"/>
      <c r="H24" s="20">
        <f t="shared" si="0"/>
        <v>375</v>
      </c>
      <c r="I24" s="21">
        <f t="shared" si="1"/>
        <v>187.5</v>
      </c>
      <c r="J24" s="22">
        <f t="shared" si="2"/>
        <v>2</v>
      </c>
      <c r="K24" s="23">
        <v>0.70833333333333304</v>
      </c>
      <c r="L24" s="24">
        <v>2700</v>
      </c>
      <c r="M24" s="31">
        <v>183.94</v>
      </c>
      <c r="N24" s="26">
        <f t="shared" si="4"/>
        <v>479.99999999990501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210</v>
      </c>
      <c r="E25" s="134"/>
      <c r="F25" s="133">
        <v>213</v>
      </c>
      <c r="G25" s="134"/>
      <c r="H25" s="20">
        <f t="shared" si="0"/>
        <v>423</v>
      </c>
      <c r="I25" s="21">
        <f t="shared" si="1"/>
        <v>211.5</v>
      </c>
      <c r="J25" s="22">
        <f t="shared" si="2"/>
        <v>2</v>
      </c>
      <c r="K25" s="23">
        <v>0.75</v>
      </c>
      <c r="L25" s="24">
        <v>2400</v>
      </c>
      <c r="M25" s="31">
        <v>183.98</v>
      </c>
      <c r="N25" s="26">
        <f t="shared" si="4"/>
        <v>480.00000000024602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250</v>
      </c>
      <c r="E26" s="134"/>
      <c r="F26" s="133">
        <v>252</v>
      </c>
      <c r="G26" s="134"/>
      <c r="H26" s="20">
        <f t="shared" si="0"/>
        <v>502</v>
      </c>
      <c r="I26" s="21">
        <f t="shared" si="1"/>
        <v>251</v>
      </c>
      <c r="J26" s="22">
        <f t="shared" si="2"/>
        <v>2</v>
      </c>
      <c r="K26" s="23">
        <v>0.79166666666666596</v>
      </c>
      <c r="L26" s="24">
        <v>2100</v>
      </c>
      <c r="M26" s="31">
        <v>184.02</v>
      </c>
      <c r="N26" s="26">
        <f t="shared" si="4"/>
        <v>599.99999999979502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288</v>
      </c>
      <c r="E27" s="134"/>
      <c r="F27" s="133">
        <v>271</v>
      </c>
      <c r="G27" s="134"/>
      <c r="H27" s="20">
        <f t="shared" si="0"/>
        <v>559</v>
      </c>
      <c r="I27" s="21">
        <f t="shared" si="1"/>
        <v>279.5</v>
      </c>
      <c r="J27" s="22">
        <f t="shared" si="2"/>
        <v>2</v>
      </c>
      <c r="K27" s="23">
        <v>0.83333333333333304</v>
      </c>
      <c r="L27" s="24">
        <v>2100</v>
      </c>
      <c r="M27" s="31">
        <v>184.07</v>
      </c>
      <c r="N27" s="26">
        <f t="shared" si="4"/>
        <v>720.00000000002694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282</v>
      </c>
      <c r="E28" s="134"/>
      <c r="F28" s="133">
        <v>294</v>
      </c>
      <c r="G28" s="134"/>
      <c r="H28" s="20">
        <f t="shared" si="0"/>
        <v>576</v>
      </c>
      <c r="I28" s="21">
        <f t="shared" si="1"/>
        <v>288</v>
      </c>
      <c r="J28" s="22">
        <f t="shared" si="2"/>
        <v>2</v>
      </c>
      <c r="K28" s="23">
        <v>0.875</v>
      </c>
      <c r="L28" s="24">
        <v>1800</v>
      </c>
      <c r="M28" s="31">
        <v>184.13</v>
      </c>
      <c r="N28" s="26">
        <f t="shared" si="4"/>
        <v>720.00000000002694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302</v>
      </c>
      <c r="E29" s="134"/>
      <c r="F29" s="133">
        <v>308</v>
      </c>
      <c r="G29" s="134"/>
      <c r="H29" s="20">
        <f t="shared" si="0"/>
        <v>610</v>
      </c>
      <c r="I29" s="21">
        <f t="shared" si="1"/>
        <v>305</v>
      </c>
      <c r="J29" s="22">
        <f t="shared" si="2"/>
        <v>2</v>
      </c>
      <c r="K29" s="23">
        <v>0.91666666666666596</v>
      </c>
      <c r="L29" s="24">
        <v>1800</v>
      </c>
      <c r="M29" s="31">
        <v>184.19</v>
      </c>
      <c r="N29" s="26">
        <f t="shared" si="4"/>
        <v>600.00000000013597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280</v>
      </c>
      <c r="E30" s="134"/>
      <c r="F30" s="133">
        <v>285</v>
      </c>
      <c r="G30" s="134"/>
      <c r="H30" s="20">
        <f t="shared" si="0"/>
        <v>565</v>
      </c>
      <c r="I30" s="21">
        <f t="shared" si="1"/>
        <v>282.5</v>
      </c>
      <c r="J30" s="22">
        <f t="shared" si="2"/>
        <v>2</v>
      </c>
      <c r="K30" s="23">
        <v>0.95833333333333304</v>
      </c>
      <c r="L30" s="24">
        <v>1800</v>
      </c>
      <c r="M30" s="31">
        <v>184.24</v>
      </c>
      <c r="N30" s="26">
        <f t="shared" si="4"/>
        <v>599.99999999979502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261</v>
      </c>
      <c r="E31" s="134"/>
      <c r="F31" s="133">
        <v>267</v>
      </c>
      <c r="G31" s="134"/>
      <c r="H31" s="20">
        <f t="shared" si="0"/>
        <v>528</v>
      </c>
      <c r="I31" s="35">
        <f t="shared" si="1"/>
        <v>264</v>
      </c>
      <c r="J31" s="36">
        <f t="shared" si="2"/>
        <v>2</v>
      </c>
      <c r="K31" s="37">
        <v>1</v>
      </c>
      <c r="L31" s="24">
        <v>4500</v>
      </c>
      <c r="M31" s="38">
        <v>184.29</v>
      </c>
      <c r="N31" s="26">
        <f>H31</f>
        <v>528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3.0579999999999998</v>
      </c>
      <c r="E32" s="136"/>
      <c r="F32" s="135">
        <f>SUM(F8:F31)/1000</f>
        <v>5.9859999999999998</v>
      </c>
      <c r="G32" s="136"/>
      <c r="H32" s="40">
        <f>SUM(H8:H31)</f>
        <v>9044</v>
      </c>
      <c r="I32" s="41" t="s">
        <v>13</v>
      </c>
      <c r="J32" s="42"/>
      <c r="K32" s="43"/>
      <c r="L32" s="44"/>
      <c r="M32" s="45">
        <f>SUM(M31-M8+N8)</f>
        <v>480.799999999904</v>
      </c>
      <c r="N32" s="46">
        <f>SUM(N8:N31)</f>
        <v>10127.9999999998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254.833333333333</v>
      </c>
      <c r="E33" s="116"/>
      <c r="F33" s="119">
        <f>IFERROR((AVERAGE(F8:F31)),"0")</f>
        <v>285.04761904761898</v>
      </c>
      <c r="G33" s="121"/>
      <c r="H33" s="147">
        <f>H32*1000</f>
        <v>9044000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12</v>
      </c>
      <c r="E35" s="162"/>
      <c r="F35" s="163">
        <f>COUNT(F8:F31)</f>
        <v>21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33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610</v>
      </c>
      <c r="D39" s="126"/>
      <c r="E39" s="73">
        <f>VLOOKUP(C39,H8:L31,4,FALSE)</f>
        <v>0.91666666666666596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376.83333333333297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119</v>
      </c>
      <c r="D41" s="126"/>
      <c r="E41" s="73">
        <f>VLOOKUP(C41,H8:L31,4,FALSE)</f>
        <v>0.125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281.25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-356.80000000000399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50" priority="11" operator="equal">
      <formula>"STB"</formula>
    </cfRule>
    <cfRule type="cellIs" dxfId="49" priority="12" operator="equal">
      <formula>"BD"</formula>
    </cfRule>
  </conditionalFormatting>
  <conditionalFormatting sqref="B8:B31">
    <cfRule type="cellIs" dxfId="48" priority="1" operator="equal">
      <formula>"STB"</formula>
    </cfRule>
    <cfRule type="cellIs" dxfId="47" priority="2" operator="equal">
      <formula>"BD"</formula>
    </cfRule>
  </conditionalFormatting>
  <conditionalFormatting sqref="D8:D31">
    <cfRule type="cellIs" dxfId="46" priority="8" operator="equal">
      <formula>"STB"</formula>
    </cfRule>
    <cfRule type="cellIs" dxfId="45" priority="9" operator="equal">
      <formula>"BD"</formula>
    </cfRule>
  </conditionalFormatting>
  <conditionalFormatting sqref="F8:F31">
    <cfRule type="cellIs" dxfId="44" priority="3" operator="equal">
      <formula>"STB"</formula>
    </cfRule>
    <cfRule type="cellIs" dxfId="43" priority="4" operator="equal">
      <formula>"BD"</formula>
    </cfRule>
  </conditionalFormatting>
  <conditionalFormatting sqref="H8:H31">
    <cfRule type="top10" dxfId="42" priority="5" bottom="1" rank="1"/>
    <cfRule type="top10" dxfId="41" priority="6" rank="1"/>
    <cfRule type="cellIs" dxfId="40" priority="7" stopIfTrue="1" operator="equal">
      <formula>28000</formula>
    </cfRule>
  </conditionalFormatting>
  <conditionalFormatting sqref="H32:H33">
    <cfRule type="top10" dxfId="39" priority="14" bottom="1" rank="1"/>
    <cfRule type="top10" dxfId="38" priority="15" rank="1"/>
    <cfRule type="cellIs" dxfId="37" priority="17" stopIfTrue="1" operator="equal">
      <formula>28000</formula>
    </cfRule>
  </conditionalFormatting>
  <conditionalFormatting sqref="N8 N9:O31">
    <cfRule type="cellIs" dxfId="36" priority="16" operator="equal">
      <formula>"BD"</formula>
    </cfRule>
  </conditionalFormatting>
  <conditionalFormatting sqref="O8">
    <cfRule type="cellIs" dxfId="35" priority="10" operator="equal">
      <formula>"N/A"</formula>
    </cfRule>
  </conditionalFormatting>
  <conditionalFormatting sqref="Y8:Y31">
    <cfRule type="containsText" dxfId="34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A1:AC68"/>
  <sheetViews>
    <sheetView zoomScale="80" zoomScaleNormal="80" workbookViewId="0">
      <pane ySplit="7" topLeftCell="A16" activePane="bottomLeft" state="frozen"/>
      <selection pane="bottomLeft" activeCell="A3" sqref="A3:XFD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'[30]Taniwel daily'!C4</f>
        <v>45321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233</v>
      </c>
      <c r="E8" s="134"/>
      <c r="F8" s="133">
        <v>257</v>
      </c>
      <c r="G8" s="134"/>
      <c r="H8" s="20">
        <f t="shared" ref="H8:H31" si="0">IF(SUM(B8:G8)/1000=0,"0",SUM(B8:G8))</f>
        <v>490</v>
      </c>
      <c r="I8" s="21">
        <f t="shared" ref="I8:I31" si="1">IFERROR(AVERAGE(B8:G8),"0")</f>
        <v>245</v>
      </c>
      <c r="J8" s="22">
        <f t="shared" ref="J8:J31" si="2">COUNT(B8:G8)</f>
        <v>2</v>
      </c>
      <c r="K8" s="23">
        <v>4.1666666666666699E-2</v>
      </c>
      <c r="L8" s="24">
        <v>4500</v>
      </c>
      <c r="M8" s="105">
        <v>184.34</v>
      </c>
      <c r="N8" s="26">
        <f>(M9-M8)*12000</f>
        <v>599.99999999979502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236</v>
      </c>
      <c r="E9" s="134"/>
      <c r="F9" s="133">
        <v>243</v>
      </c>
      <c r="G9" s="134"/>
      <c r="H9" s="20">
        <f t="shared" si="0"/>
        <v>479</v>
      </c>
      <c r="I9" s="21">
        <f t="shared" si="1"/>
        <v>239.5</v>
      </c>
      <c r="J9" s="22">
        <f t="shared" si="2"/>
        <v>2</v>
      </c>
      <c r="K9" s="23">
        <v>8.3333333333333301E-2</v>
      </c>
      <c r="L9" s="24">
        <v>4200</v>
      </c>
      <c r="M9" s="106">
        <v>184.39</v>
      </c>
      <c r="N9" s="26">
        <f t="shared" ref="N9:N15" si="3">(M10-M9)*12000</f>
        <v>240.00000000012301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>
        <v>367</v>
      </c>
      <c r="E10" s="134"/>
      <c r="F10" s="133" t="s">
        <v>26</v>
      </c>
      <c r="G10" s="134"/>
      <c r="H10" s="20">
        <f t="shared" si="0"/>
        <v>367</v>
      </c>
      <c r="I10" s="21">
        <f t="shared" si="1"/>
        <v>367</v>
      </c>
      <c r="J10" s="22">
        <f t="shared" si="2"/>
        <v>1</v>
      </c>
      <c r="K10" s="23">
        <v>0.125</v>
      </c>
      <c r="L10" s="24">
        <v>4200</v>
      </c>
      <c r="M10" s="106">
        <v>184.41</v>
      </c>
      <c r="N10" s="26">
        <f t="shared" si="3"/>
        <v>600.00000000013597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>
        <v>342</v>
      </c>
      <c r="E11" s="134"/>
      <c r="F11" s="133" t="s">
        <v>26</v>
      </c>
      <c r="G11" s="134"/>
      <c r="H11" s="20">
        <f t="shared" si="0"/>
        <v>342</v>
      </c>
      <c r="I11" s="21">
        <f t="shared" si="1"/>
        <v>342</v>
      </c>
      <c r="J11" s="22">
        <f t="shared" si="2"/>
        <v>1</v>
      </c>
      <c r="K11" s="23">
        <v>0.16666666666666699</v>
      </c>
      <c r="L11" s="24">
        <v>4000</v>
      </c>
      <c r="M11" s="106">
        <v>184.46</v>
      </c>
      <c r="N11" s="26">
        <f t="shared" si="3"/>
        <v>479.99999999990501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>
        <v>340</v>
      </c>
      <c r="E12" s="134"/>
      <c r="F12" s="133" t="s">
        <v>26</v>
      </c>
      <c r="G12" s="134"/>
      <c r="H12" s="20">
        <f t="shared" si="0"/>
        <v>340</v>
      </c>
      <c r="I12" s="21">
        <f t="shared" si="1"/>
        <v>340</v>
      </c>
      <c r="J12" s="22">
        <f t="shared" si="2"/>
        <v>1</v>
      </c>
      <c r="K12" s="23">
        <v>0.20833333333333301</v>
      </c>
      <c r="L12" s="24">
        <v>3900</v>
      </c>
      <c r="M12" s="106">
        <v>184.5</v>
      </c>
      <c r="N12" s="26">
        <f t="shared" si="3"/>
        <v>240.00000000012301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363</v>
      </c>
      <c r="E13" s="134"/>
      <c r="F13" s="133" t="s">
        <v>26</v>
      </c>
      <c r="G13" s="134"/>
      <c r="H13" s="20">
        <f t="shared" si="0"/>
        <v>363</v>
      </c>
      <c r="I13" s="21">
        <f t="shared" si="1"/>
        <v>363</v>
      </c>
      <c r="J13" s="22">
        <f t="shared" si="2"/>
        <v>1</v>
      </c>
      <c r="K13" s="23">
        <v>0.25</v>
      </c>
      <c r="L13" s="24">
        <v>3600</v>
      </c>
      <c r="M13" s="106">
        <v>184.52</v>
      </c>
      <c r="N13" s="26">
        <f t="shared" si="3"/>
        <v>599.99999999979502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264</v>
      </c>
      <c r="E14" s="134"/>
      <c r="F14" s="133">
        <v>288</v>
      </c>
      <c r="G14" s="134"/>
      <c r="H14" s="20">
        <f t="shared" si="0"/>
        <v>552</v>
      </c>
      <c r="I14" s="21">
        <f t="shared" si="1"/>
        <v>276</v>
      </c>
      <c r="J14" s="22">
        <f t="shared" si="2"/>
        <v>2</v>
      </c>
      <c r="K14" s="23">
        <v>0.29166666666666702</v>
      </c>
      <c r="L14" s="24">
        <v>3600</v>
      </c>
      <c r="M14" s="106">
        <v>184.57</v>
      </c>
      <c r="N14" s="26">
        <f t="shared" si="3"/>
        <v>600.00000000013597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274</v>
      </c>
      <c r="E15" s="134"/>
      <c r="F15" s="133">
        <v>249</v>
      </c>
      <c r="G15" s="134"/>
      <c r="H15" s="20">
        <f t="shared" si="0"/>
        <v>523</v>
      </c>
      <c r="I15" s="21">
        <f t="shared" si="1"/>
        <v>261.5</v>
      </c>
      <c r="J15" s="22">
        <f t="shared" si="2"/>
        <v>2</v>
      </c>
      <c r="K15" s="23">
        <v>0.33333333333333298</v>
      </c>
      <c r="L15" s="24">
        <v>3600</v>
      </c>
      <c r="M15" s="106">
        <v>184.62</v>
      </c>
      <c r="N15" s="26">
        <f t="shared" si="3"/>
        <v>360.00000000001398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244</v>
      </c>
      <c r="E16" s="134"/>
      <c r="F16" s="133">
        <v>233</v>
      </c>
      <c r="G16" s="134"/>
      <c r="H16" s="20">
        <f t="shared" si="0"/>
        <v>477</v>
      </c>
      <c r="I16" s="21">
        <f t="shared" si="1"/>
        <v>238.5</v>
      </c>
      <c r="J16" s="22">
        <f t="shared" si="2"/>
        <v>2</v>
      </c>
      <c r="K16" s="23">
        <v>0.375</v>
      </c>
      <c r="L16" s="24">
        <v>3600</v>
      </c>
      <c r="M16" s="106">
        <v>184.65</v>
      </c>
      <c r="N16" s="26">
        <f t="shared" ref="N16:N30" si="4">(M17-M16)*12000</f>
        <v>599.99999999979502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>
        <v>243</v>
      </c>
      <c r="E17" s="134"/>
      <c r="F17" s="133">
        <v>231</v>
      </c>
      <c r="G17" s="134"/>
      <c r="H17" s="20">
        <f t="shared" si="0"/>
        <v>474</v>
      </c>
      <c r="I17" s="21">
        <f t="shared" si="1"/>
        <v>237</v>
      </c>
      <c r="J17" s="22">
        <f t="shared" si="2"/>
        <v>2</v>
      </c>
      <c r="K17" s="23">
        <v>0.41666666666666602</v>
      </c>
      <c r="L17" s="24">
        <v>3400</v>
      </c>
      <c r="M17" s="106">
        <v>184.7</v>
      </c>
      <c r="N17" s="26">
        <f t="shared" si="4"/>
        <v>600.00000000013597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238</v>
      </c>
      <c r="E18" s="134"/>
      <c r="F18" s="133">
        <v>247</v>
      </c>
      <c r="G18" s="134"/>
      <c r="H18" s="20">
        <f t="shared" si="0"/>
        <v>485</v>
      </c>
      <c r="I18" s="21">
        <f t="shared" si="1"/>
        <v>242.5</v>
      </c>
      <c r="J18" s="22">
        <f t="shared" si="2"/>
        <v>2</v>
      </c>
      <c r="K18" s="23">
        <v>0.45833333333333298</v>
      </c>
      <c r="L18" s="24">
        <v>3300</v>
      </c>
      <c r="M18" s="106">
        <v>184.75</v>
      </c>
      <c r="N18" s="26">
        <f t="shared" si="4"/>
        <v>479.99999999990501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229</v>
      </c>
      <c r="E19" s="134"/>
      <c r="F19" s="133">
        <v>223</v>
      </c>
      <c r="G19" s="134"/>
      <c r="H19" s="20">
        <f t="shared" si="0"/>
        <v>452</v>
      </c>
      <c r="I19" s="21">
        <f t="shared" si="1"/>
        <v>226</v>
      </c>
      <c r="J19" s="22">
        <f t="shared" si="2"/>
        <v>2</v>
      </c>
      <c r="K19" s="23">
        <v>0.5</v>
      </c>
      <c r="L19" s="24">
        <v>3300</v>
      </c>
      <c r="M19" s="106">
        <v>184.79</v>
      </c>
      <c r="N19" s="26">
        <f t="shared" si="4"/>
        <v>480.00000000024602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225</v>
      </c>
      <c r="E20" s="134"/>
      <c r="F20" s="133">
        <v>228</v>
      </c>
      <c r="G20" s="134"/>
      <c r="H20" s="20">
        <f t="shared" si="0"/>
        <v>453</v>
      </c>
      <c r="I20" s="21">
        <f t="shared" si="1"/>
        <v>226.5</v>
      </c>
      <c r="J20" s="22">
        <f t="shared" si="2"/>
        <v>2</v>
      </c>
      <c r="K20" s="23">
        <v>0.54166666666666696</v>
      </c>
      <c r="L20" s="24">
        <v>3000</v>
      </c>
      <c r="M20" s="106">
        <v>184.83</v>
      </c>
      <c r="N20" s="26">
        <f t="shared" si="4"/>
        <v>479.99999999990501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>
        <v>431</v>
      </c>
      <c r="E21" s="134"/>
      <c r="F21" s="133" t="s">
        <v>26</v>
      </c>
      <c r="G21" s="134"/>
      <c r="H21" s="20">
        <f t="shared" si="0"/>
        <v>431</v>
      </c>
      <c r="I21" s="21">
        <f t="shared" si="1"/>
        <v>431</v>
      </c>
      <c r="J21" s="22">
        <f t="shared" si="2"/>
        <v>1</v>
      </c>
      <c r="K21" s="23">
        <v>0.58333333333333304</v>
      </c>
      <c r="L21" s="24">
        <v>3000</v>
      </c>
      <c r="M21" s="106">
        <v>184.87</v>
      </c>
      <c r="N21" s="26">
        <f t="shared" si="4"/>
        <v>599.99999999979502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>
        <v>436</v>
      </c>
      <c r="E22" s="134"/>
      <c r="F22" s="133" t="s">
        <v>26</v>
      </c>
      <c r="G22" s="134"/>
      <c r="H22" s="20">
        <f t="shared" si="0"/>
        <v>436</v>
      </c>
      <c r="I22" s="21">
        <f t="shared" si="1"/>
        <v>436</v>
      </c>
      <c r="J22" s="22">
        <f t="shared" si="2"/>
        <v>1</v>
      </c>
      <c r="K22" s="23">
        <v>0.625</v>
      </c>
      <c r="L22" s="24">
        <v>3000</v>
      </c>
      <c r="M22" s="106">
        <v>184.92</v>
      </c>
      <c r="N22" s="26">
        <f t="shared" si="4"/>
        <v>480.00000000024602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432</v>
      </c>
      <c r="E23" s="134"/>
      <c r="F23" s="133" t="s">
        <v>26</v>
      </c>
      <c r="G23" s="134"/>
      <c r="H23" s="20">
        <f t="shared" si="0"/>
        <v>432</v>
      </c>
      <c r="I23" s="21">
        <f t="shared" si="1"/>
        <v>432</v>
      </c>
      <c r="J23" s="22">
        <f t="shared" si="2"/>
        <v>1</v>
      </c>
      <c r="K23" s="23">
        <v>0.66666666666666596</v>
      </c>
      <c r="L23" s="24">
        <v>3000</v>
      </c>
      <c r="M23" s="106">
        <v>184.96</v>
      </c>
      <c r="N23" s="26">
        <f t="shared" si="4"/>
        <v>479.99999999990501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446</v>
      </c>
      <c r="E24" s="134"/>
      <c r="F24" s="133" t="s">
        <v>26</v>
      </c>
      <c r="G24" s="134"/>
      <c r="H24" s="20">
        <f t="shared" si="0"/>
        <v>446</v>
      </c>
      <c r="I24" s="21">
        <f t="shared" si="1"/>
        <v>446</v>
      </c>
      <c r="J24" s="22">
        <f t="shared" si="2"/>
        <v>1</v>
      </c>
      <c r="K24" s="23">
        <v>0.70833333333333304</v>
      </c>
      <c r="L24" s="24">
        <v>2700</v>
      </c>
      <c r="M24" s="106">
        <v>185</v>
      </c>
      <c r="N24" s="26">
        <f t="shared" si="4"/>
        <v>479.99999999990501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226</v>
      </c>
      <c r="E25" s="134"/>
      <c r="F25" s="133">
        <v>227</v>
      </c>
      <c r="G25" s="134"/>
      <c r="H25" s="20">
        <f t="shared" si="0"/>
        <v>453</v>
      </c>
      <c r="I25" s="21">
        <f t="shared" si="1"/>
        <v>226.5</v>
      </c>
      <c r="J25" s="22">
        <f t="shared" si="2"/>
        <v>2</v>
      </c>
      <c r="K25" s="23">
        <v>0.75</v>
      </c>
      <c r="L25" s="24">
        <v>2400</v>
      </c>
      <c r="M25" s="106">
        <v>185.04</v>
      </c>
      <c r="N25" s="26">
        <f t="shared" si="4"/>
        <v>600.00000000013597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302</v>
      </c>
      <c r="E26" s="134"/>
      <c r="F26" s="133">
        <v>319</v>
      </c>
      <c r="G26" s="134"/>
      <c r="H26" s="20">
        <f t="shared" si="0"/>
        <v>621</v>
      </c>
      <c r="I26" s="21">
        <f t="shared" si="1"/>
        <v>310.5</v>
      </c>
      <c r="J26" s="22">
        <f t="shared" si="2"/>
        <v>2</v>
      </c>
      <c r="K26" s="23">
        <v>0.79166666666666596</v>
      </c>
      <c r="L26" s="24">
        <v>2100</v>
      </c>
      <c r="M26" s="106">
        <v>185.09</v>
      </c>
      <c r="N26" s="26">
        <f t="shared" si="4"/>
        <v>839.99999999991803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356</v>
      </c>
      <c r="E27" s="134"/>
      <c r="F27" s="133">
        <v>368</v>
      </c>
      <c r="G27" s="134"/>
      <c r="H27" s="20">
        <f t="shared" si="0"/>
        <v>724</v>
      </c>
      <c r="I27" s="21">
        <f t="shared" si="1"/>
        <v>362</v>
      </c>
      <c r="J27" s="22">
        <f t="shared" si="2"/>
        <v>2</v>
      </c>
      <c r="K27" s="23">
        <v>0.83333333333333304</v>
      </c>
      <c r="L27" s="24">
        <v>2100</v>
      </c>
      <c r="M27" s="106">
        <v>185.16</v>
      </c>
      <c r="N27" s="26">
        <f t="shared" si="4"/>
        <v>720.00000000002694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328</v>
      </c>
      <c r="E28" s="134"/>
      <c r="F28" s="133">
        <v>314</v>
      </c>
      <c r="G28" s="134"/>
      <c r="H28" s="20">
        <f t="shared" si="0"/>
        <v>642</v>
      </c>
      <c r="I28" s="21">
        <f t="shared" si="1"/>
        <v>321</v>
      </c>
      <c r="J28" s="22">
        <f t="shared" si="2"/>
        <v>2</v>
      </c>
      <c r="K28" s="23">
        <v>0.875</v>
      </c>
      <c r="L28" s="24">
        <v>1800</v>
      </c>
      <c r="M28" s="106">
        <v>185.22</v>
      </c>
      <c r="N28" s="26">
        <f t="shared" si="4"/>
        <v>839.99999999991803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300</v>
      </c>
      <c r="E29" s="134"/>
      <c r="F29" s="133">
        <v>301</v>
      </c>
      <c r="G29" s="134"/>
      <c r="H29" s="20">
        <f t="shared" si="0"/>
        <v>601</v>
      </c>
      <c r="I29" s="21">
        <f t="shared" si="1"/>
        <v>300.5</v>
      </c>
      <c r="J29" s="22">
        <f t="shared" si="2"/>
        <v>2</v>
      </c>
      <c r="K29" s="23">
        <v>0.91666666666666596</v>
      </c>
      <c r="L29" s="24">
        <v>1800</v>
      </c>
      <c r="M29" s="106">
        <v>185.29</v>
      </c>
      <c r="N29" s="26">
        <f t="shared" si="4"/>
        <v>600.00000000013597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287</v>
      </c>
      <c r="E30" s="134"/>
      <c r="F30" s="133">
        <v>277</v>
      </c>
      <c r="G30" s="134"/>
      <c r="H30" s="20">
        <f t="shared" si="0"/>
        <v>564</v>
      </c>
      <c r="I30" s="21">
        <f t="shared" si="1"/>
        <v>282</v>
      </c>
      <c r="J30" s="22">
        <f t="shared" si="2"/>
        <v>2</v>
      </c>
      <c r="K30" s="23">
        <v>0.95833333333333304</v>
      </c>
      <c r="L30" s="24">
        <v>1800</v>
      </c>
      <c r="M30" s="106">
        <v>185.34</v>
      </c>
      <c r="N30" s="26">
        <f t="shared" si="4"/>
        <v>599.99999999979502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264</v>
      </c>
      <c r="E31" s="134"/>
      <c r="F31" s="133">
        <v>255</v>
      </c>
      <c r="G31" s="134"/>
      <c r="H31" s="20">
        <f t="shared" si="0"/>
        <v>519</v>
      </c>
      <c r="I31" s="35">
        <f t="shared" si="1"/>
        <v>259.5</v>
      </c>
      <c r="J31" s="36">
        <f t="shared" si="2"/>
        <v>2</v>
      </c>
      <c r="K31" s="37">
        <v>1</v>
      </c>
      <c r="L31" s="24">
        <v>4500</v>
      </c>
      <c r="M31" s="107">
        <v>185.39</v>
      </c>
      <c r="N31" s="26">
        <f>H31</f>
        <v>519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7.4059999999999997</v>
      </c>
      <c r="E32" s="136"/>
      <c r="F32" s="135">
        <f>SUM(F8:F31)/1000</f>
        <v>4.26</v>
      </c>
      <c r="G32" s="136"/>
      <c r="H32" s="40">
        <f>SUM(H8:H31)</f>
        <v>11666</v>
      </c>
      <c r="I32" s="41" t="s">
        <v>13</v>
      </c>
      <c r="J32" s="42"/>
      <c r="K32" s="43"/>
      <c r="L32" s="44"/>
      <c r="M32" s="45">
        <f>SUM(M31-M8+N8)</f>
        <v>601.04999999979498</v>
      </c>
      <c r="N32" s="46">
        <f>SUM(N8:N31)</f>
        <v>13118.9999999998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308.58333333333297</v>
      </c>
      <c r="E33" s="116"/>
      <c r="F33" s="119">
        <f>IFERROR((AVERAGE(F8:F31)),"0")</f>
        <v>266.25</v>
      </c>
      <c r="G33" s="121"/>
      <c r="H33" s="147">
        <f>H32*1000</f>
        <v>11666000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24</v>
      </c>
      <c r="E35" s="162"/>
      <c r="F35" s="163">
        <f>COUNT(F8:F31)</f>
        <v>16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40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724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486.08333333333297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340</v>
      </c>
      <c r="D41" s="126"/>
      <c r="E41" s="73">
        <f>VLOOKUP(C41,H8:L31,4,FALSE)</f>
        <v>0.20833333333333301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308.8125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-461.03958333334202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33" priority="11" operator="equal">
      <formula>"STB"</formula>
    </cfRule>
    <cfRule type="cellIs" dxfId="32" priority="12" operator="equal">
      <formula>"BD"</formula>
    </cfRule>
  </conditionalFormatting>
  <conditionalFormatting sqref="B8:B31">
    <cfRule type="cellIs" dxfId="31" priority="1" operator="equal">
      <formula>"STB"</formula>
    </cfRule>
    <cfRule type="cellIs" dxfId="30" priority="2" operator="equal">
      <formula>"BD"</formula>
    </cfRule>
  </conditionalFormatting>
  <conditionalFormatting sqref="D8:D31">
    <cfRule type="cellIs" dxfId="29" priority="8" operator="equal">
      <formula>"STB"</formula>
    </cfRule>
    <cfRule type="cellIs" dxfId="28" priority="9" operator="equal">
      <formula>"BD"</formula>
    </cfRule>
  </conditionalFormatting>
  <conditionalFormatting sqref="F8:F31">
    <cfRule type="cellIs" dxfId="27" priority="3" operator="equal">
      <formula>"STB"</formula>
    </cfRule>
    <cfRule type="cellIs" dxfId="26" priority="4" operator="equal">
      <formula>"BD"</formula>
    </cfRule>
  </conditionalFormatting>
  <conditionalFormatting sqref="H8:H31">
    <cfRule type="top10" dxfId="25" priority="5" bottom="1" rank="1"/>
    <cfRule type="top10" dxfId="24" priority="6" rank="1"/>
    <cfRule type="cellIs" dxfId="23" priority="7" stopIfTrue="1" operator="equal">
      <formula>28000</formula>
    </cfRule>
  </conditionalFormatting>
  <conditionalFormatting sqref="H32:H33">
    <cfRule type="top10" dxfId="22" priority="14" bottom="1" rank="1"/>
    <cfRule type="top10" dxfId="21" priority="15" rank="1"/>
    <cfRule type="cellIs" dxfId="20" priority="17" stopIfTrue="1" operator="equal">
      <formula>28000</formula>
    </cfRule>
  </conditionalFormatting>
  <conditionalFormatting sqref="N8 N9:O31">
    <cfRule type="cellIs" dxfId="19" priority="16" operator="equal">
      <formula>"BD"</formula>
    </cfRule>
  </conditionalFormatting>
  <conditionalFormatting sqref="O8">
    <cfRule type="cellIs" dxfId="18" priority="10" operator="equal">
      <formula>"N/A"</formula>
    </cfRule>
  </conditionalFormatting>
  <conditionalFormatting sqref="Y8:Y31">
    <cfRule type="containsText" dxfId="17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A1:AC68"/>
  <sheetViews>
    <sheetView zoomScale="80" zoomScaleNormal="80" workbookViewId="0">
      <pane ySplit="7" topLeftCell="A16" activePane="bottomLeft" state="frozen"/>
      <selection pane="bottomLeft" activeCell="I23" sqref="I23"/>
    </sheetView>
  </sheetViews>
  <sheetFormatPr defaultColWidth="8.83203125" defaultRowHeight="14"/>
  <cols>
    <col min="1" max="1" width="16.75" customWidth="1"/>
    <col min="2" max="2" width="8.75" customWidth="1"/>
    <col min="3" max="7" width="5.75" customWidth="1"/>
    <col min="8" max="8" width="14.25" customWidth="1"/>
    <col min="9" max="9" width="15.1640625" customWidth="1"/>
    <col min="10" max="10" width="15.5" customWidth="1"/>
    <col min="11" max="11" width="7" customWidth="1"/>
    <col min="12" max="12" width="8.5" customWidth="1"/>
    <col min="13" max="13" width="11.75" style="5" customWidth="1"/>
    <col min="14" max="14" width="17.1640625" customWidth="1"/>
    <col min="15" max="15" width="15.4140625" customWidth="1"/>
    <col min="16" max="16" width="7.4140625" customWidth="1"/>
    <col min="17" max="17" width="9.5" customWidth="1"/>
    <col min="18" max="18" width="10" customWidth="1"/>
    <col min="19" max="20" width="9.83203125" customWidth="1"/>
    <col min="21" max="21" width="6.75" customWidth="1"/>
    <col min="22" max="22" width="13.83203125" customWidth="1"/>
    <col min="23" max="23" width="11.25" customWidth="1"/>
    <col min="24" max="24" width="9.25" customWidth="1"/>
    <col min="25" max="25" width="3.75" customWidth="1"/>
    <col min="26" max="29" width="7.75" customWidth="1"/>
    <col min="30" max="30" width="6.75" customWidth="1"/>
  </cols>
  <sheetData>
    <row r="1" spans="1:29" ht="3" customHeight="1"/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6.75" customHeight="1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7.25" customHeight="1">
      <c r="A4" s="1"/>
      <c r="B4" s="10"/>
      <c r="C4" s="10"/>
      <c r="D4" s="10"/>
      <c r="E4" s="11"/>
      <c r="F4" s="11"/>
      <c r="G4" s="11"/>
      <c r="H4" s="168">
        <f>'[31]Taniwel daily'!C4</f>
        <v>45322</v>
      </c>
      <c r="I4" s="169"/>
      <c r="J4" s="169"/>
      <c r="K4" s="170"/>
      <c r="L4" s="12"/>
      <c r="M4" s="13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spans="1:29" ht="7.5" customHeight="1">
      <c r="A5" s="1"/>
      <c r="B5" s="14"/>
      <c r="C5" s="1"/>
      <c r="D5" s="1"/>
      <c r="E5" s="1"/>
      <c r="F5" s="1"/>
      <c r="G5" s="1"/>
      <c r="H5" s="1"/>
      <c r="I5" s="1"/>
      <c r="J5" s="1"/>
      <c r="K5" s="15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7.25" customHeight="1">
      <c r="A6" s="141" t="s">
        <v>0</v>
      </c>
      <c r="B6" s="171" t="s">
        <v>1</v>
      </c>
      <c r="C6" s="172"/>
      <c r="D6" s="171" t="s">
        <v>2</v>
      </c>
      <c r="E6" s="172"/>
      <c r="F6" s="171" t="s">
        <v>3</v>
      </c>
      <c r="G6" s="172"/>
      <c r="H6" s="145" t="s">
        <v>4</v>
      </c>
      <c r="I6" s="145" t="s">
        <v>5</v>
      </c>
      <c r="J6" s="151" t="s">
        <v>6</v>
      </c>
      <c r="K6" s="141" t="s">
        <v>0</v>
      </c>
      <c r="L6" s="153" t="s">
        <v>7</v>
      </c>
      <c r="M6" s="155" t="s">
        <v>8</v>
      </c>
      <c r="N6" s="157" t="s">
        <v>9</v>
      </c>
      <c r="O6" s="155" t="s">
        <v>10</v>
      </c>
      <c r="P6" s="16"/>
      <c r="Q6" s="17"/>
      <c r="R6" s="17"/>
      <c r="S6" s="17"/>
      <c r="T6" s="113"/>
      <c r="U6" s="114"/>
    </row>
    <row r="7" spans="1:29" ht="15.75" customHeight="1">
      <c r="A7" s="142"/>
      <c r="B7" s="173">
        <v>1</v>
      </c>
      <c r="C7" s="174"/>
      <c r="D7" s="173">
        <v>2</v>
      </c>
      <c r="E7" s="174"/>
      <c r="F7" s="173">
        <v>3</v>
      </c>
      <c r="G7" s="174"/>
      <c r="H7" s="146"/>
      <c r="I7" s="146"/>
      <c r="J7" s="152"/>
      <c r="K7" s="142"/>
      <c r="L7" s="154"/>
      <c r="M7" s="156"/>
      <c r="N7" s="158"/>
      <c r="O7" s="159"/>
      <c r="P7" s="16"/>
      <c r="Q7" s="17"/>
      <c r="R7" s="17"/>
      <c r="S7" s="17"/>
      <c r="T7" s="113"/>
      <c r="U7" s="114"/>
      <c r="X7" s="18"/>
    </row>
    <row r="8" spans="1:29" s="2" customFormat="1" ht="15" customHeight="1">
      <c r="A8" s="19">
        <v>4.1666666666666602E-2</v>
      </c>
      <c r="B8" s="133" t="s">
        <v>11</v>
      </c>
      <c r="C8" s="134"/>
      <c r="D8" s="133">
        <v>250</v>
      </c>
      <c r="E8" s="134"/>
      <c r="F8" s="133">
        <v>249</v>
      </c>
      <c r="G8" s="134"/>
      <c r="H8" s="20">
        <f t="shared" ref="H8:H31" si="0">IF(SUM(B8:G8)/1000=0,"0",SUM(B8:G8))</f>
        <v>499</v>
      </c>
      <c r="I8" s="21">
        <f t="shared" ref="I8:I31" si="1">IFERROR(AVERAGE(B8:G8),"0")</f>
        <v>249.5</v>
      </c>
      <c r="J8" s="22">
        <f t="shared" ref="J8:J31" si="2">COUNT(B8:G8)</f>
        <v>2</v>
      </c>
      <c r="K8" s="23">
        <v>4.1666666666666699E-2</v>
      </c>
      <c r="L8" s="24">
        <v>4500</v>
      </c>
      <c r="M8" s="25">
        <v>185.44</v>
      </c>
      <c r="N8" s="26">
        <f>(M9-M8)*12000</f>
        <v>600.00000000013597</v>
      </c>
      <c r="O8" s="27"/>
      <c r="P8" s="28"/>
      <c r="Q8" s="29"/>
      <c r="R8" s="29"/>
      <c r="S8" s="29"/>
      <c r="T8" s="29"/>
      <c r="U8" s="30"/>
    </row>
    <row r="9" spans="1:29" s="3" customFormat="1" ht="15" customHeight="1">
      <c r="A9" s="19">
        <v>8.3333333333333301E-2</v>
      </c>
      <c r="B9" s="133" t="s">
        <v>11</v>
      </c>
      <c r="C9" s="134"/>
      <c r="D9" s="133">
        <v>231</v>
      </c>
      <c r="E9" s="134"/>
      <c r="F9" s="133">
        <v>243</v>
      </c>
      <c r="G9" s="134"/>
      <c r="H9" s="20">
        <f t="shared" si="0"/>
        <v>474</v>
      </c>
      <c r="I9" s="21">
        <f t="shared" si="1"/>
        <v>237</v>
      </c>
      <c r="J9" s="22">
        <f t="shared" si="2"/>
        <v>2</v>
      </c>
      <c r="K9" s="23">
        <v>8.3333333333333301E-2</v>
      </c>
      <c r="L9" s="24">
        <v>4200</v>
      </c>
      <c r="M9" s="31">
        <v>185.49</v>
      </c>
      <c r="N9" s="26">
        <f t="shared" ref="N9:N15" si="3">(M10-M9)*12000</f>
        <v>599.99999999979502</v>
      </c>
      <c r="O9" s="32"/>
      <c r="P9" s="28"/>
      <c r="Q9" s="29"/>
      <c r="R9" s="29"/>
      <c r="S9" s="29"/>
      <c r="T9" s="29"/>
      <c r="U9" s="30"/>
    </row>
    <row r="10" spans="1:29" s="3" customFormat="1" ht="15" customHeight="1">
      <c r="A10" s="19">
        <v>0.125</v>
      </c>
      <c r="B10" s="133" t="s">
        <v>11</v>
      </c>
      <c r="C10" s="134"/>
      <c r="D10" s="133" t="s">
        <v>26</v>
      </c>
      <c r="E10" s="134"/>
      <c r="F10" s="133">
        <v>440</v>
      </c>
      <c r="G10" s="134"/>
      <c r="H10" s="20">
        <f t="shared" si="0"/>
        <v>440</v>
      </c>
      <c r="I10" s="21">
        <f t="shared" si="1"/>
        <v>440</v>
      </c>
      <c r="J10" s="22">
        <f t="shared" si="2"/>
        <v>1</v>
      </c>
      <c r="K10" s="23">
        <v>0.125</v>
      </c>
      <c r="L10" s="24">
        <v>4200</v>
      </c>
      <c r="M10" s="31">
        <v>185.54</v>
      </c>
      <c r="N10" s="26">
        <f t="shared" si="3"/>
        <v>480.00000000024602</v>
      </c>
      <c r="O10" s="33"/>
      <c r="P10" s="28"/>
      <c r="Q10" s="29"/>
      <c r="R10" s="29"/>
      <c r="S10" s="29"/>
      <c r="T10" s="29"/>
      <c r="U10" s="30"/>
    </row>
    <row r="11" spans="1:29" s="3" customFormat="1" ht="15" customHeight="1">
      <c r="A11" s="19">
        <v>0.16666666666666699</v>
      </c>
      <c r="B11" s="133" t="s">
        <v>11</v>
      </c>
      <c r="C11" s="134"/>
      <c r="D11" s="133" t="s">
        <v>26</v>
      </c>
      <c r="E11" s="134"/>
      <c r="F11" s="133">
        <v>432</v>
      </c>
      <c r="G11" s="134"/>
      <c r="H11" s="20">
        <f t="shared" si="0"/>
        <v>432</v>
      </c>
      <c r="I11" s="21">
        <f t="shared" si="1"/>
        <v>432</v>
      </c>
      <c r="J11" s="22">
        <f t="shared" si="2"/>
        <v>1</v>
      </c>
      <c r="K11" s="23">
        <v>0.16666666666666699</v>
      </c>
      <c r="L11" s="24">
        <v>4000</v>
      </c>
      <c r="M11" s="31">
        <v>185.58</v>
      </c>
      <c r="N11" s="26">
        <f t="shared" si="3"/>
        <v>479.99999999990501</v>
      </c>
      <c r="O11" s="33"/>
      <c r="P11" s="28"/>
      <c r="Q11" s="29"/>
      <c r="R11" s="29"/>
      <c r="S11" s="29"/>
      <c r="T11" s="29"/>
      <c r="U11" s="30"/>
    </row>
    <row r="12" spans="1:29" s="3" customFormat="1" ht="15" customHeight="1">
      <c r="A12" s="19">
        <v>0.20833333333333301</v>
      </c>
      <c r="B12" s="133" t="s">
        <v>11</v>
      </c>
      <c r="C12" s="134"/>
      <c r="D12" s="133" t="s">
        <v>26</v>
      </c>
      <c r="E12" s="134"/>
      <c r="F12" s="133">
        <v>445</v>
      </c>
      <c r="G12" s="134"/>
      <c r="H12" s="20">
        <f t="shared" si="0"/>
        <v>445</v>
      </c>
      <c r="I12" s="21">
        <f t="shared" si="1"/>
        <v>445</v>
      </c>
      <c r="J12" s="22">
        <f t="shared" si="2"/>
        <v>1</v>
      </c>
      <c r="K12" s="23">
        <v>0.20833333333333301</v>
      </c>
      <c r="L12" s="24">
        <v>3900</v>
      </c>
      <c r="M12" s="31">
        <v>185.62</v>
      </c>
      <c r="N12" s="26">
        <f t="shared" si="3"/>
        <v>479.99999999990501</v>
      </c>
      <c r="O12" s="33"/>
      <c r="P12" s="28"/>
      <c r="Q12" s="29"/>
      <c r="R12" s="29"/>
      <c r="S12" s="29"/>
      <c r="T12" s="29"/>
      <c r="U12" s="30"/>
    </row>
    <row r="13" spans="1:29" s="3" customFormat="1" ht="15" customHeight="1">
      <c r="A13" s="19">
        <v>0.25</v>
      </c>
      <c r="B13" s="133" t="s">
        <v>11</v>
      </c>
      <c r="C13" s="134"/>
      <c r="D13" s="133">
        <v>239</v>
      </c>
      <c r="E13" s="134"/>
      <c r="F13" s="133">
        <v>233</v>
      </c>
      <c r="G13" s="134"/>
      <c r="H13" s="20">
        <f t="shared" si="0"/>
        <v>472</v>
      </c>
      <c r="I13" s="21">
        <f t="shared" si="1"/>
        <v>236</v>
      </c>
      <c r="J13" s="22">
        <f t="shared" si="2"/>
        <v>2</v>
      </c>
      <c r="K13" s="23">
        <v>0.25</v>
      </c>
      <c r="L13" s="24">
        <v>3600</v>
      </c>
      <c r="M13" s="31">
        <v>185.66</v>
      </c>
      <c r="N13" s="26">
        <f t="shared" si="3"/>
        <v>600.00000000013597</v>
      </c>
      <c r="O13" s="33"/>
      <c r="P13" s="28"/>
      <c r="Q13" s="29"/>
      <c r="R13" s="29"/>
      <c r="S13" s="29"/>
      <c r="T13" s="29"/>
      <c r="U13" s="30"/>
    </row>
    <row r="14" spans="1:29" s="3" customFormat="1" ht="15" customHeight="1">
      <c r="A14" s="19">
        <v>0.29166666666666702</v>
      </c>
      <c r="B14" s="133" t="s">
        <v>11</v>
      </c>
      <c r="C14" s="134"/>
      <c r="D14" s="133">
        <v>252</v>
      </c>
      <c r="E14" s="134"/>
      <c r="F14" s="133">
        <v>263</v>
      </c>
      <c r="G14" s="134"/>
      <c r="H14" s="20">
        <f t="shared" si="0"/>
        <v>515</v>
      </c>
      <c r="I14" s="21">
        <f t="shared" si="1"/>
        <v>257.5</v>
      </c>
      <c r="J14" s="22">
        <f t="shared" si="2"/>
        <v>2</v>
      </c>
      <c r="K14" s="23">
        <v>0.29166666666666702</v>
      </c>
      <c r="L14" s="24">
        <v>3600</v>
      </c>
      <c r="M14" s="31">
        <v>185.71</v>
      </c>
      <c r="N14" s="26">
        <f t="shared" si="3"/>
        <v>479.99999999990501</v>
      </c>
      <c r="O14" s="33"/>
      <c r="P14" s="28"/>
      <c r="Q14" s="29"/>
      <c r="R14" s="29"/>
      <c r="S14" s="29"/>
      <c r="T14" s="29"/>
      <c r="U14" s="30"/>
    </row>
    <row r="15" spans="1:29" s="3" customFormat="1" ht="15" customHeight="1">
      <c r="A15" s="19">
        <v>0.33333333333333298</v>
      </c>
      <c r="B15" s="133" t="s">
        <v>11</v>
      </c>
      <c r="C15" s="134"/>
      <c r="D15" s="133">
        <v>244</v>
      </c>
      <c r="E15" s="134"/>
      <c r="F15" s="133">
        <v>232</v>
      </c>
      <c r="G15" s="134"/>
      <c r="H15" s="20">
        <f t="shared" si="0"/>
        <v>476</v>
      </c>
      <c r="I15" s="21">
        <f t="shared" si="1"/>
        <v>238</v>
      </c>
      <c r="J15" s="22">
        <f t="shared" si="2"/>
        <v>2</v>
      </c>
      <c r="K15" s="23">
        <v>0.33333333333333298</v>
      </c>
      <c r="L15" s="24">
        <v>3600</v>
      </c>
      <c r="M15" s="31">
        <v>185.75</v>
      </c>
      <c r="N15" s="26">
        <f t="shared" si="3"/>
        <v>600.00000000013597</v>
      </c>
      <c r="O15" s="33"/>
      <c r="P15" s="28"/>
      <c r="Q15" s="29"/>
      <c r="R15" s="29"/>
      <c r="S15" s="29"/>
      <c r="T15" s="29"/>
      <c r="U15" s="30"/>
    </row>
    <row r="16" spans="1:29" s="3" customFormat="1" ht="15" customHeight="1">
      <c r="A16" s="19">
        <v>0.375</v>
      </c>
      <c r="B16" s="133" t="s">
        <v>11</v>
      </c>
      <c r="C16" s="134"/>
      <c r="D16" s="133">
        <v>226</v>
      </c>
      <c r="E16" s="134"/>
      <c r="F16" s="133">
        <v>221</v>
      </c>
      <c r="G16" s="134"/>
      <c r="H16" s="20">
        <f t="shared" si="0"/>
        <v>447</v>
      </c>
      <c r="I16" s="21">
        <f t="shared" si="1"/>
        <v>223.5</v>
      </c>
      <c r="J16" s="22">
        <f t="shared" si="2"/>
        <v>2</v>
      </c>
      <c r="K16" s="23">
        <v>0.375</v>
      </c>
      <c r="L16" s="24">
        <v>3600</v>
      </c>
      <c r="M16" s="31">
        <v>185.8</v>
      </c>
      <c r="N16" s="26">
        <f t="shared" ref="N16:N30" si="4">(M17-M16)*12000</f>
        <v>479.99999999990501</v>
      </c>
      <c r="O16" s="33"/>
      <c r="P16" s="28"/>
      <c r="Q16" s="29"/>
      <c r="R16" s="29"/>
      <c r="S16" s="29"/>
      <c r="T16" s="29"/>
      <c r="U16" s="30"/>
    </row>
    <row r="17" spans="1:21" s="3" customFormat="1" ht="15" customHeight="1">
      <c r="A17" s="19">
        <v>0.41666666666666702</v>
      </c>
      <c r="B17" s="133" t="s">
        <v>11</v>
      </c>
      <c r="C17" s="134"/>
      <c r="D17" s="133" t="s">
        <v>26</v>
      </c>
      <c r="E17" s="134"/>
      <c r="F17" s="133">
        <v>452</v>
      </c>
      <c r="G17" s="134"/>
      <c r="H17" s="20">
        <f t="shared" si="0"/>
        <v>452</v>
      </c>
      <c r="I17" s="21">
        <f t="shared" si="1"/>
        <v>452</v>
      </c>
      <c r="J17" s="22">
        <f t="shared" si="2"/>
        <v>1</v>
      </c>
      <c r="K17" s="23">
        <v>0.41666666666666602</v>
      </c>
      <c r="L17" s="24">
        <v>3400</v>
      </c>
      <c r="M17" s="31">
        <v>185.84</v>
      </c>
      <c r="N17" s="26">
        <f t="shared" si="4"/>
        <v>479.99999999990501</v>
      </c>
      <c r="O17" s="33"/>
      <c r="P17" s="28"/>
      <c r="Q17" s="29"/>
      <c r="R17" s="29"/>
      <c r="S17" s="29"/>
      <c r="T17" s="29"/>
      <c r="U17" s="30"/>
    </row>
    <row r="18" spans="1:21" s="3" customFormat="1" ht="15" customHeight="1">
      <c r="A18" s="19">
        <v>0.45833333333333298</v>
      </c>
      <c r="B18" s="133" t="s">
        <v>11</v>
      </c>
      <c r="C18" s="134"/>
      <c r="D18" s="133">
        <v>253</v>
      </c>
      <c r="E18" s="134"/>
      <c r="F18" s="133">
        <v>226</v>
      </c>
      <c r="G18" s="134"/>
      <c r="H18" s="20">
        <f t="shared" si="0"/>
        <v>479</v>
      </c>
      <c r="I18" s="21">
        <f t="shared" si="1"/>
        <v>239.5</v>
      </c>
      <c r="J18" s="22">
        <f t="shared" si="2"/>
        <v>2</v>
      </c>
      <c r="K18" s="23">
        <v>0.45833333333333298</v>
      </c>
      <c r="L18" s="24">
        <v>3300</v>
      </c>
      <c r="M18" s="31">
        <v>185.88</v>
      </c>
      <c r="N18" s="26">
        <f t="shared" si="4"/>
        <v>600.00000000013597</v>
      </c>
      <c r="O18" s="33"/>
      <c r="P18" s="28"/>
      <c r="Q18" s="29"/>
      <c r="R18" s="29"/>
      <c r="S18" s="29"/>
      <c r="T18" s="29"/>
      <c r="U18" s="30"/>
    </row>
    <row r="19" spans="1:21" s="3" customFormat="1" ht="15" customHeight="1">
      <c r="A19" s="19">
        <v>0.5</v>
      </c>
      <c r="B19" s="133" t="s">
        <v>11</v>
      </c>
      <c r="C19" s="134"/>
      <c r="D19" s="133">
        <v>233</v>
      </c>
      <c r="E19" s="134"/>
      <c r="F19" s="133">
        <v>227</v>
      </c>
      <c r="G19" s="134"/>
      <c r="H19" s="20">
        <f t="shared" si="0"/>
        <v>460</v>
      </c>
      <c r="I19" s="21">
        <f t="shared" si="1"/>
        <v>230</v>
      </c>
      <c r="J19" s="22">
        <f t="shared" si="2"/>
        <v>2</v>
      </c>
      <c r="K19" s="23">
        <v>0.5</v>
      </c>
      <c r="L19" s="24">
        <v>3300</v>
      </c>
      <c r="M19" s="31">
        <v>185.93</v>
      </c>
      <c r="N19" s="26">
        <f t="shared" si="4"/>
        <v>479.99999999990501</v>
      </c>
      <c r="O19" s="33"/>
      <c r="P19" s="28"/>
      <c r="Q19" s="29"/>
      <c r="R19" s="29"/>
      <c r="S19" s="29"/>
      <c r="T19" s="29"/>
      <c r="U19" s="30"/>
    </row>
    <row r="20" spans="1:21" s="3" customFormat="1" ht="15" customHeight="1">
      <c r="A20" s="19">
        <v>0.54166666666666696</v>
      </c>
      <c r="B20" s="133" t="s">
        <v>11</v>
      </c>
      <c r="C20" s="134"/>
      <c r="D20" s="133">
        <v>230</v>
      </c>
      <c r="E20" s="134"/>
      <c r="F20" s="133">
        <v>227</v>
      </c>
      <c r="G20" s="134"/>
      <c r="H20" s="20">
        <f t="shared" si="0"/>
        <v>457</v>
      </c>
      <c r="I20" s="21">
        <f t="shared" si="1"/>
        <v>228.5</v>
      </c>
      <c r="J20" s="22">
        <f t="shared" si="2"/>
        <v>2</v>
      </c>
      <c r="K20" s="23">
        <v>0.54166666666666696</v>
      </c>
      <c r="L20" s="24">
        <v>3000</v>
      </c>
      <c r="M20" s="31">
        <v>185.97</v>
      </c>
      <c r="N20" s="26">
        <f t="shared" si="4"/>
        <v>479.99999999990501</v>
      </c>
      <c r="O20" s="33"/>
      <c r="P20" s="28"/>
      <c r="Q20" s="29"/>
      <c r="R20" s="29"/>
      <c r="S20" s="29"/>
      <c r="T20" s="29"/>
      <c r="U20" s="30"/>
    </row>
    <row r="21" spans="1:21" s="3" customFormat="1" ht="15" customHeight="1">
      <c r="A21" s="19">
        <v>0.58333333333333304</v>
      </c>
      <c r="B21" s="133" t="s">
        <v>11</v>
      </c>
      <c r="C21" s="134"/>
      <c r="D21" s="133">
        <v>436</v>
      </c>
      <c r="E21" s="134"/>
      <c r="F21" s="133" t="s">
        <v>26</v>
      </c>
      <c r="G21" s="134"/>
      <c r="H21" s="20">
        <f t="shared" si="0"/>
        <v>436</v>
      </c>
      <c r="I21" s="21">
        <f t="shared" si="1"/>
        <v>436</v>
      </c>
      <c r="J21" s="22">
        <f t="shared" si="2"/>
        <v>1</v>
      </c>
      <c r="K21" s="23">
        <v>0.58333333333333304</v>
      </c>
      <c r="L21" s="24">
        <v>3000</v>
      </c>
      <c r="M21" s="31">
        <v>186.01</v>
      </c>
      <c r="N21" s="26">
        <f t="shared" si="4"/>
        <v>600.00000000013597</v>
      </c>
      <c r="O21" s="33"/>
      <c r="P21" s="28"/>
      <c r="Q21" s="29"/>
      <c r="R21" s="29"/>
      <c r="S21" s="29"/>
      <c r="T21" s="29"/>
      <c r="U21" s="30"/>
    </row>
    <row r="22" spans="1:21" s="3" customFormat="1" ht="15" customHeight="1">
      <c r="A22" s="19">
        <v>0.625</v>
      </c>
      <c r="B22" s="133" t="s">
        <v>11</v>
      </c>
      <c r="C22" s="134"/>
      <c r="D22" s="133">
        <v>432</v>
      </c>
      <c r="E22" s="134"/>
      <c r="F22" s="133" t="s">
        <v>26</v>
      </c>
      <c r="G22" s="134"/>
      <c r="H22" s="20">
        <f t="shared" si="0"/>
        <v>432</v>
      </c>
      <c r="I22" s="21">
        <f t="shared" si="1"/>
        <v>432</v>
      </c>
      <c r="J22" s="22">
        <f t="shared" si="2"/>
        <v>1</v>
      </c>
      <c r="K22" s="23">
        <v>0.625</v>
      </c>
      <c r="L22" s="24">
        <v>3000</v>
      </c>
      <c r="M22" s="31">
        <v>186.06</v>
      </c>
      <c r="N22" s="26">
        <f t="shared" si="4"/>
        <v>360.00000000001398</v>
      </c>
      <c r="O22" s="33"/>
      <c r="P22" s="28"/>
      <c r="Q22" s="29"/>
      <c r="R22" s="29"/>
      <c r="S22" s="29"/>
      <c r="T22" s="29"/>
      <c r="U22" s="30"/>
    </row>
    <row r="23" spans="1:21" s="3" customFormat="1" ht="15" customHeight="1">
      <c r="A23" s="19">
        <v>0.66666666666666696</v>
      </c>
      <c r="B23" s="133" t="s">
        <v>11</v>
      </c>
      <c r="C23" s="134"/>
      <c r="D23" s="133">
        <v>426</v>
      </c>
      <c r="E23" s="134"/>
      <c r="F23" s="133" t="s">
        <v>26</v>
      </c>
      <c r="G23" s="134"/>
      <c r="H23" s="20">
        <f t="shared" si="0"/>
        <v>426</v>
      </c>
      <c r="I23" s="21">
        <f t="shared" si="1"/>
        <v>426</v>
      </c>
      <c r="J23" s="22">
        <f t="shared" si="2"/>
        <v>1</v>
      </c>
      <c r="K23" s="23">
        <v>0.66666666666666596</v>
      </c>
      <c r="L23" s="24">
        <v>3000</v>
      </c>
      <c r="M23" s="31">
        <v>186.09</v>
      </c>
      <c r="N23" s="26">
        <f t="shared" si="4"/>
        <v>240.00000000012301</v>
      </c>
      <c r="O23" s="33"/>
      <c r="P23" s="28"/>
      <c r="Q23" s="29"/>
      <c r="R23" s="29"/>
      <c r="S23" s="29"/>
      <c r="T23" s="29"/>
      <c r="U23" s="30"/>
    </row>
    <row r="24" spans="1:21" s="3" customFormat="1" ht="15" customHeight="1">
      <c r="A24" s="19">
        <v>0.70833333333333404</v>
      </c>
      <c r="B24" s="133" t="s">
        <v>11</v>
      </c>
      <c r="C24" s="134"/>
      <c r="D24" s="133">
        <v>452</v>
      </c>
      <c r="E24" s="134"/>
      <c r="F24" s="133" t="s">
        <v>26</v>
      </c>
      <c r="G24" s="134"/>
      <c r="H24" s="20">
        <f t="shared" si="0"/>
        <v>452</v>
      </c>
      <c r="I24" s="21">
        <f t="shared" si="1"/>
        <v>452</v>
      </c>
      <c r="J24" s="22">
        <f t="shared" si="2"/>
        <v>1</v>
      </c>
      <c r="K24" s="23">
        <v>0.70833333333333304</v>
      </c>
      <c r="L24" s="24">
        <v>2700</v>
      </c>
      <c r="M24" s="31">
        <v>186.11</v>
      </c>
      <c r="N24" s="26">
        <f t="shared" si="4"/>
        <v>959.99999999980901</v>
      </c>
      <c r="O24" s="33"/>
      <c r="P24" s="28"/>
      <c r="Q24" s="29"/>
      <c r="R24" s="29"/>
      <c r="S24" s="29"/>
      <c r="T24" s="29"/>
      <c r="U24" s="30"/>
    </row>
    <row r="25" spans="1:21" s="3" customFormat="1" ht="15" customHeight="1">
      <c r="A25" s="19">
        <v>0.75</v>
      </c>
      <c r="B25" s="133" t="s">
        <v>11</v>
      </c>
      <c r="C25" s="134"/>
      <c r="D25" s="133">
        <v>245</v>
      </c>
      <c r="E25" s="134"/>
      <c r="F25" s="133">
        <v>278</v>
      </c>
      <c r="G25" s="134"/>
      <c r="H25" s="20">
        <f t="shared" si="0"/>
        <v>523</v>
      </c>
      <c r="I25" s="21">
        <f t="shared" si="1"/>
        <v>261.5</v>
      </c>
      <c r="J25" s="22">
        <f t="shared" si="2"/>
        <v>2</v>
      </c>
      <c r="K25" s="23">
        <v>0.75</v>
      </c>
      <c r="L25" s="24">
        <v>2400</v>
      </c>
      <c r="M25" s="31">
        <v>186.19</v>
      </c>
      <c r="N25" s="26">
        <f t="shared" si="4"/>
        <v>720.00000000002694</v>
      </c>
      <c r="O25" s="33"/>
      <c r="P25" s="28"/>
      <c r="Q25" s="29"/>
      <c r="R25" s="29"/>
      <c r="S25" s="29"/>
      <c r="T25" s="29"/>
      <c r="U25" s="30"/>
    </row>
    <row r="26" spans="1:21" s="3" customFormat="1" ht="15" customHeight="1">
      <c r="A26" s="19">
        <v>0.79166666666666696</v>
      </c>
      <c r="B26" s="133" t="s">
        <v>11</v>
      </c>
      <c r="C26" s="134"/>
      <c r="D26" s="133">
        <v>315</v>
      </c>
      <c r="E26" s="134"/>
      <c r="F26" s="133">
        <v>328</v>
      </c>
      <c r="G26" s="134"/>
      <c r="H26" s="20">
        <f t="shared" si="0"/>
        <v>643</v>
      </c>
      <c r="I26" s="21">
        <f t="shared" si="1"/>
        <v>321.5</v>
      </c>
      <c r="J26" s="22">
        <f t="shared" si="2"/>
        <v>2</v>
      </c>
      <c r="K26" s="23">
        <v>0.79166666666666596</v>
      </c>
      <c r="L26" s="24">
        <v>2100</v>
      </c>
      <c r="M26" s="31">
        <v>186.25</v>
      </c>
      <c r="N26" s="26">
        <f t="shared" si="4"/>
        <v>720.00000000002694</v>
      </c>
      <c r="O26" s="33"/>
      <c r="P26" s="28"/>
      <c r="Q26" s="29"/>
      <c r="R26" s="29"/>
      <c r="S26" s="29"/>
      <c r="T26" s="29"/>
      <c r="U26" s="30"/>
    </row>
    <row r="27" spans="1:21" s="3" customFormat="1" ht="15" customHeight="1">
      <c r="A27" s="19">
        <v>0.83333333333333404</v>
      </c>
      <c r="B27" s="133" t="s">
        <v>11</v>
      </c>
      <c r="C27" s="134"/>
      <c r="D27" s="133">
        <v>351</v>
      </c>
      <c r="E27" s="134"/>
      <c r="F27" s="133">
        <v>335</v>
      </c>
      <c r="G27" s="134"/>
      <c r="H27" s="20">
        <f t="shared" si="0"/>
        <v>686</v>
      </c>
      <c r="I27" s="21">
        <f t="shared" si="1"/>
        <v>343</v>
      </c>
      <c r="J27" s="22">
        <f t="shared" si="2"/>
        <v>2</v>
      </c>
      <c r="K27" s="23">
        <v>0.83333333333333304</v>
      </c>
      <c r="L27" s="24">
        <v>2100</v>
      </c>
      <c r="M27" s="31">
        <v>186.31</v>
      </c>
      <c r="N27" s="26">
        <f t="shared" si="4"/>
        <v>720.00000000002694</v>
      </c>
      <c r="O27" s="33"/>
      <c r="P27" s="28"/>
      <c r="Q27" s="29"/>
      <c r="R27" s="29"/>
      <c r="S27" s="29"/>
      <c r="T27" s="29"/>
      <c r="U27" s="30"/>
    </row>
    <row r="28" spans="1:21" s="4" customFormat="1" ht="15" customHeight="1">
      <c r="A28" s="19">
        <v>0.875</v>
      </c>
      <c r="B28" s="133" t="s">
        <v>11</v>
      </c>
      <c r="C28" s="134"/>
      <c r="D28" s="133">
        <v>335</v>
      </c>
      <c r="E28" s="134"/>
      <c r="F28" s="133">
        <v>314</v>
      </c>
      <c r="G28" s="134"/>
      <c r="H28" s="20">
        <f t="shared" si="0"/>
        <v>649</v>
      </c>
      <c r="I28" s="21">
        <f t="shared" si="1"/>
        <v>324.5</v>
      </c>
      <c r="J28" s="22">
        <f t="shared" si="2"/>
        <v>2</v>
      </c>
      <c r="K28" s="23">
        <v>0.875</v>
      </c>
      <c r="L28" s="24">
        <v>1800</v>
      </c>
      <c r="M28" s="31">
        <v>186.37</v>
      </c>
      <c r="N28" s="26">
        <f t="shared" si="4"/>
        <v>720.00000000002694</v>
      </c>
      <c r="O28" s="33"/>
      <c r="P28" s="28"/>
      <c r="Q28" s="29"/>
      <c r="R28" s="29"/>
      <c r="S28" s="29"/>
      <c r="T28" s="29"/>
      <c r="U28" s="30"/>
    </row>
    <row r="29" spans="1:21" s="3" customFormat="1" ht="15" customHeight="1">
      <c r="A29" s="19">
        <v>0.91666666666666696</v>
      </c>
      <c r="B29" s="133" t="s">
        <v>11</v>
      </c>
      <c r="C29" s="134"/>
      <c r="D29" s="133">
        <v>307</v>
      </c>
      <c r="E29" s="134"/>
      <c r="F29" s="133">
        <v>305</v>
      </c>
      <c r="G29" s="134"/>
      <c r="H29" s="20">
        <f t="shared" si="0"/>
        <v>612</v>
      </c>
      <c r="I29" s="21">
        <f t="shared" si="1"/>
        <v>306</v>
      </c>
      <c r="J29" s="22">
        <f t="shared" si="2"/>
        <v>2</v>
      </c>
      <c r="K29" s="23">
        <v>0.91666666666666596</v>
      </c>
      <c r="L29" s="24">
        <v>1800</v>
      </c>
      <c r="M29" s="31">
        <v>186.43</v>
      </c>
      <c r="N29" s="26">
        <f t="shared" si="4"/>
        <v>720.00000000002694</v>
      </c>
      <c r="O29" s="33"/>
      <c r="P29" s="28"/>
      <c r="Q29" s="29"/>
      <c r="R29" s="29"/>
      <c r="S29" s="29"/>
      <c r="T29" s="29"/>
      <c r="U29" s="30"/>
    </row>
    <row r="30" spans="1:21" s="3" customFormat="1" ht="15" customHeight="1">
      <c r="A30" s="19">
        <v>0.95833333333333404</v>
      </c>
      <c r="B30" s="133" t="s">
        <v>11</v>
      </c>
      <c r="C30" s="134"/>
      <c r="D30" s="133">
        <v>285</v>
      </c>
      <c r="E30" s="134"/>
      <c r="F30" s="133">
        <v>276</v>
      </c>
      <c r="G30" s="134"/>
      <c r="H30" s="20">
        <f t="shared" si="0"/>
        <v>561</v>
      </c>
      <c r="I30" s="21">
        <f t="shared" si="1"/>
        <v>280.5</v>
      </c>
      <c r="J30" s="22">
        <f t="shared" si="2"/>
        <v>2</v>
      </c>
      <c r="K30" s="23">
        <v>0.95833333333333304</v>
      </c>
      <c r="L30" s="24">
        <v>1800</v>
      </c>
      <c r="M30" s="31">
        <v>186.49</v>
      </c>
      <c r="N30" s="26">
        <f t="shared" si="4"/>
        <v>599.99999999979502</v>
      </c>
      <c r="O30" s="33"/>
      <c r="P30" s="28"/>
      <c r="Q30" s="29"/>
      <c r="R30" s="29"/>
      <c r="S30" s="29"/>
      <c r="T30" s="29"/>
      <c r="U30" s="30"/>
    </row>
    <row r="31" spans="1:21" s="2" customFormat="1" ht="15" customHeight="1">
      <c r="A31" s="34">
        <v>1</v>
      </c>
      <c r="B31" s="133" t="s">
        <v>11</v>
      </c>
      <c r="C31" s="134"/>
      <c r="D31" s="133">
        <v>259</v>
      </c>
      <c r="E31" s="134"/>
      <c r="F31" s="133">
        <v>268</v>
      </c>
      <c r="G31" s="134"/>
      <c r="H31" s="20">
        <f t="shared" si="0"/>
        <v>527</v>
      </c>
      <c r="I31" s="35">
        <f t="shared" si="1"/>
        <v>263.5</v>
      </c>
      <c r="J31" s="36">
        <f t="shared" si="2"/>
        <v>2</v>
      </c>
      <c r="K31" s="37">
        <v>1</v>
      </c>
      <c r="L31" s="24">
        <v>4500</v>
      </c>
      <c r="M31" s="38">
        <v>186.54</v>
      </c>
      <c r="N31" s="26">
        <f>H31</f>
        <v>527</v>
      </c>
      <c r="O31" s="33"/>
      <c r="P31" s="28"/>
      <c r="Q31" s="29"/>
      <c r="R31" s="29"/>
      <c r="S31" s="29"/>
      <c r="T31" s="29"/>
      <c r="U31" s="30"/>
    </row>
    <row r="32" spans="1:21" s="3" customFormat="1" ht="23.25" customHeight="1">
      <c r="A32" s="39" t="s">
        <v>12</v>
      </c>
      <c r="B32" s="135">
        <f>SUM(B8:B31)/1000</f>
        <v>0</v>
      </c>
      <c r="C32" s="136"/>
      <c r="D32" s="135">
        <f>SUM(D8:D31)/1000</f>
        <v>6.0010000000000003</v>
      </c>
      <c r="E32" s="136"/>
      <c r="F32" s="135">
        <f>SUM(F8:F31)/1000</f>
        <v>5.9939999999999998</v>
      </c>
      <c r="G32" s="136"/>
      <c r="H32" s="40">
        <f>SUM(H8:H31)</f>
        <v>11995</v>
      </c>
      <c r="I32" s="41" t="s">
        <v>13</v>
      </c>
      <c r="J32" s="42"/>
      <c r="K32" s="43"/>
      <c r="L32" s="44"/>
      <c r="M32" s="45">
        <f>SUM(M31-M8+N8)</f>
        <v>601.10000000013599</v>
      </c>
      <c r="N32" s="46">
        <f>SUM(N8:N31)</f>
        <v>13726.9999999999</v>
      </c>
      <c r="O32" s="47">
        <f>SUM(O8:O31)</f>
        <v>0</v>
      </c>
      <c r="P32" s="48"/>
      <c r="Q32" s="49"/>
      <c r="R32" s="49"/>
      <c r="S32" s="49"/>
      <c r="T32" s="49"/>
      <c r="U32" s="50"/>
    </row>
    <row r="33" spans="1:29" ht="15" customHeight="1">
      <c r="A33" s="143" t="s">
        <v>14</v>
      </c>
      <c r="B33" s="115" t="str">
        <f>IFERROR((AVERAGE(B8:B31)),"0")</f>
        <v>0</v>
      </c>
      <c r="C33" s="116"/>
      <c r="D33" s="119">
        <f>IFERROR((AVERAGE(D8:D31)),"0")</f>
        <v>300.05</v>
      </c>
      <c r="E33" s="116"/>
      <c r="F33" s="119">
        <f>IFERROR((AVERAGE(F8:F31)),"0")</f>
        <v>299.7</v>
      </c>
      <c r="G33" s="121"/>
      <c r="H33" s="147">
        <f>H32*1000</f>
        <v>11995000</v>
      </c>
      <c r="I33" s="149" t="s">
        <v>15</v>
      </c>
      <c r="J33" s="51"/>
      <c r="K33" s="52"/>
      <c r="L33" s="53"/>
      <c r="M33" s="54"/>
      <c r="N33" s="53"/>
      <c r="O33" s="55"/>
      <c r="P33" s="55"/>
      <c r="Q33" s="56"/>
      <c r="R33" s="56"/>
      <c r="S33" s="57"/>
      <c r="T33" s="57"/>
      <c r="U33" s="57"/>
      <c r="V33" s="57"/>
    </row>
    <row r="34" spans="1:29" ht="18.75" customHeight="1">
      <c r="A34" s="144"/>
      <c r="B34" s="117"/>
      <c r="C34" s="118"/>
      <c r="D34" s="120"/>
      <c r="E34" s="118"/>
      <c r="F34" s="120"/>
      <c r="G34" s="122"/>
      <c r="H34" s="148"/>
      <c r="I34" s="150"/>
      <c r="J34" s="58"/>
      <c r="K34" s="59"/>
      <c r="L34" s="53"/>
      <c r="M34" s="54"/>
      <c r="N34" s="160"/>
      <c r="O34" s="160"/>
      <c r="P34" s="160"/>
      <c r="Q34" s="160"/>
      <c r="R34" s="56"/>
      <c r="S34" s="57"/>
      <c r="T34" s="57"/>
      <c r="U34" s="57"/>
      <c r="V34" s="57"/>
    </row>
    <row r="35" spans="1:29" ht="22.5" customHeight="1">
      <c r="A35" s="60" t="s">
        <v>16</v>
      </c>
      <c r="B35" s="161">
        <f>COUNT(B8:B31)</f>
        <v>0</v>
      </c>
      <c r="C35" s="162"/>
      <c r="D35" s="163">
        <f>COUNT(D8:D31)</f>
        <v>20</v>
      </c>
      <c r="E35" s="162"/>
      <c r="F35" s="163">
        <f>COUNT(F8:F31)</f>
        <v>20</v>
      </c>
      <c r="G35" s="164"/>
      <c r="H35" s="61"/>
      <c r="I35" s="62"/>
      <c r="J35" s="63"/>
      <c r="K35" s="63"/>
      <c r="L35" s="63"/>
      <c r="M35" s="63"/>
      <c r="N35" s="160"/>
      <c r="O35" s="160"/>
      <c r="P35" s="160"/>
      <c r="Q35" s="160"/>
      <c r="R35" s="64"/>
      <c r="S35" s="57"/>
      <c r="T35" s="57"/>
      <c r="U35" s="57"/>
      <c r="V35" s="57"/>
    </row>
    <row r="36" spans="1:29" ht="9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2"/>
      <c r="O36" s="63"/>
      <c r="P36" s="63"/>
      <c r="Q36" s="63"/>
      <c r="R36" s="63"/>
      <c r="S36" s="63"/>
      <c r="T36" s="63"/>
      <c r="U36" s="67"/>
      <c r="V36" s="68"/>
      <c r="W36" s="64"/>
      <c r="X36" s="64"/>
      <c r="Y36" s="64"/>
      <c r="Z36" s="57"/>
      <c r="AA36" s="57"/>
      <c r="AB36" s="57"/>
      <c r="AC36" s="57"/>
    </row>
    <row r="37" spans="1:29" ht="24" customHeight="1">
      <c r="D37" s="69"/>
      <c r="E37" s="69"/>
      <c r="F37" s="69"/>
      <c r="G37" s="69"/>
      <c r="H37" s="69"/>
      <c r="I37" s="69"/>
      <c r="J37" s="69"/>
      <c r="K37" s="70"/>
      <c r="L37" s="70"/>
      <c r="N37" s="165" t="s">
        <v>17</v>
      </c>
      <c r="O37" s="166"/>
      <c r="P37" s="166"/>
      <c r="Q37" s="167"/>
      <c r="R37" s="71">
        <f>SUM(B35:F35)</f>
        <v>40</v>
      </c>
      <c r="S37" s="44"/>
      <c r="T37" s="44"/>
      <c r="U37" s="44"/>
      <c r="V37" s="44"/>
      <c r="X37" s="72"/>
      <c r="Y37" s="72"/>
      <c r="Z37" s="72"/>
      <c r="AA37" s="72"/>
      <c r="AB37" s="72"/>
      <c r="AC37" s="70"/>
    </row>
    <row r="38" spans="1:29">
      <c r="D38" s="69"/>
      <c r="E38" s="69"/>
      <c r="F38" s="69"/>
      <c r="G38" s="69"/>
      <c r="H38" s="69"/>
      <c r="I38" s="69"/>
      <c r="J38" s="69"/>
      <c r="K38" s="70"/>
      <c r="L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9" ht="24.75" customHeight="1">
      <c r="A39" s="123" t="s">
        <v>18</v>
      </c>
      <c r="B39" s="124"/>
      <c r="C39" s="125">
        <f>MAX(H8:H31)</f>
        <v>686</v>
      </c>
      <c r="D39" s="126"/>
      <c r="E39" s="73">
        <f>VLOOKUP(C39,H8:L31,4,FALSE)</f>
        <v>0.83333333333333304</v>
      </c>
      <c r="F39" s="74"/>
      <c r="G39" s="74"/>
      <c r="H39" s="127" t="s">
        <v>19</v>
      </c>
      <c r="I39" s="128"/>
      <c r="J39" s="129"/>
      <c r="K39" s="75">
        <f>MAX(J8:J31)</f>
        <v>2</v>
      </c>
      <c r="L39" s="76"/>
      <c r="N39" s="130" t="s">
        <v>20</v>
      </c>
      <c r="O39" s="131"/>
      <c r="P39" s="131"/>
      <c r="Q39" s="132"/>
      <c r="R39" s="77">
        <f>AVERAGE(H8:H31)</f>
        <v>499.79166666666703</v>
      </c>
      <c r="S39" s="78"/>
      <c r="T39" s="78"/>
    </row>
    <row r="40" spans="1:29">
      <c r="C40" s="79"/>
      <c r="D40" s="80"/>
      <c r="E40" s="81"/>
      <c r="F40" s="81"/>
      <c r="G40" s="81"/>
      <c r="H40" s="81"/>
      <c r="I40" s="82"/>
      <c r="J40" s="62"/>
      <c r="K40" s="66"/>
      <c r="L40" s="66"/>
      <c r="N40" s="83"/>
      <c r="O40" s="83"/>
      <c r="P40" s="83"/>
      <c r="Q40" s="83"/>
      <c r="R40" s="83"/>
      <c r="X40" s="5"/>
      <c r="Y40" s="5"/>
      <c r="Z40" s="5"/>
      <c r="AA40" s="5"/>
      <c r="AB40" s="5"/>
      <c r="AC40" s="84"/>
    </row>
    <row r="41" spans="1:29" ht="24.75" customHeight="1">
      <c r="A41" s="123" t="s">
        <v>21</v>
      </c>
      <c r="B41" s="124"/>
      <c r="C41" s="125">
        <f>MIN(H8:H31)</f>
        <v>426</v>
      </c>
      <c r="D41" s="126"/>
      <c r="E41" s="73">
        <f>VLOOKUP(C41,H8:L31,4,FALSE)</f>
        <v>0.66666666666666596</v>
      </c>
      <c r="F41" s="85"/>
      <c r="G41" s="74"/>
      <c r="H41" s="127" t="s">
        <v>22</v>
      </c>
      <c r="I41" s="128"/>
      <c r="J41" s="129"/>
      <c r="K41" s="75">
        <f>MIN(J8:J31)</f>
        <v>1</v>
      </c>
      <c r="L41" s="76"/>
      <c r="N41" s="127" t="s">
        <v>23</v>
      </c>
      <c r="O41" s="128"/>
      <c r="P41" s="128"/>
      <c r="Q41" s="129"/>
      <c r="R41" s="86">
        <f>AVERAGE(I8:I31)</f>
        <v>323.125</v>
      </c>
      <c r="S41" s="87"/>
      <c r="T41" s="87"/>
      <c r="U41" s="87"/>
      <c r="V41" s="87"/>
      <c r="X41" s="88"/>
    </row>
    <row r="42" spans="1:29">
      <c r="D42" s="81"/>
      <c r="E42" s="81"/>
      <c r="F42" s="81"/>
      <c r="G42" s="81"/>
      <c r="H42" s="81"/>
      <c r="I42" s="89"/>
      <c r="J42" s="81"/>
      <c r="K42" s="90"/>
      <c r="L42" s="90"/>
      <c r="V42" s="91"/>
      <c r="W42" s="91"/>
      <c r="X42" s="92"/>
      <c r="Y42" s="92"/>
      <c r="Z42" s="93"/>
      <c r="AA42" s="93"/>
      <c r="AB42" s="93"/>
      <c r="AC42" s="93"/>
    </row>
    <row r="43" spans="1:29" ht="24.75" customHeight="1">
      <c r="C43" s="79"/>
      <c r="H43" s="137"/>
      <c r="I43" s="137"/>
      <c r="J43" s="137"/>
      <c r="K43" s="88"/>
      <c r="L43" s="82"/>
      <c r="N43" s="138" t="s">
        <v>24</v>
      </c>
      <c r="O43" s="139"/>
      <c r="P43" s="139"/>
      <c r="Q43" s="140"/>
      <c r="R43" s="94" t="e">
        <f>AVERAGE(T8:T31)</f>
        <v>#DIV/0!</v>
      </c>
      <c r="X43" s="95"/>
      <c r="Z43" s="96"/>
      <c r="AA43" s="96"/>
      <c r="AB43" s="96"/>
      <c r="AC43" s="96"/>
    </row>
    <row r="44" spans="1:29" ht="18.5">
      <c r="I44" s="97"/>
      <c r="K44" s="98"/>
      <c r="L44" s="98"/>
      <c r="Z44" s="99"/>
      <c r="AA44" s="99"/>
      <c r="AB44" s="99"/>
      <c r="AC44" s="99"/>
    </row>
    <row r="45" spans="1:29" ht="24.75" customHeight="1">
      <c r="D45" s="97"/>
      <c r="E45" s="97"/>
      <c r="F45" s="97"/>
      <c r="G45" s="97"/>
      <c r="H45" s="97"/>
      <c r="N45" s="127" t="s">
        <v>25</v>
      </c>
      <c r="O45" s="128"/>
      <c r="P45" s="128"/>
      <c r="Q45" s="129"/>
      <c r="R45" s="100">
        <f>SUM(M32-H32)/24</f>
        <v>-474.74583333332799</v>
      </c>
      <c r="X45" s="101"/>
      <c r="Z45" s="102"/>
      <c r="AA45" s="102"/>
      <c r="AB45" s="102"/>
      <c r="AC45" s="102"/>
    </row>
    <row r="46" spans="1:29">
      <c r="Z46" s="103"/>
      <c r="AA46" s="103"/>
      <c r="AB46" s="103"/>
      <c r="AC46" s="103"/>
    </row>
    <row r="47" spans="1:29">
      <c r="Z47" s="82"/>
      <c r="AA47" s="82"/>
      <c r="AB47" s="82"/>
      <c r="AC47" s="82"/>
    </row>
    <row r="48" spans="1:29">
      <c r="Z48" s="82"/>
      <c r="AA48" s="82"/>
      <c r="AB48" s="82"/>
      <c r="AC48" s="82"/>
    </row>
    <row r="49" spans="11:29">
      <c r="Z49" s="96"/>
      <c r="AA49" s="96"/>
      <c r="AB49" s="96"/>
      <c r="AC49" s="96"/>
    </row>
    <row r="50" spans="11:29">
      <c r="Z50" s="96"/>
      <c r="AA50" s="96"/>
      <c r="AB50" s="96"/>
      <c r="AC50" s="96"/>
    </row>
    <row r="51" spans="11:29">
      <c r="K51" s="93"/>
      <c r="L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1:29">
      <c r="K52" s="93"/>
      <c r="L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1:29">
      <c r="K53" s="93"/>
      <c r="L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60" spans="11:29">
      <c r="O60" s="104"/>
      <c r="P60" s="104"/>
      <c r="Q60" s="104"/>
      <c r="R60" s="104"/>
      <c r="S60" s="104"/>
      <c r="T60" s="104"/>
    </row>
    <row r="61" spans="11:29">
      <c r="O61" s="104"/>
      <c r="P61" s="104"/>
      <c r="Q61" s="104"/>
      <c r="R61" s="104"/>
      <c r="S61" s="104"/>
      <c r="T61" s="104"/>
    </row>
    <row r="62" spans="11:29">
      <c r="O62" s="104"/>
      <c r="P62" s="104"/>
      <c r="Q62" s="104"/>
      <c r="R62" s="104"/>
      <c r="S62" s="104"/>
      <c r="T62" s="104"/>
    </row>
    <row r="63" spans="11:29">
      <c r="O63" s="104"/>
      <c r="P63" s="104"/>
      <c r="Q63" s="104"/>
      <c r="R63" s="104"/>
      <c r="S63" s="104"/>
      <c r="T63" s="104"/>
    </row>
    <row r="64" spans="11:29">
      <c r="O64" s="104"/>
      <c r="P64" s="104"/>
      <c r="Q64" s="104"/>
      <c r="R64" s="104"/>
      <c r="S64" s="104"/>
      <c r="T64" s="104"/>
    </row>
    <row r="65" spans="15:20">
      <c r="O65" s="104"/>
      <c r="P65" s="104"/>
      <c r="Q65" s="104"/>
      <c r="R65" s="104"/>
      <c r="S65" s="104"/>
      <c r="T65" s="104"/>
    </row>
    <row r="66" spans="15:20">
      <c r="O66" s="104"/>
      <c r="P66" s="104"/>
      <c r="Q66" s="104"/>
      <c r="R66" s="104"/>
      <c r="S66" s="104"/>
      <c r="T66" s="104"/>
    </row>
    <row r="67" spans="15:20">
      <c r="O67" s="104"/>
      <c r="P67" s="104"/>
      <c r="Q67" s="104"/>
      <c r="R67" s="104"/>
      <c r="S67" s="104"/>
      <c r="T67" s="104"/>
    </row>
    <row r="68" spans="15:20">
      <c r="O68" s="104"/>
      <c r="P68" s="104"/>
      <c r="Q68" s="104"/>
      <c r="R68" s="104"/>
      <c r="S68" s="104"/>
      <c r="T68" s="104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F28:G28"/>
    <mergeCell ref="B29:C29"/>
    <mergeCell ref="D29:E29"/>
    <mergeCell ref="F29:G29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T6:T7"/>
    <mergeCell ref="U6:U7"/>
    <mergeCell ref="B33:C34"/>
    <mergeCell ref="D33:E34"/>
    <mergeCell ref="F33:G34"/>
    <mergeCell ref="A41:B41"/>
    <mergeCell ref="C41:D41"/>
    <mergeCell ref="H41:J41"/>
    <mergeCell ref="N41:Q41"/>
    <mergeCell ref="N39:Q3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27:C27"/>
    <mergeCell ref="D27:E27"/>
    <mergeCell ref="F27:G27"/>
    <mergeCell ref="B28:C28"/>
    <mergeCell ref="D28:E28"/>
  </mergeCells>
  <phoneticPr fontId="37" type="noConversion"/>
  <conditionalFormatting sqref="A30">
    <cfRule type="cellIs" dxfId="16" priority="11" operator="equal">
      <formula>"STB"</formula>
    </cfRule>
    <cfRule type="cellIs" dxfId="15" priority="12" operator="equal">
      <formula>"BD"</formula>
    </cfRule>
  </conditionalFormatting>
  <conditionalFormatting sqref="B8:B31">
    <cfRule type="cellIs" dxfId="14" priority="1" operator="equal">
      <formula>"STB"</formula>
    </cfRule>
    <cfRule type="cellIs" dxfId="13" priority="2" operator="equal">
      <formula>"BD"</formula>
    </cfRule>
  </conditionalFormatting>
  <conditionalFormatting sqref="D8:D31">
    <cfRule type="cellIs" dxfId="12" priority="8" operator="equal">
      <formula>"STB"</formula>
    </cfRule>
    <cfRule type="cellIs" dxfId="11" priority="9" operator="equal">
      <formula>"BD"</formula>
    </cfRule>
  </conditionalFormatting>
  <conditionalFormatting sqref="F8:F31">
    <cfRule type="cellIs" dxfId="10" priority="3" operator="equal">
      <formula>"STB"</formula>
    </cfRule>
    <cfRule type="cellIs" dxfId="9" priority="4" operator="equal">
      <formula>"BD"</formula>
    </cfRule>
  </conditionalFormatting>
  <conditionalFormatting sqref="H8:H31">
    <cfRule type="top10" dxfId="8" priority="5" bottom="1" rank="1"/>
    <cfRule type="top10" dxfId="7" priority="6" rank="1"/>
    <cfRule type="cellIs" dxfId="6" priority="7" stopIfTrue="1" operator="equal">
      <formula>28000</formula>
    </cfRule>
  </conditionalFormatting>
  <conditionalFormatting sqref="H32:H33">
    <cfRule type="top10" dxfId="5" priority="14" bottom="1" rank="1"/>
    <cfRule type="top10" dxfId="4" priority="15" rank="1"/>
    <cfRule type="cellIs" dxfId="3" priority="17" stopIfTrue="1" operator="equal">
      <formula>28000</formula>
    </cfRule>
  </conditionalFormatting>
  <conditionalFormatting sqref="N8 N9:O31">
    <cfRule type="cellIs" dxfId="2" priority="16" operator="equal">
      <formula>"BD"</formula>
    </cfRule>
  </conditionalFormatting>
  <conditionalFormatting sqref="O8">
    <cfRule type="cellIs" dxfId="1" priority="10" operator="equal">
      <formula>"N/A"</formula>
    </cfRule>
  </conditionalFormatting>
  <conditionalFormatting sqref="Y8:Y31">
    <cfRule type="containsText" dxfId="0" priority="13" operator="containsText" text="-">
      <formula>NOT(ISERROR(SEARCH("-",Y8)))</formula>
    </cfRule>
  </conditionalFormatting>
  <pageMargins left="0.7" right="0.7" top="0.75" bottom="0.75" header="0.3" footer="0.3"/>
  <pageSetup orientation="portrait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Sunannoor</dc:creator>
  <cp:lastModifiedBy>Haoran Cheng</cp:lastModifiedBy>
  <dcterms:created xsi:type="dcterms:W3CDTF">2025-04-28T06:29:00Z</dcterms:created>
  <dcterms:modified xsi:type="dcterms:W3CDTF">2026-06-22T09:33:59Z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C51BE38F8EA544049FC97D766B7B07CE_12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