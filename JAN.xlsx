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938" activeTab="30"/>
  </bookViews>
  <sheets>
    <sheet name="1" sheetId="1" r:id="rId1"/>
    <sheet name="2" sheetId="2" r:id="rId2"/>
    <sheet name="3" sheetId="3" r:id="rId3"/>
    <sheet name="4" sheetId="4" r:id="rId4"/>
    <sheet name="5" sheetId="5" r:id="rId5"/>
    <sheet name="6" sheetId="6" r:id="rId6"/>
    <sheet name="7" sheetId="7" r:id="rId7"/>
    <sheet name="8" sheetId="8" r:id="rId8"/>
    <sheet name="9" sheetId="9" r:id="rId9"/>
    <sheet name="10" sheetId="10" r:id="rId10"/>
    <sheet name="11" sheetId="11" r:id="rId11"/>
    <sheet name="12" sheetId="12" r:id="rId12"/>
    <sheet name="13" sheetId="13" r:id="rId13"/>
    <sheet name="14" sheetId="14" r:id="rId14"/>
    <sheet name="15" sheetId="15" r:id="rId15"/>
    <sheet name="16" sheetId="16" r:id="rId16"/>
    <sheet name="17" sheetId="17" r:id="rId17"/>
    <sheet name="18" sheetId="18" r:id="rId18"/>
    <sheet name="19" sheetId="19" r:id="rId19"/>
    <sheet name="20" sheetId="20" r:id="rId20"/>
    <sheet name="21" sheetId="21" r:id="rId21"/>
    <sheet name="22" sheetId="22" r:id="rId22"/>
    <sheet name="23" sheetId="23" r:id="rId23"/>
    <sheet name="24" sheetId="24" r:id="rId24"/>
    <sheet name="25" sheetId="25" r:id="rId25"/>
    <sheet name="26" sheetId="26" r:id="rId26"/>
    <sheet name="27" sheetId="27" r:id="rId27"/>
    <sheet name="28" sheetId="28" r:id="rId28"/>
    <sheet name="29" sheetId="29" r:id="rId29"/>
    <sheet name="30" sheetId="30" r:id="rId30"/>
    <sheet name="31" sheetId="31" r:id="rId31"/>
  </sheets>
  <externalReferences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<sst xmlns="http://schemas.openxmlformats.org/spreadsheetml/2006/main" count="1835" uniqueCount="27">
  <si>
    <t>Time</t>
  </si>
  <si>
    <t>G1</t>
  </si>
  <si>
    <t>G2</t>
  </si>
  <si>
    <t>G3</t>
  </si>
  <si>
    <t>Hourly kW·h</t>
  </si>
  <si>
    <t xml:space="preserve"> Ave KW Genset</t>
  </si>
  <si>
    <t>No. of Gen. Running</t>
  </si>
  <si>
    <t>Tank 1</t>
  </si>
  <si>
    <t>kWhr Meter</t>
  </si>
  <si>
    <t>Hourly Production</t>
  </si>
  <si>
    <t xml:space="preserve">Power Difference </t>
  </si>
  <si>
    <t>BD</t>
  </si>
  <si>
    <t>Daily Totals</t>
  </si>
  <si>
    <t>Daily MW/hrs</t>
  </si>
  <si>
    <t>Ave. kW Per Daily</t>
  </si>
  <si>
    <t>Daily kW/hrs</t>
  </si>
  <si>
    <t>Run Hours</t>
  </si>
  <si>
    <t>Total Gen set running hours</t>
  </si>
  <si>
    <t>Max Daily Peak Load MW @</t>
  </si>
  <si>
    <t>Maximum Peak No. of Gen. Running</t>
  </si>
  <si>
    <t>Daily Average Hourly OUTPUT (kW)</t>
  </si>
  <si>
    <t xml:space="preserve"> Min Daily Peak Load MW @</t>
  </si>
  <si>
    <t>Minimum Peak No. of Gen. Running</t>
  </si>
  <si>
    <t xml:space="preserve">Daily Average Gen kW                            </t>
  </si>
  <si>
    <t>Average Power factor</t>
  </si>
  <si>
    <t>Average Hourly Power Diff.                                           (Gen MW/h : kWhr Meter MW/h)</t>
  </si>
  <si>
    <t>STB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</si>
</sst>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176" formatCode="_(* #,##0.00_);_(* \(#,##0.00\);_(* &quot;-&quot;??_);_(@_)"/>
    <numFmt numFmtId="177" formatCode="[$-409]d\-mmm\-yy;@"/>
    <numFmt numFmtId="178" formatCode="h:mm;@"/>
    <numFmt numFmtId="179" formatCode="0.000"/>
    <numFmt numFmtId="180" formatCode="#,##0.000"/>
    <numFmt numFmtId="181" formatCode="_-* #,##0_-;\-* #,##0_-;_-* &quot;-&quot;??_-;_-@_-"/>
    <numFmt numFmtId="182" formatCode="#####0\ &quot;MWhrs&quot;"/>
    <numFmt numFmtId="183" formatCode="0;[Red]0"/>
    <numFmt numFmtId="184" formatCode="#,##0\ &quot;kW&quot;"/>
    <numFmt numFmtId="185" formatCode="##0\ &quot;kW&quot;"/>
  </numFmts>
  <fonts count="56">
    <font>
      <sz val="11"/>
      <color theme="1"/>
      <name val="等线"/>
      <charset val="134"/>
      <scheme val="minor"/>
    </font>
    <font>
      <b/>
      <sz val="12"/>
      <name val="Arial"/>
      <charset val="134"/>
    </font>
    <font>
      <b/>
      <sz val="20"/>
      <name val="Calibri"/>
      <charset val="134"/>
    </font>
    <font>
      <b/>
      <sz val="14"/>
      <name val="Calibri"/>
      <charset val="134"/>
    </font>
    <font>
      <sz val="12"/>
      <name val="Calibri"/>
      <charset val="134"/>
    </font>
    <font>
      <sz val="14"/>
      <name val="Calibri"/>
      <charset val="134"/>
    </font>
    <font>
      <sz val="9"/>
      <name val="Calibri"/>
      <charset val="134"/>
    </font>
    <font>
      <b/>
      <sz val="8"/>
      <name val="Arial"/>
      <charset val="134"/>
    </font>
    <font>
      <b/>
      <sz val="8"/>
      <name val="Times New Roman"/>
      <charset val="134"/>
    </font>
    <font>
      <b/>
      <sz val="8"/>
      <color indexed="8"/>
      <name val="Arial"/>
      <charset val="134"/>
    </font>
    <font>
      <b/>
      <sz val="10"/>
      <name val="Arial"/>
      <charset val="134"/>
    </font>
    <font>
      <b/>
      <sz val="8"/>
      <color indexed="8"/>
      <name val="Calibri"/>
      <charset val="134"/>
    </font>
    <font>
      <b/>
      <sz val="8"/>
      <name val="等线"/>
      <charset val="134"/>
      <scheme val="minor"/>
    </font>
    <font>
      <b/>
      <i/>
      <sz val="8"/>
      <color indexed="10"/>
      <name val="等线"/>
      <charset val="134"/>
      <scheme val="minor"/>
    </font>
    <font>
      <b/>
      <sz val="8"/>
      <color indexed="8"/>
      <name val="等线"/>
      <charset val="134"/>
      <scheme val="minor"/>
    </font>
    <font>
      <b/>
      <i/>
      <sz val="8"/>
      <color rgb="FFFF0000"/>
      <name val="等线"/>
      <charset val="134"/>
      <scheme val="minor"/>
    </font>
    <font>
      <sz val="9"/>
      <name val="Arial"/>
      <charset val="134"/>
    </font>
    <font>
      <b/>
      <sz val="8"/>
      <name val="Calibri"/>
      <charset val="134"/>
    </font>
    <font>
      <b/>
      <i/>
      <sz val="8"/>
      <color indexed="10"/>
      <name val="Calibri"/>
      <charset val="134"/>
    </font>
    <font>
      <b/>
      <sz val="11"/>
      <name val="Calibri"/>
      <charset val="134"/>
    </font>
    <font>
      <b/>
      <sz val="9"/>
      <name val="Calibri"/>
      <charset val="134"/>
    </font>
    <font>
      <sz val="8"/>
      <name val="Calibri"/>
      <charset val="134"/>
    </font>
    <font>
      <sz val="8"/>
      <color indexed="55"/>
      <name val="Calibri"/>
      <charset val="134"/>
    </font>
    <font>
      <b/>
      <sz val="10"/>
      <name val="Calibri"/>
      <charset val="134"/>
    </font>
    <font>
      <b/>
      <sz val="8"/>
      <color indexed="63"/>
      <name val="Calibri"/>
      <charset val="134"/>
    </font>
    <font>
      <b/>
      <sz val="8"/>
      <color theme="1"/>
      <name val="等线"/>
      <charset val="134"/>
      <scheme val="minor"/>
    </font>
    <font>
      <sz val="8"/>
      <color theme="1"/>
      <name val="等线"/>
      <charset val="134"/>
      <scheme val="minor"/>
    </font>
    <font>
      <sz val="8"/>
      <color indexed="9"/>
      <name val="Arial"/>
      <charset val="134"/>
    </font>
    <font>
      <b/>
      <sz val="8"/>
      <color indexed="9"/>
      <name val="Calibri"/>
      <charset val="134"/>
    </font>
    <font>
      <sz val="8"/>
      <color indexed="8"/>
      <name val="Arial"/>
      <charset val="134"/>
    </font>
    <font>
      <sz val="10"/>
      <color indexed="8"/>
      <name val="Arial"/>
      <charset val="134"/>
    </font>
    <font>
      <sz val="10"/>
      <color indexed="9"/>
      <name val="Arial"/>
      <charset val="134"/>
    </font>
    <font>
      <sz val="8"/>
      <color indexed="56"/>
      <name val="Arial"/>
      <charset val="134"/>
    </font>
    <font>
      <b/>
      <sz val="14"/>
      <color indexed="9"/>
      <name val="Calibri"/>
      <charset val="134"/>
    </font>
    <font>
      <b/>
      <sz val="10"/>
      <color indexed="9"/>
      <name val="Calibri"/>
      <charset val="134"/>
    </font>
    <font>
      <b/>
      <sz val="10"/>
      <color indexed="9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5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00F0E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rgb="FF92FC80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indexed="8"/>
      </bottom>
      <diagonal/>
    </border>
    <border>
      <left style="medium">
        <color auto="1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/>
    <xf numFmtId="44" fontId="36" fillId="0" borderId="0" applyFont="0" applyFill="0" applyBorder="0" applyAlignment="0" applyProtection="0">
      <alignment vertical="center"/>
    </xf>
    <xf numFmtId="9" fontId="36" fillId="0" borderId="0" applyFont="0" applyFill="0" applyBorder="0" applyAlignment="0" applyProtection="0">
      <alignment vertical="center"/>
    </xf>
    <xf numFmtId="41" fontId="36" fillId="0" borderId="0" applyFont="0" applyFill="0" applyBorder="0" applyAlignment="0" applyProtection="0">
      <alignment vertical="center"/>
    </xf>
    <xf numFmtId="42" fontId="36" fillId="0" borderId="0" applyFon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6" fillId="21" borderId="41" applyNumberFormat="0" applyFont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42" applyNumberFormat="0" applyFill="0" applyAlignment="0" applyProtection="0">
      <alignment vertical="center"/>
    </xf>
    <xf numFmtId="0" fontId="43" fillId="0" borderId="42" applyNumberFormat="0" applyFill="0" applyAlignment="0" applyProtection="0">
      <alignment vertical="center"/>
    </xf>
    <xf numFmtId="0" fontId="44" fillId="0" borderId="43" applyNumberFormat="0" applyFill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22" borderId="44" applyNumberFormat="0" applyAlignment="0" applyProtection="0">
      <alignment vertical="center"/>
    </xf>
    <xf numFmtId="0" fontId="46" fillId="23" borderId="45" applyNumberFormat="0" applyAlignment="0" applyProtection="0">
      <alignment vertical="center"/>
    </xf>
    <xf numFmtId="0" fontId="47" fillId="23" borderId="44" applyNumberFormat="0" applyAlignment="0" applyProtection="0">
      <alignment vertical="center"/>
    </xf>
    <xf numFmtId="0" fontId="48" fillId="24" borderId="46" applyNumberFormat="0" applyAlignment="0" applyProtection="0">
      <alignment vertical="center"/>
    </xf>
    <xf numFmtId="0" fontId="49" fillId="0" borderId="47" applyNumberFormat="0" applyFill="0" applyAlignment="0" applyProtection="0">
      <alignment vertical="center"/>
    </xf>
    <xf numFmtId="0" fontId="50" fillId="0" borderId="48" applyNumberFormat="0" applyFill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4" fillId="28" borderId="0" applyNumberFormat="0" applyBorder="0" applyAlignment="0" applyProtection="0">
      <alignment vertical="center"/>
    </xf>
    <xf numFmtId="0" fontId="55" fillId="29" borderId="0" applyNumberFormat="0" applyBorder="0" applyAlignment="0" applyProtection="0">
      <alignment vertical="center"/>
    </xf>
    <xf numFmtId="0" fontId="55" fillId="30" borderId="0" applyNumberFormat="0" applyBorder="0" applyAlignment="0" applyProtection="0">
      <alignment vertical="center"/>
    </xf>
    <xf numFmtId="0" fontId="54" fillId="31" borderId="0" applyNumberFormat="0" applyBorder="0" applyAlignment="0" applyProtection="0">
      <alignment vertical="center"/>
    </xf>
    <xf numFmtId="0" fontId="54" fillId="32" borderId="0" applyNumberFormat="0" applyBorder="0" applyAlignment="0" applyProtection="0">
      <alignment vertical="center"/>
    </xf>
    <xf numFmtId="0" fontId="55" fillId="33" borderId="0" applyNumberFormat="0" applyBorder="0" applyAlignment="0" applyProtection="0">
      <alignment vertical="center"/>
    </xf>
    <xf numFmtId="0" fontId="55" fillId="34" borderId="0" applyNumberFormat="0" applyBorder="0" applyAlignment="0" applyProtection="0">
      <alignment vertical="center"/>
    </xf>
    <xf numFmtId="0" fontId="54" fillId="35" borderId="0" applyNumberFormat="0" applyBorder="0" applyAlignment="0" applyProtection="0">
      <alignment vertical="center"/>
    </xf>
    <xf numFmtId="0" fontId="54" fillId="36" borderId="0" applyNumberFormat="0" applyBorder="0" applyAlignment="0" applyProtection="0">
      <alignment vertical="center"/>
    </xf>
    <xf numFmtId="0" fontId="55" fillId="37" borderId="0" applyNumberFormat="0" applyBorder="0" applyAlignment="0" applyProtection="0">
      <alignment vertical="center"/>
    </xf>
    <xf numFmtId="0" fontId="55" fillId="38" borderId="0" applyNumberFormat="0" applyBorder="0" applyAlignment="0" applyProtection="0">
      <alignment vertical="center"/>
    </xf>
    <xf numFmtId="0" fontId="54" fillId="39" borderId="0" applyNumberFormat="0" applyBorder="0" applyAlignment="0" applyProtection="0">
      <alignment vertical="center"/>
    </xf>
    <xf numFmtId="0" fontId="54" fillId="40" borderId="0" applyNumberFormat="0" applyBorder="0" applyAlignment="0" applyProtection="0">
      <alignment vertical="center"/>
    </xf>
    <xf numFmtId="0" fontId="55" fillId="41" borderId="0" applyNumberFormat="0" applyBorder="0" applyAlignment="0" applyProtection="0">
      <alignment vertical="center"/>
    </xf>
    <xf numFmtId="0" fontId="55" fillId="42" borderId="0" applyNumberFormat="0" applyBorder="0" applyAlignment="0" applyProtection="0">
      <alignment vertical="center"/>
    </xf>
    <xf numFmtId="0" fontId="54" fillId="43" borderId="0" applyNumberFormat="0" applyBorder="0" applyAlignment="0" applyProtection="0">
      <alignment vertical="center"/>
    </xf>
    <xf numFmtId="0" fontId="54" fillId="44" borderId="0" applyNumberFormat="0" applyBorder="0" applyAlignment="0" applyProtection="0">
      <alignment vertical="center"/>
    </xf>
    <xf numFmtId="0" fontId="55" fillId="45" borderId="0" applyNumberFormat="0" applyBorder="0" applyAlignment="0" applyProtection="0">
      <alignment vertical="center"/>
    </xf>
    <xf numFmtId="0" fontId="55" fillId="46" borderId="0" applyNumberFormat="0" applyBorder="0" applyAlignment="0" applyProtection="0">
      <alignment vertical="center"/>
    </xf>
    <xf numFmtId="0" fontId="54" fillId="47" borderId="0" applyNumberFormat="0" applyBorder="0" applyAlignment="0" applyProtection="0">
      <alignment vertical="center"/>
    </xf>
    <xf numFmtId="0" fontId="54" fillId="48" borderId="0" applyNumberFormat="0" applyBorder="0" applyAlignment="0" applyProtection="0">
      <alignment vertical="center"/>
    </xf>
    <xf numFmtId="0" fontId="55" fillId="49" borderId="0" applyNumberFormat="0" applyBorder="0" applyAlignment="0" applyProtection="0">
      <alignment vertical="center"/>
    </xf>
    <xf numFmtId="0" fontId="55" fillId="50" borderId="0" applyNumberFormat="0" applyBorder="0" applyAlignment="0" applyProtection="0">
      <alignment vertical="center"/>
    </xf>
    <xf numFmtId="0" fontId="54" fillId="51" borderId="0" applyNumberFormat="0" applyBorder="0" applyAlignment="0" applyProtection="0">
      <alignment vertical="center"/>
    </xf>
  </cellStyleXfs>
  <cellXfs count="169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 vertical="center" wrapText="1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77" fontId="4" fillId="2" borderId="0" xfId="0" applyNumberFormat="1" applyFont="1" applyFill="1" applyAlignment="1">
      <alignment vertical="center"/>
    </xf>
    <xf numFmtId="177" fontId="5" fillId="2" borderId="0" xfId="0" applyNumberFormat="1" applyFont="1" applyFill="1" applyAlignment="1">
      <alignment vertical="center"/>
    </xf>
    <xf numFmtId="177" fontId="6" fillId="3" borderId="1" xfId="0" applyNumberFormat="1" applyFont="1" applyFill="1" applyBorder="1" applyAlignment="1">
      <alignment horizontal="center" vertical="center"/>
    </xf>
    <xf numFmtId="177" fontId="6" fillId="3" borderId="2" xfId="0" applyNumberFormat="1" applyFont="1" applyFill="1" applyBorder="1" applyAlignment="1">
      <alignment horizontal="center" vertical="center"/>
    </xf>
    <xf numFmtId="177" fontId="6" fillId="3" borderId="3" xfId="0" applyNumberFormat="1" applyFont="1" applyFill="1" applyBorder="1" applyAlignment="1">
      <alignment horizontal="center" vertical="center"/>
    </xf>
    <xf numFmtId="177" fontId="5" fillId="4" borderId="0" xfId="0" applyNumberFormat="1" applyFont="1" applyFill="1" applyAlignment="1">
      <alignment vertical="center"/>
    </xf>
    <xf numFmtId="177" fontId="4" fillId="2" borderId="0" xfId="0" applyNumberFormat="1" applyFont="1" applyFill="1" applyAlignment="1">
      <alignment horizontal="center" vertical="center"/>
    </xf>
    <xf numFmtId="0" fontId="0" fillId="2" borderId="4" xfId="0" applyFill="1" applyBorder="1"/>
    <xf numFmtId="0" fontId="2" fillId="2" borderId="4" xfId="0" applyFont="1" applyFill="1" applyBorder="1" applyAlignment="1">
      <alignment vertical="center"/>
    </xf>
    <xf numFmtId="0" fontId="7" fillId="5" borderId="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8" fillId="6" borderId="7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 wrapText="1"/>
    </xf>
    <xf numFmtId="0" fontId="9" fillId="5" borderId="5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7" fillId="7" borderId="5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4" borderId="0" xfId="0" applyFont="1" applyFill="1" applyAlignment="1" applyProtection="1">
      <alignment horizontal="center" vertical="center" wrapText="1"/>
      <protection locked="0" hidden="1"/>
    </xf>
    <xf numFmtId="0" fontId="7" fillId="4" borderId="0" xfId="0" applyFont="1" applyFill="1" applyAlignment="1">
      <alignment horizontal="center" vertical="center"/>
    </xf>
    <xf numFmtId="0" fontId="7" fillId="5" borderId="10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8" fillId="8" borderId="7" xfId="0" applyFont="1" applyFill="1" applyBorder="1" applyAlignment="1">
      <alignment horizontal="center" vertical="center"/>
    </xf>
    <xf numFmtId="0" fontId="7" fillId="5" borderId="10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1" xfId="0" applyFont="1" applyFill="1" applyBorder="1" applyAlignment="1">
      <alignment horizontal="center" vertical="center" wrapText="1"/>
    </xf>
    <xf numFmtId="0" fontId="7" fillId="7" borderId="12" xfId="0" applyFont="1" applyFill="1" applyBorder="1" applyAlignment="1">
      <alignment horizontal="center" vertical="center" wrapText="1"/>
    </xf>
    <xf numFmtId="0" fontId="7" fillId="7" borderId="13" xfId="0" applyFont="1" applyFill="1" applyBorder="1" applyAlignment="1">
      <alignment horizontal="center" vertical="center" wrapText="1"/>
    </xf>
    <xf numFmtId="0" fontId="7" fillId="7" borderId="10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178" fontId="11" fillId="9" borderId="14" xfId="0" applyNumberFormat="1" applyFont="1" applyFill="1" applyBorder="1" applyAlignment="1">
      <alignment horizontal="center" vertical="center"/>
    </xf>
    <xf numFmtId="37" fontId="12" fillId="0" borderId="15" xfId="0" applyNumberFormat="1" applyFont="1" applyBorder="1" applyAlignment="1">
      <alignment horizontal="center" vertical="center"/>
    </xf>
    <xf numFmtId="37" fontId="12" fillId="0" borderId="16" xfId="0" applyNumberFormat="1" applyFont="1" applyBorder="1" applyAlignment="1">
      <alignment horizontal="center" vertical="center"/>
    </xf>
    <xf numFmtId="3" fontId="13" fillId="2" borderId="17" xfId="0" applyNumberFormat="1" applyFont="1" applyFill="1" applyBorder="1" applyAlignment="1">
      <alignment horizontal="center" vertical="center"/>
    </xf>
    <xf numFmtId="3" fontId="13" fillId="2" borderId="18" xfId="0" applyNumberFormat="1" applyFont="1" applyFill="1" applyBorder="1" applyAlignment="1">
      <alignment horizontal="center" vertical="center"/>
    </xf>
    <xf numFmtId="0" fontId="13" fillId="2" borderId="19" xfId="0" applyFont="1" applyFill="1" applyBorder="1" applyAlignment="1">
      <alignment horizontal="center" vertical="center"/>
    </xf>
    <xf numFmtId="178" fontId="14" fillId="9" borderId="20" xfId="0" applyNumberFormat="1" applyFont="1" applyFill="1" applyBorder="1" applyAlignment="1">
      <alignment horizontal="center" vertical="center"/>
    </xf>
    <xf numFmtId="0" fontId="15" fillId="2" borderId="2" xfId="0" applyFont="1" applyFill="1" applyBorder="1" applyAlignment="1">
      <alignment horizontal="center" vertical="center"/>
    </xf>
    <xf numFmtId="39" fontId="12" fillId="0" borderId="21" xfId="0" applyNumberFormat="1" applyFont="1" applyBorder="1" applyAlignment="1">
      <alignment horizontal="center" vertical="center"/>
    </xf>
    <xf numFmtId="3" fontId="14" fillId="4" borderId="2" xfId="0" applyNumberFormat="1" applyFont="1" applyFill="1" applyBorder="1" applyAlignment="1">
      <alignment horizontal="center" vertical="center"/>
    </xf>
    <xf numFmtId="39" fontId="16" fillId="0" borderId="14" xfId="0" applyNumberFormat="1" applyFont="1" applyBorder="1" applyAlignment="1">
      <alignment vertical="center"/>
    </xf>
    <xf numFmtId="1" fontId="14" fillId="4" borderId="0" xfId="0" applyNumberFormat="1" applyFont="1" applyFill="1" applyAlignment="1">
      <alignment horizontal="center" vertical="center"/>
    </xf>
    <xf numFmtId="39" fontId="16" fillId="0" borderId="0" xfId="0" applyNumberFormat="1" applyFont="1" applyAlignment="1">
      <alignment vertical="center"/>
    </xf>
    <xf numFmtId="178" fontId="11" fillId="4" borderId="0" xfId="0" applyNumberFormat="1" applyFont="1" applyFill="1" applyAlignment="1">
      <alignment horizontal="center" vertical="center"/>
    </xf>
    <xf numFmtId="39" fontId="12" fillId="0" borderId="22" xfId="0" applyNumberFormat="1" applyFont="1" applyBorder="1" applyAlignment="1">
      <alignment horizontal="center" vertical="center"/>
    </xf>
    <xf numFmtId="1" fontId="14" fillId="4" borderId="23" xfId="0" applyNumberFormat="1" applyFont="1" applyFill="1" applyBorder="1" applyAlignment="1">
      <alignment horizontal="center" vertical="center"/>
    </xf>
    <xf numFmtId="1" fontId="14" fillId="4" borderId="20" xfId="0" applyNumberFormat="1" applyFont="1" applyFill="1" applyBorder="1" applyAlignment="1">
      <alignment horizontal="center" vertical="center"/>
    </xf>
    <xf numFmtId="178" fontId="11" fillId="9" borderId="5" xfId="0" applyNumberFormat="1" applyFont="1" applyFill="1" applyBorder="1" applyAlignment="1">
      <alignment horizontal="center" vertical="center"/>
    </xf>
    <xf numFmtId="3" fontId="13" fillId="2" borderId="24" xfId="0" applyNumberFormat="1" applyFont="1" applyFill="1" applyBorder="1" applyAlignment="1">
      <alignment horizontal="center" vertical="center"/>
    </xf>
    <xf numFmtId="0" fontId="13" fillId="2" borderId="25" xfId="0" applyFont="1" applyFill="1" applyBorder="1" applyAlignment="1">
      <alignment horizontal="center" vertical="center"/>
    </xf>
    <xf numFmtId="178" fontId="14" fillId="9" borderId="26" xfId="0" applyNumberFormat="1" applyFont="1" applyFill="1" applyBorder="1" applyAlignment="1">
      <alignment horizontal="center" vertical="center"/>
    </xf>
    <xf numFmtId="39" fontId="12" fillId="0" borderId="27" xfId="0" applyNumberFormat="1" applyFont="1" applyBorder="1" applyAlignment="1">
      <alignment horizontal="center" vertical="center"/>
    </xf>
    <xf numFmtId="0" fontId="17" fillId="5" borderId="28" xfId="0" applyFont="1" applyFill="1" applyBorder="1" applyAlignment="1">
      <alignment horizontal="center" vertical="center" wrapText="1"/>
    </xf>
    <xf numFmtId="179" fontId="17" fillId="10" borderId="6" xfId="0" applyNumberFormat="1" applyFont="1" applyFill="1" applyBorder="1" applyAlignment="1">
      <alignment horizontal="center" vertical="center" wrapText="1"/>
    </xf>
    <xf numFmtId="179" fontId="17" fillId="10" borderId="7" xfId="0" applyNumberFormat="1" applyFont="1" applyFill="1" applyBorder="1" applyAlignment="1">
      <alignment horizontal="center" vertical="center" wrapText="1"/>
    </xf>
    <xf numFmtId="3" fontId="18" fillId="11" borderId="29" xfId="0" applyNumberFormat="1" applyFont="1" applyFill="1" applyBorder="1" applyAlignment="1">
      <alignment horizontal="center" vertical="center"/>
    </xf>
    <xf numFmtId="0" fontId="17" fillId="12" borderId="6" xfId="0" applyFont="1" applyFill="1" applyBorder="1" applyAlignment="1">
      <alignment horizontal="center" vertical="center"/>
    </xf>
    <xf numFmtId="0" fontId="17" fillId="12" borderId="30" xfId="0" applyFont="1" applyFill="1" applyBorder="1" applyAlignment="1">
      <alignment horizontal="center" vertical="center"/>
    </xf>
    <xf numFmtId="0" fontId="17" fillId="12" borderId="7" xfId="0" applyFont="1" applyFill="1" applyBorder="1" applyAlignment="1">
      <alignment horizontal="center" vertical="center"/>
    </xf>
    <xf numFmtId="0" fontId="17" fillId="0" borderId="0" xfId="0" applyFont="1" applyAlignment="1">
      <alignment vertical="center"/>
    </xf>
    <xf numFmtId="180" fontId="17" fillId="11" borderId="10" xfId="0" applyNumberFormat="1" applyFont="1" applyFill="1" applyBorder="1" applyAlignment="1">
      <alignment horizontal="center" vertical="center"/>
    </xf>
    <xf numFmtId="3" fontId="12" fillId="11" borderId="30" xfId="0" applyNumberFormat="1" applyFont="1" applyFill="1" applyBorder="1" applyAlignment="1">
      <alignment horizontal="center" vertical="center"/>
    </xf>
    <xf numFmtId="180" fontId="12" fillId="11" borderId="28" xfId="0" applyNumberFormat="1" applyFont="1" applyFill="1" applyBorder="1" applyAlignment="1">
      <alignment horizontal="center" vertical="center"/>
    </xf>
    <xf numFmtId="1" fontId="12" fillId="4" borderId="0" xfId="0" applyNumberFormat="1" applyFont="1" applyFill="1" applyAlignment="1">
      <alignment horizontal="center" vertical="center"/>
    </xf>
    <xf numFmtId="4" fontId="19" fillId="4" borderId="0" xfId="0" applyNumberFormat="1" applyFont="1" applyFill="1" applyAlignment="1">
      <alignment horizontal="center" vertical="center"/>
    </xf>
    <xf numFmtId="0" fontId="1" fillId="4" borderId="0" xfId="0" applyFont="1" applyFill="1"/>
    <xf numFmtId="0" fontId="17" fillId="8" borderId="5" xfId="0" applyFont="1" applyFill="1" applyBorder="1" applyAlignment="1">
      <alignment horizontal="center" vertical="center" wrapText="1"/>
    </xf>
    <xf numFmtId="3" fontId="17" fillId="13" borderId="8" xfId="0" applyNumberFormat="1" applyFont="1" applyFill="1" applyBorder="1" applyAlignment="1">
      <alignment horizontal="center" vertical="center"/>
    </xf>
    <xf numFmtId="3" fontId="17" fillId="13" borderId="31" xfId="0" applyNumberFormat="1" applyFont="1" applyFill="1" applyBorder="1" applyAlignment="1">
      <alignment horizontal="center" vertical="center"/>
    </xf>
    <xf numFmtId="3" fontId="17" fillId="13" borderId="32" xfId="0" applyNumberFormat="1" applyFont="1" applyFill="1" applyBorder="1" applyAlignment="1">
      <alignment horizontal="center" vertical="center"/>
    </xf>
    <xf numFmtId="3" fontId="17" fillId="13" borderId="9" xfId="0" applyNumberFormat="1" applyFont="1" applyFill="1" applyBorder="1" applyAlignment="1">
      <alignment horizontal="center" vertical="center"/>
    </xf>
    <xf numFmtId="3" fontId="18" fillId="2" borderId="12" xfId="0" applyNumberFormat="1" applyFont="1" applyFill="1" applyBorder="1" applyAlignment="1">
      <alignment horizontal="center" vertical="center"/>
    </xf>
    <xf numFmtId="181" fontId="20" fillId="12" borderId="33" xfId="1" applyNumberFormat="1" applyFont="1" applyFill="1" applyBorder="1" applyAlignment="1">
      <alignment horizontal="center" vertical="center"/>
    </xf>
    <xf numFmtId="181" fontId="20" fillId="12" borderId="0" xfId="1" applyNumberFormat="1" applyFont="1" applyFill="1" applyBorder="1" applyAlignment="1">
      <alignment horizontal="center" vertical="center"/>
    </xf>
    <xf numFmtId="181" fontId="20" fillId="12" borderId="34" xfId="1" applyNumberFormat="1" applyFont="1" applyFill="1" applyBorder="1" applyAlignment="1">
      <alignment horizontal="center" vertical="center"/>
    </xf>
    <xf numFmtId="181" fontId="20" fillId="0" borderId="0" xfId="1" applyNumberFormat="1" applyFont="1" applyFill="1" applyBorder="1" applyAlignment="1">
      <alignment vertical="center"/>
    </xf>
    <xf numFmtId="181" fontId="20" fillId="0" borderId="0" xfId="1" applyNumberFormat="1" applyFont="1" applyFill="1" applyBorder="1" applyAlignment="1">
      <alignment horizontal="center" vertical="center"/>
    </xf>
    <xf numFmtId="4" fontId="17" fillId="0" borderId="0" xfId="0" applyNumberFormat="1" applyFont="1" applyAlignment="1">
      <alignment vertical="center" wrapText="1"/>
    </xf>
    <xf numFmtId="182" fontId="17" fillId="0" borderId="0" xfId="0" applyNumberFormat="1" applyFont="1" applyAlignment="1">
      <alignment vertical="center" wrapText="1"/>
    </xf>
    <xf numFmtId="181" fontId="19" fillId="0" borderId="0" xfId="1" applyNumberFormat="1" applyFont="1" applyFill="1" applyBorder="1" applyAlignment="1">
      <alignment horizontal="center" vertical="center"/>
    </xf>
    <xf numFmtId="0" fontId="17" fillId="8" borderId="10" xfId="0" applyFont="1" applyFill="1" applyBorder="1" applyAlignment="1">
      <alignment horizontal="center" vertical="center" wrapText="1"/>
    </xf>
    <xf numFmtId="3" fontId="17" fillId="13" borderId="11" xfId="0" applyNumberFormat="1" applyFont="1" applyFill="1" applyBorder="1" applyAlignment="1">
      <alignment horizontal="center" vertical="center"/>
    </xf>
    <xf numFmtId="3" fontId="17" fillId="13" borderId="35" xfId="0" applyNumberFormat="1" applyFont="1" applyFill="1" applyBorder="1" applyAlignment="1">
      <alignment horizontal="center" vertical="center"/>
    </xf>
    <xf numFmtId="3" fontId="17" fillId="13" borderId="36" xfId="0" applyNumberFormat="1" applyFont="1" applyFill="1" applyBorder="1" applyAlignment="1">
      <alignment horizontal="center" vertical="center"/>
    </xf>
    <xf numFmtId="3" fontId="17" fillId="13" borderId="13" xfId="0" applyNumberFormat="1" applyFont="1" applyFill="1" applyBorder="1" applyAlignment="1">
      <alignment horizontal="center" vertical="center"/>
    </xf>
    <xf numFmtId="3" fontId="18" fillId="2" borderId="10" xfId="0" applyNumberFormat="1" applyFont="1" applyFill="1" applyBorder="1" applyAlignment="1">
      <alignment horizontal="center" vertical="center"/>
    </xf>
    <xf numFmtId="181" fontId="20" fillId="12" borderId="11" xfId="1" applyNumberFormat="1" applyFont="1" applyFill="1" applyBorder="1" applyAlignment="1">
      <alignment horizontal="center" vertical="center"/>
    </xf>
    <xf numFmtId="181" fontId="20" fillId="12" borderId="4" xfId="1" applyNumberFormat="1" applyFont="1" applyFill="1" applyBorder="1" applyAlignment="1">
      <alignment horizontal="center" vertical="center"/>
    </xf>
    <xf numFmtId="181" fontId="20" fillId="12" borderId="13" xfId="1" applyNumberFormat="1" applyFont="1" applyFill="1" applyBorder="1" applyAlignment="1">
      <alignment horizontal="center" vertical="center"/>
    </xf>
    <xf numFmtId="0" fontId="17" fillId="4" borderId="0" xfId="0" applyFont="1" applyFill="1" applyAlignment="1">
      <alignment horizontal="center" vertical="center" wrapText="1"/>
    </xf>
    <xf numFmtId="0" fontId="17" fillId="14" borderId="28" xfId="0" applyFont="1" applyFill="1" applyBorder="1" applyAlignment="1">
      <alignment horizontal="center" vertical="center"/>
    </xf>
    <xf numFmtId="0" fontId="17" fillId="15" borderId="6" xfId="0" applyFont="1" applyFill="1" applyBorder="1" applyAlignment="1">
      <alignment horizontal="center" vertical="center"/>
    </xf>
    <xf numFmtId="0" fontId="17" fillId="15" borderId="37" xfId="0" applyFont="1" applyFill="1" applyBorder="1" applyAlignment="1">
      <alignment horizontal="center" vertical="center"/>
    </xf>
    <xf numFmtId="0" fontId="17" fillId="15" borderId="38" xfId="0" applyFont="1" applyFill="1" applyBorder="1" applyAlignment="1">
      <alignment horizontal="center" vertical="center"/>
    </xf>
    <xf numFmtId="0" fontId="17" fillId="15" borderId="7" xfId="0" applyFont="1" applyFill="1" applyBorder="1" applyAlignment="1">
      <alignment horizontal="center" vertical="center"/>
    </xf>
    <xf numFmtId="0" fontId="21" fillId="0" borderId="33" xfId="0" applyFont="1" applyBorder="1" applyAlignment="1">
      <alignment horizontal="center" vertical="center" wrapText="1"/>
    </xf>
    <xf numFmtId="0" fontId="21" fillId="0" borderId="0" xfId="0" applyFont="1"/>
    <xf numFmtId="0" fontId="22" fillId="0" borderId="0" xfId="0" applyFont="1" applyAlignment="1">
      <alignment horizontal="center" vertical="center"/>
    </xf>
    <xf numFmtId="181" fontId="23" fillId="0" borderId="0" xfId="1" applyNumberFormat="1" applyFont="1" applyFill="1" applyBorder="1" applyAlignment="1">
      <alignment vertical="center"/>
    </xf>
    <xf numFmtId="0" fontId="17" fillId="4" borderId="0" xfId="0" applyFont="1" applyFill="1" applyAlignment="1">
      <alignment horizontal="center" vertical="center"/>
    </xf>
    <xf numFmtId="0" fontId="21" fillId="0" borderId="0" xfId="0" applyFont="1" applyAlignment="1">
      <alignment horizontal="center" vertical="center" wrapText="1"/>
    </xf>
    <xf numFmtId="181" fontId="17" fillId="0" borderId="0" xfId="1" applyNumberFormat="1" applyFont="1" applyFill="1" applyBorder="1" applyAlignment="1">
      <alignment vertical="center"/>
    </xf>
    <xf numFmtId="181" fontId="17" fillId="0" borderId="0" xfId="1" applyNumberFormat="1" applyFont="1" applyFill="1" applyBorder="1" applyAlignment="1">
      <alignment horizontal="center" vertical="center"/>
    </xf>
    <xf numFmtId="0" fontId="21" fillId="0" borderId="0" xfId="0" applyFont="1" applyAlignment="1">
      <alignment vertical="top"/>
    </xf>
    <xf numFmtId="0" fontId="21" fillId="0" borderId="0" xfId="0" applyFont="1" applyAlignment="1">
      <alignment horizontal="center" vertical="top"/>
    </xf>
    <xf numFmtId="0" fontId="17" fillId="16" borderId="6" xfId="0" applyFont="1" applyFill="1" applyBorder="1" applyAlignment="1">
      <alignment horizontal="center" vertical="center"/>
    </xf>
    <xf numFmtId="0" fontId="17" fillId="16" borderId="30" xfId="0" applyFont="1" applyFill="1" applyBorder="1" applyAlignment="1">
      <alignment horizontal="center" vertical="center"/>
    </xf>
    <xf numFmtId="0" fontId="17" fillId="16" borderId="7" xfId="0" applyFont="1" applyFill="1" applyBorder="1" applyAlignment="1">
      <alignment horizontal="center" vertical="center"/>
    </xf>
    <xf numFmtId="0" fontId="24" fillId="17" borderId="28" xfId="0" applyFont="1" applyFill="1" applyBorder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0" fillId="16" borderId="6" xfId="0" applyFill="1" applyBorder="1" applyAlignment="1">
      <alignment horizontal="center" vertical="center"/>
    </xf>
    <xf numFmtId="0" fontId="0" fillId="16" borderId="7" xfId="0" applyFill="1" applyBorder="1" applyAlignment="1">
      <alignment horizontal="center" vertical="center"/>
    </xf>
    <xf numFmtId="3" fontId="17" fillId="17" borderId="6" xfId="0" applyNumberFormat="1" applyFont="1" applyFill="1" applyBorder="1" applyAlignment="1">
      <alignment horizontal="center" vertical="center"/>
    </xf>
    <xf numFmtId="3" fontId="17" fillId="17" borderId="7" xfId="0" applyNumberFormat="1" applyFont="1" applyFill="1" applyBorder="1" applyAlignment="1">
      <alignment horizontal="center" vertical="center"/>
    </xf>
    <xf numFmtId="20" fontId="17" fillId="18" borderId="28" xfId="0" applyNumberFormat="1" applyFont="1" applyFill="1" applyBorder="1" applyAlignment="1">
      <alignment horizontal="center" vertical="center"/>
    </xf>
    <xf numFmtId="20" fontId="17" fillId="0" borderId="0" xfId="0" applyNumberFormat="1" applyFont="1" applyAlignment="1">
      <alignment vertical="center"/>
    </xf>
    <xf numFmtId="0" fontId="17" fillId="19" borderId="6" xfId="0" applyFont="1" applyFill="1" applyBorder="1" applyAlignment="1">
      <alignment horizontal="center" vertical="center" wrapText="1"/>
    </xf>
    <xf numFmtId="0" fontId="17" fillId="19" borderId="30" xfId="0" applyFont="1" applyFill="1" applyBorder="1" applyAlignment="1">
      <alignment horizontal="center" vertical="center" wrapText="1"/>
    </xf>
    <xf numFmtId="0" fontId="17" fillId="19" borderId="7" xfId="0" applyFont="1" applyFill="1" applyBorder="1" applyAlignment="1">
      <alignment horizontal="center" vertical="center" wrapText="1"/>
    </xf>
    <xf numFmtId="183" fontId="17" fillId="17" borderId="28" xfId="0" applyNumberFormat="1" applyFont="1" applyFill="1" applyBorder="1" applyAlignment="1">
      <alignment horizontal="center" vertical="center"/>
    </xf>
    <xf numFmtId="183" fontId="17" fillId="0" borderId="33" xfId="0" applyNumberFormat="1" applyFont="1" applyBorder="1" applyAlignment="1">
      <alignment vertical="center"/>
    </xf>
    <xf numFmtId="0" fontId="25" fillId="16" borderId="6" xfId="0" applyFont="1" applyFill="1" applyBorder="1" applyAlignment="1">
      <alignment horizontal="center" vertical="center"/>
    </xf>
    <xf numFmtId="0" fontId="25" fillId="16" borderId="30" xfId="0" applyFont="1" applyFill="1" applyBorder="1" applyAlignment="1">
      <alignment horizontal="center" vertical="center"/>
    </xf>
    <xf numFmtId="0" fontId="25" fillId="16" borderId="7" xfId="0" applyFont="1" applyFill="1" applyBorder="1" applyAlignment="1">
      <alignment horizontal="center" vertical="center"/>
    </xf>
    <xf numFmtId="184" fontId="25" fillId="17" borderId="28" xfId="0" applyNumberFormat="1" applyFont="1" applyFill="1" applyBorder="1" applyAlignment="1">
      <alignment horizontal="center" vertical="center"/>
    </xf>
    <xf numFmtId="0" fontId="25" fillId="0" borderId="0" xfId="0" applyFont="1" applyAlignment="1">
      <alignment vertical="center"/>
    </xf>
    <xf numFmtId="3" fontId="0" fillId="0" borderId="0" xfId="0" applyNumberFormat="1"/>
    <xf numFmtId="3" fontId="26" fillId="0" borderId="0" xfId="0" applyNumberFormat="1" applyFont="1"/>
    <xf numFmtId="0" fontId="26" fillId="0" borderId="0" xfId="0" applyFont="1"/>
    <xf numFmtId="0" fontId="27" fillId="0" borderId="0" xfId="0" applyFont="1"/>
    <xf numFmtId="0" fontId="0" fillId="0" borderId="39" xfId="0" applyBorder="1"/>
    <xf numFmtId="179" fontId="0" fillId="0" borderId="0" xfId="0" applyNumberFormat="1" applyAlignment="1">
      <alignment horizontal="center" vertical="center"/>
    </xf>
    <xf numFmtId="20" fontId="17" fillId="0" borderId="33" xfId="0" applyNumberFormat="1" applyFont="1" applyBorder="1" applyAlignment="1">
      <alignment vertical="center"/>
    </xf>
    <xf numFmtId="185" fontId="12" fillId="17" borderId="28" xfId="0" applyNumberFormat="1" applyFont="1" applyFill="1" applyBorder="1" applyAlignment="1">
      <alignment horizontal="center" vertical="center"/>
    </xf>
    <xf numFmtId="0" fontId="17" fillId="0" borderId="0" xfId="0" applyFont="1" applyAlignment="1">
      <alignment vertical="center" wrapText="1"/>
    </xf>
    <xf numFmtId="2" fontId="17" fillId="0" borderId="0" xfId="0" applyNumberFormat="1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9" fillId="0" borderId="0" xfId="0" applyFont="1"/>
    <xf numFmtId="1" fontId="12" fillId="0" borderId="0" xfId="0" applyNumberFormat="1" applyFont="1" applyAlignment="1">
      <alignment horizontal="center" vertical="center"/>
    </xf>
    <xf numFmtId="182" fontId="12" fillId="0" borderId="0" xfId="0" applyNumberFormat="1" applyFont="1" applyAlignment="1">
      <alignment horizontal="center" vertical="center"/>
    </xf>
    <xf numFmtId="0" fontId="30" fillId="0" borderId="0" xfId="0" applyFont="1"/>
    <xf numFmtId="0" fontId="17" fillId="0" borderId="0" xfId="0" applyFont="1" applyAlignment="1">
      <alignment horizontal="center" vertical="center"/>
    </xf>
    <xf numFmtId="0" fontId="17" fillId="19" borderId="6" xfId="0" applyFont="1" applyFill="1" applyBorder="1" applyAlignment="1">
      <alignment horizontal="center" vertical="center"/>
    </xf>
    <xf numFmtId="0" fontId="17" fillId="19" borderId="30" xfId="0" applyFont="1" applyFill="1" applyBorder="1" applyAlignment="1">
      <alignment horizontal="center" vertical="center"/>
    </xf>
    <xf numFmtId="0" fontId="17" fillId="19" borderId="7" xfId="0" applyFont="1" applyFill="1" applyBorder="1" applyAlignment="1">
      <alignment horizontal="center" vertical="center"/>
    </xf>
    <xf numFmtId="2" fontId="25" fillId="20" borderId="28" xfId="0" applyNumberFormat="1" applyFont="1" applyFill="1" applyBorder="1" applyAlignment="1">
      <alignment horizontal="center" vertical="center"/>
    </xf>
    <xf numFmtId="3" fontId="12" fillId="0" borderId="0" xfId="0" applyNumberFormat="1" applyFont="1" applyAlignment="1">
      <alignment vertical="center"/>
    </xf>
    <xf numFmtId="0" fontId="31" fillId="0" borderId="0" xfId="0" applyFont="1"/>
    <xf numFmtId="0" fontId="32" fillId="0" borderId="0" xfId="0" applyFont="1"/>
    <xf numFmtId="0" fontId="33" fillId="0" borderId="0" xfId="0" applyFont="1" applyAlignment="1">
      <alignment horizontal="center" vertical="center"/>
    </xf>
    <xf numFmtId="0" fontId="33" fillId="0" borderId="0" xfId="0" applyFont="1" applyAlignment="1">
      <alignment horizontal="center" vertical="center" wrapText="1"/>
    </xf>
    <xf numFmtId="181" fontId="25" fillId="20" borderId="28" xfId="0" applyNumberFormat="1" applyFont="1" applyFill="1" applyBorder="1" applyAlignment="1">
      <alignment horizontal="left" vertical="center" indent="1"/>
    </xf>
    <xf numFmtId="185" fontId="12" fillId="0" borderId="0" xfId="0" applyNumberFormat="1" applyFont="1" applyAlignment="1">
      <alignment vertical="center"/>
    </xf>
    <xf numFmtId="0" fontId="34" fillId="0" borderId="0" xfId="0" applyFont="1" applyAlignment="1">
      <alignment horizontal="center" vertical="center"/>
    </xf>
    <xf numFmtId="3" fontId="35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39" fontId="12" fillId="0" borderId="14" xfId="0" applyNumberFormat="1" applyFont="1" applyBorder="1" applyAlignment="1">
      <alignment horizontal="center" vertical="center"/>
    </xf>
    <xf numFmtId="39" fontId="12" fillId="0" borderId="20" xfId="0" applyNumberFormat="1" applyFont="1" applyBorder="1" applyAlignment="1">
      <alignment horizontal="center" vertical="center"/>
    </xf>
    <xf numFmtId="39" fontId="12" fillId="0" borderId="40" xfId="0" applyNumberFormat="1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6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solid">
          <bgColor rgb="FFFF7C80"/>
        </patternFill>
      </fill>
    </dxf>
    <dxf>
      <font>
        <color auto="1"/>
      </font>
      <fill>
        <patternFill patternType="solid">
          <bgColor rgb="FF00B050"/>
        </patternFill>
      </fill>
    </dxf>
    <dxf>
      <font>
        <b val="1"/>
        <i val="0"/>
        <color theme="1"/>
      </font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5" Type="http://schemas.openxmlformats.org/officeDocument/2006/relationships/styles" Target="styles.xml"/><Relationship Id="rId64" Type="http://schemas.openxmlformats.org/officeDocument/2006/relationships/sharedStrings" Target="sharedStrings.xml"/><Relationship Id="rId63" Type="http://schemas.openxmlformats.org/officeDocument/2006/relationships/theme" Target="theme/theme1.xml"/><Relationship Id="rId62" Type="http://schemas.openxmlformats.org/officeDocument/2006/relationships/externalLink" Target="externalLinks/externalLink31.xml"/><Relationship Id="rId61" Type="http://schemas.openxmlformats.org/officeDocument/2006/relationships/externalLink" Target="externalLinks/externalLink30.xml"/><Relationship Id="rId60" Type="http://schemas.openxmlformats.org/officeDocument/2006/relationships/externalLink" Target="externalLinks/externalLink29.xml"/><Relationship Id="rId6" Type="http://schemas.openxmlformats.org/officeDocument/2006/relationships/worksheet" Target="worksheets/sheet6.xml"/><Relationship Id="rId59" Type="http://schemas.openxmlformats.org/officeDocument/2006/relationships/externalLink" Target="externalLinks/externalLink28.xml"/><Relationship Id="rId58" Type="http://schemas.openxmlformats.org/officeDocument/2006/relationships/externalLink" Target="externalLinks/externalLink27.xml"/><Relationship Id="rId57" Type="http://schemas.openxmlformats.org/officeDocument/2006/relationships/externalLink" Target="externalLinks/externalLink26.xml"/><Relationship Id="rId56" Type="http://schemas.openxmlformats.org/officeDocument/2006/relationships/externalLink" Target="externalLinks/externalLink25.xml"/><Relationship Id="rId55" Type="http://schemas.openxmlformats.org/officeDocument/2006/relationships/externalLink" Target="externalLinks/externalLink24.xml"/><Relationship Id="rId54" Type="http://schemas.openxmlformats.org/officeDocument/2006/relationships/externalLink" Target="externalLinks/externalLink23.xml"/><Relationship Id="rId53" Type="http://schemas.openxmlformats.org/officeDocument/2006/relationships/externalLink" Target="externalLinks/externalLink22.xml"/><Relationship Id="rId52" Type="http://schemas.openxmlformats.org/officeDocument/2006/relationships/externalLink" Target="externalLinks/externalLink21.xml"/><Relationship Id="rId51" Type="http://schemas.openxmlformats.org/officeDocument/2006/relationships/externalLink" Target="externalLinks/externalLink20.xml"/><Relationship Id="rId50" Type="http://schemas.openxmlformats.org/officeDocument/2006/relationships/externalLink" Target="externalLinks/externalLink19.xml"/><Relationship Id="rId5" Type="http://schemas.openxmlformats.org/officeDocument/2006/relationships/worksheet" Target="worksheets/sheet5.xml"/><Relationship Id="rId49" Type="http://schemas.openxmlformats.org/officeDocument/2006/relationships/externalLink" Target="externalLinks/externalLink18.xml"/><Relationship Id="rId48" Type="http://schemas.openxmlformats.org/officeDocument/2006/relationships/externalLink" Target="externalLinks/externalLink17.xml"/><Relationship Id="rId47" Type="http://schemas.openxmlformats.org/officeDocument/2006/relationships/externalLink" Target="externalLinks/externalLink16.xml"/><Relationship Id="rId46" Type="http://schemas.openxmlformats.org/officeDocument/2006/relationships/externalLink" Target="externalLinks/externalLink15.xml"/><Relationship Id="rId45" Type="http://schemas.openxmlformats.org/officeDocument/2006/relationships/externalLink" Target="externalLinks/externalLink14.xml"/><Relationship Id="rId44" Type="http://schemas.openxmlformats.org/officeDocument/2006/relationships/externalLink" Target="externalLinks/externalLink13.xml"/><Relationship Id="rId43" Type="http://schemas.openxmlformats.org/officeDocument/2006/relationships/externalLink" Target="externalLinks/externalLink12.xml"/><Relationship Id="rId42" Type="http://schemas.openxmlformats.org/officeDocument/2006/relationships/externalLink" Target="externalLinks/externalLink11.xml"/><Relationship Id="rId41" Type="http://schemas.openxmlformats.org/officeDocument/2006/relationships/externalLink" Target="externalLinks/externalLink10.xml"/><Relationship Id="rId40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39" Type="http://schemas.openxmlformats.org/officeDocument/2006/relationships/externalLink" Target="externalLinks/externalLink8.xml"/><Relationship Id="rId38" Type="http://schemas.openxmlformats.org/officeDocument/2006/relationships/externalLink" Target="externalLinks/externalLink7.xml"/><Relationship Id="rId37" Type="http://schemas.openxmlformats.org/officeDocument/2006/relationships/externalLink" Target="externalLinks/externalLink6.xml"/><Relationship Id="rId36" Type="http://schemas.openxmlformats.org/officeDocument/2006/relationships/externalLink" Target="externalLinks/externalLink5.xml"/><Relationship Id="rId35" Type="http://schemas.openxmlformats.org/officeDocument/2006/relationships/externalLink" Target="externalLinks/externalLink4.xml"/><Relationship Id="rId34" Type="http://schemas.openxmlformats.org/officeDocument/2006/relationships/externalLink" Target="externalLinks/externalLink3.xml"/><Relationship Id="rId33" Type="http://schemas.openxmlformats.org/officeDocument/2006/relationships/externalLink" Target="externalLinks/externalLink2.xml"/><Relationship Id="rId32" Type="http://schemas.openxmlformats.org/officeDocument/2006/relationships/externalLink" Target="externalLinks/externalLink1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MY2026\&#26700;&#38754;\1.%20Daily%20Report%20Januari%202024%20site%20taniwel\Daily%20Report%2001%20Januari%202024%20Taniwe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\MY2026\&#26700;&#38754;\1.%20Daily%20Report%20Januari%202024%20site%20taniwel\Daily%20Report%2002%20Januari%202024%20Taniwe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\MY2026\&#26700;&#38754;\1.%20Daily%20Report%20Januari%202024%20site%20taniwel\Daily%20Report%2003%20Januari%202024%20Taniwe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\MY2026\&#26700;&#38754;\1.%20Daily%20Report%20Januari%202024%20site%20taniwel\Daily%20Report%2004%20Januari%202024%20Taniwel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\MY2026\&#26700;&#38754;\1.%20Daily%20Report%20Januari%202024%20site%20taniwel\Daily%20Report%2005%20Januari%202024%20Taniwel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\MY2026\&#26700;&#38754;\1.%20Daily%20Report%20Januari%202024%20site%20taniwel\Daily%20Report%2006%20Januari%202024%20Taniwel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\MY2026\&#26700;&#38754;\1.%20Daily%20Report%20Januari%202024%20site%20taniwel\Daily%20Report%2007%20Januari%202024%20Taniwel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\MY2026\&#26700;&#38754;\1.%20Daily%20Report%20Januari%202024%20site%20taniwel\Daily%20Report%2008%20Januari%202024%20Taniwel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\MY2026\&#26700;&#38754;\1.%20Daily%20Report%20Januari%202024%20site%20taniwel\Daily%20Report%2009%20Januari%202024%20Taniwel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\MY2026\&#26700;&#38754;\1.%20Daily%20Report%20Januari%202024%20site%20taniwel\Daily%20Report%2010%20Januari%202024%20Taniwel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\MY2026\&#26700;&#38754;\1.%20Daily%20Report%20Januari%202024%20site%20taniwel\Daily%20Report%2011%20Januari%202024%20Taniwel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\MY2026\&#26700;&#38754;\1.%20Daily%20Report%20Januari%202024%20site%20taniwel\Daily%20Report%2012%20Januari%202024%20Taniwel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\MY2026\&#26700;&#38754;\1.%20Daily%20Report%20Januari%202024%20site%20taniwel\Daily%20Report%2013%20Januari%202024%20Taniwel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\MY2026\&#26700;&#38754;\1.%20Daily%20Report%20Januari%202024%20site%20taniwel\Daily%20Report%2014%20Januari%202024%20Taniwel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\MY2026\&#26700;&#38754;\1.%20Daily%20Report%20Januari%202024%20site%20taniwel\Daily%20Report%2015%20Januari%202024%20Taniwel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\MY2026\&#26700;&#38754;\1.%20Daily%20Report%20Januari%202024%20site%20taniwel\Daily%20Report%2016%20Januari%202024%20Taniwel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\MY2026\&#26700;&#38754;\1.%20Daily%20Report%20Januari%202024%20site%20taniwel\Daily%20Report%2017%20Januari%202024%20Taniwel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\MY2026\&#26700;&#38754;\1.%20Daily%20Report%20Januari%202024%20site%20taniwel\Daily%20Report%2018%20Januari%202024%20Taniwel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\MY2026\&#26700;&#38754;\1.%20Daily%20Report%20Januari%202024%20site%20taniwel\Daily%20Report%2019%20Januari%202024%20Taniwel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\MY2026\&#26700;&#38754;\1.%20Daily%20Report%20Januari%202024%20site%20taniwel\Daily%20Report%2020%20Januari%202024%20Taniwel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\MY2026\&#26700;&#38754;\1.%20Daily%20Report%20Januari%202024%20site%20taniwel\Daily%20Report%2021%20Januari%202024%20Taniwel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\MY2026\&#26700;&#38754;\1.%20Daily%20Report%20Januari%202024%20site%20taniwel\Daily%20Report%2022%20Januari%202024%20Taniwel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\MY2026\&#26700;&#38754;\1.%20Daily%20Report%20Januari%202024%20site%20taniwel\Daily%20Report%2023%20Januari%202024%20Taniwel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\MY2026\&#26700;&#38754;\1.%20Daily%20Report%20Januari%202024%20site%20taniwel\Daily%20Report%2024%20Januari%202024%20Taniwel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\MY2026\&#26700;&#38754;\1.%20Daily%20Report%20Januari%202024%20site%20taniwel\Daily%20Report%2025%20Januari%202024%20Taniwel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\MY2026\&#26700;&#38754;\1.%20Daily%20Report%20Januari%202024%20site%20taniwel\Daily%20Report%2026%20Januari%202024%20Taniwel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\MY2026\&#26700;&#38754;\1.%20Daily%20Report%20Januari%202024%20site%20taniwel\Daily%20Report%2027%20Januari%202024%20Taniwel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\MY2026\&#26700;&#38754;\1.%20Daily%20Report%20Januari%202024%20site%20taniwel\Daily%20Report%2028%20Januari%202024%20Taniwel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\MY2026\&#26700;&#38754;\1.%20Daily%20Report%20Januari%202024%20site%20taniwel\Daily%20Report%2029%20Januari%202024%20Taniwel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\MY2026\&#26700;&#38754;\1.%20Daily%20Report%20Januari%202024%20site%20taniwel\Daily%20Report%2030%20Januari%202024%20Taniwel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\MY2026\&#26700;&#38754;\1.%20Daily%20Report%20Januari%202024%20site%20taniwel\Daily%20Report%2031%20Januari%202024%20Taniwel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aniwel daily"/>
      <sheetName val="kWhr Tracker"/>
      <sheetName val="SFC Tracker"/>
      <sheetName val="kWh Meter Engine "/>
      <sheetName val="Main Log G#1"/>
      <sheetName val="G#2"/>
      <sheetName val="G#3 "/>
      <sheetName val="Monitoring Parts"/>
      <sheetName val="Monitoring In Parts"/>
      <sheetName val="Failure Komatsu 1"/>
      <sheetName val="Failure Komatsu 2"/>
      <sheetName val="Failure Komatsu 3"/>
    </sheetNames>
    <sheetDataSet>
      <sheetData sheetId="0">
        <row r="4">
          <cell r="C4">
            <v>45292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aniwel daily"/>
      <sheetName val="kWhr Tracker"/>
      <sheetName val="SFC Tracker"/>
      <sheetName val="kWh Meter Engine "/>
      <sheetName val="Main Log G#1"/>
      <sheetName val="G#2"/>
      <sheetName val="G#3 "/>
      <sheetName val="Monitoring Parts"/>
      <sheetName val="Monitoring In Parts"/>
      <sheetName val="Failure Komatsu 1"/>
      <sheetName val="Failure Komatsu 2"/>
      <sheetName val="Failure Komatsu 3"/>
    </sheetNames>
    <sheetDataSet>
      <sheetData sheetId="0">
        <row r="4">
          <cell r="C4">
            <v>45293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Taniwel daily"/>
      <sheetName val="kWhr Tracker"/>
      <sheetName val="SFC Tracker"/>
      <sheetName val="kWh Meter Engine "/>
      <sheetName val="Main Log G#1"/>
      <sheetName val="G#2"/>
      <sheetName val="G#3 "/>
      <sheetName val="Monitoring Parts"/>
      <sheetName val="Monitoring In Parts"/>
      <sheetName val="Failure Komatsu 1"/>
      <sheetName val="Failure Komatsu 2"/>
      <sheetName val="Failure Komatsu 3"/>
    </sheetNames>
    <sheetDataSet>
      <sheetData sheetId="0">
        <row r="4">
          <cell r="C4">
            <v>45294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aniwel daily"/>
      <sheetName val="kWhr Tracker"/>
      <sheetName val="SFC Tracker"/>
      <sheetName val="kWh Meter Engine "/>
      <sheetName val="Main Log G#1"/>
      <sheetName val="G#2"/>
      <sheetName val="G#3 "/>
      <sheetName val="Monitoring Parts"/>
      <sheetName val="Monitoring In Parts"/>
      <sheetName val="Failure Komatsu 1"/>
      <sheetName val="Failure Komatsu 2"/>
      <sheetName val="Failure Komatsu 3"/>
    </sheetNames>
    <sheetDataSet>
      <sheetData sheetId="0">
        <row r="4">
          <cell r="C4">
            <v>45295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Taniwel daily"/>
      <sheetName val="kWhr Tracker"/>
      <sheetName val="SFC Tracker"/>
      <sheetName val="kWh Meter Engine "/>
      <sheetName val="Main Log G#1"/>
      <sheetName val="G#2"/>
      <sheetName val="G#3 "/>
      <sheetName val="Monitoring Parts"/>
      <sheetName val="Monitoring In Parts"/>
      <sheetName val="Failure Komatsu 1"/>
      <sheetName val="Failure Komatsu 2"/>
      <sheetName val="Failure Komatsu 3"/>
    </sheetNames>
    <sheetDataSet>
      <sheetData sheetId="0">
        <row r="4">
          <cell r="C4">
            <v>45296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Taniwel daily"/>
      <sheetName val="kWhr Tracker"/>
      <sheetName val="SFC Tracker"/>
      <sheetName val="kWh Meter Engine "/>
      <sheetName val="Main Log G#1"/>
      <sheetName val="G#2"/>
      <sheetName val="G#3 "/>
      <sheetName val="Monitoring Parts"/>
      <sheetName val="Monitoring In Parts"/>
      <sheetName val="Failure Komatsu 1"/>
      <sheetName val="Failure Komatsu 2"/>
      <sheetName val="Failure Komatsu 3"/>
    </sheetNames>
    <sheetDataSet>
      <sheetData sheetId="0">
        <row r="4">
          <cell r="C4">
            <v>45297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Taniwel daily"/>
      <sheetName val="kWhr Tracker"/>
      <sheetName val="SFC Tracker"/>
      <sheetName val="kWh Meter Engine "/>
      <sheetName val="Main Log G#1"/>
      <sheetName val="G#2"/>
      <sheetName val="G#3 "/>
      <sheetName val="Monitoring Parts"/>
      <sheetName val="Monitoring In Parts"/>
      <sheetName val="Failure Komatsu 1"/>
      <sheetName val="Failure Komatsu 2"/>
      <sheetName val="Failure Komatsu 3"/>
    </sheetNames>
    <sheetDataSet>
      <sheetData sheetId="0">
        <row r="4">
          <cell r="C4">
            <v>45298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Taniwel daily"/>
      <sheetName val="kWhr Tracker"/>
      <sheetName val="SFC Tracker"/>
      <sheetName val="kWh Meter Engine "/>
      <sheetName val="Main Log G#1"/>
      <sheetName val="G#2"/>
      <sheetName val="G#3 "/>
      <sheetName val="Monitoring Parts"/>
      <sheetName val="Monitoring In Parts"/>
      <sheetName val="Failure Komatsu 1"/>
      <sheetName val="Failure Komatsu 2"/>
      <sheetName val="Failure Komatsu 3"/>
    </sheetNames>
    <sheetDataSet>
      <sheetData sheetId="0">
        <row r="4">
          <cell r="C4">
            <v>45299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Taniwel daily"/>
      <sheetName val="kWhr Tracker"/>
      <sheetName val="SFC Tracker"/>
      <sheetName val="kWh Meter Engine "/>
      <sheetName val="Main Log G#1"/>
      <sheetName val="G#2"/>
      <sheetName val="G#3 "/>
      <sheetName val="Monitoring Parts"/>
      <sheetName val="Monitoring In Parts"/>
      <sheetName val="Failure Komatsu 1"/>
      <sheetName val="Failure Komatsu 2"/>
      <sheetName val="Failure Komatsu 3"/>
    </sheetNames>
    <sheetDataSet>
      <sheetData sheetId="0">
        <row r="4">
          <cell r="C4">
            <v>45300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Taniwel daily"/>
      <sheetName val="kWhr Tracker"/>
      <sheetName val="SFC Tracker"/>
      <sheetName val="kWh Meter Engine "/>
      <sheetName val="Main Log G#1"/>
      <sheetName val="G#2"/>
      <sheetName val="G#3 "/>
      <sheetName val="Monitoring Parts"/>
      <sheetName val="Monitoring In Parts"/>
      <sheetName val="Failure Komatsu 1"/>
      <sheetName val="Failure Komatsu 2"/>
      <sheetName val="Failure Komatsu 3"/>
    </sheetNames>
    <sheetDataSet>
      <sheetData sheetId="0">
        <row r="4">
          <cell r="C4">
            <v>45301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Taniwel daily"/>
      <sheetName val="kWhr Tracker"/>
      <sheetName val="SFC Tracker"/>
      <sheetName val="kWh Meter Engine "/>
      <sheetName val="Main Log G#1"/>
      <sheetName val="G#2"/>
      <sheetName val="G#3 "/>
      <sheetName val="Monitoring Parts"/>
      <sheetName val="Monitoring In Parts"/>
      <sheetName val="Failure Komatsu 1"/>
      <sheetName val="Failure Komatsu 2"/>
      <sheetName val="Failure Komatsu 3"/>
    </sheetNames>
    <sheetDataSet>
      <sheetData sheetId="0">
        <row r="4">
          <cell r="C4">
            <v>45302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Taniwel daily"/>
      <sheetName val="kWhr Tracker"/>
      <sheetName val="SFC Tracker"/>
      <sheetName val="kWh Meter Engine "/>
      <sheetName val="Main Log G#1"/>
      <sheetName val="G#2"/>
      <sheetName val="G#3 "/>
      <sheetName val="Monitoring Parts"/>
      <sheetName val="Monitoring In Parts"/>
      <sheetName val="Failure Komatsu 1"/>
      <sheetName val="Failure Komatsu 2"/>
      <sheetName val="Failure Komatsu 3"/>
    </sheetNames>
    <sheetDataSet>
      <sheetData sheetId="0">
        <row r="4">
          <cell r="C4">
            <v>45303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Taniwel daily"/>
      <sheetName val="kWhr Tracker"/>
      <sheetName val="SFC Tracker"/>
      <sheetName val="kWh Meter Engine "/>
      <sheetName val="Main Log G#1"/>
      <sheetName val="G#2"/>
      <sheetName val="G#3 "/>
      <sheetName val="Monitoring Parts"/>
      <sheetName val="Monitoring In Parts"/>
      <sheetName val="Failure Komatsu 1"/>
      <sheetName val="Failure Komatsu 2"/>
      <sheetName val="Failure Komatsu 3"/>
    </sheetNames>
    <sheetDataSet>
      <sheetData sheetId="0">
        <row r="4">
          <cell r="C4">
            <v>45304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Taniwel daily"/>
      <sheetName val="kWhr Tracker"/>
      <sheetName val="SFC Tracker"/>
      <sheetName val="kWh Meter Engine "/>
      <sheetName val="Main Log G#1"/>
      <sheetName val="G#2"/>
      <sheetName val="G#3 "/>
      <sheetName val="Monitoring Parts"/>
      <sheetName val="Monitoring In Parts"/>
      <sheetName val="Failure Komatsu 1"/>
      <sheetName val="Failure Komatsu 2"/>
      <sheetName val="Failure Komatsu 3"/>
    </sheetNames>
    <sheetDataSet>
      <sheetData sheetId="0">
        <row r="4">
          <cell r="C4">
            <v>45305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Taniwel daily"/>
      <sheetName val="kWhr Tracker"/>
      <sheetName val="SFC Tracker"/>
      <sheetName val="kWh Meter Engine "/>
      <sheetName val="Main Log G#1"/>
      <sheetName val="G#2"/>
      <sheetName val="G#3 "/>
      <sheetName val="Monitoring Parts"/>
      <sheetName val="Monitoring In Parts"/>
      <sheetName val="Failure Komatsu 1"/>
      <sheetName val="Failure Komatsu 2"/>
      <sheetName val="Failure Komatsu 3"/>
    </sheetNames>
    <sheetDataSet>
      <sheetData sheetId="0">
        <row r="4">
          <cell r="C4">
            <v>45306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Taniwel daily"/>
      <sheetName val="kWhr Tracker"/>
      <sheetName val="SFC Tracker"/>
      <sheetName val="kWh Meter Engine "/>
      <sheetName val="Main Log G#1"/>
      <sheetName val="G#2"/>
      <sheetName val="G#3 "/>
      <sheetName val="Monitoring Parts"/>
      <sheetName val="Monitoring In Parts"/>
      <sheetName val="Failure Komatsu 1"/>
      <sheetName val="Failure Komatsu 2"/>
      <sheetName val="Failure Komatsu 3"/>
    </sheetNames>
    <sheetDataSet>
      <sheetData sheetId="0">
        <row r="4">
          <cell r="C4">
            <v>45307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Taniwel daily"/>
      <sheetName val="kWhr Tracker"/>
      <sheetName val="SFC Tracker"/>
      <sheetName val="kWh Meter Engine "/>
      <sheetName val="Main Log G#1"/>
      <sheetName val="G#2"/>
      <sheetName val="G#3 "/>
      <sheetName val="Monitoring Parts"/>
      <sheetName val="Monitoring In Parts"/>
      <sheetName val="Failure Komatsu 1"/>
      <sheetName val="Failure Komatsu 2"/>
      <sheetName val="Failure Komatsu 3"/>
    </sheetNames>
    <sheetDataSet>
      <sheetData sheetId="0">
        <row r="4">
          <cell r="C4">
            <v>45308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Taniwel daily"/>
      <sheetName val="kWhr Tracker"/>
      <sheetName val="SFC Tracker"/>
      <sheetName val="kWh Meter Engine "/>
      <sheetName val="Main Log G#1"/>
      <sheetName val="G#2"/>
      <sheetName val="G#3 "/>
      <sheetName val="Monitoring Parts"/>
      <sheetName val="Monitoring In Parts"/>
      <sheetName val="Failure Komatsu 1"/>
      <sheetName val="Failure Komatsu 2"/>
      <sheetName val="Failure Komatsu 3"/>
    </sheetNames>
    <sheetDataSet>
      <sheetData sheetId="0">
        <row r="4">
          <cell r="C4">
            <v>45309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Taniwel daily"/>
      <sheetName val="kWhr Tracker"/>
      <sheetName val="SFC Tracker"/>
      <sheetName val="kWh Meter Engine "/>
      <sheetName val="Main Log G#1"/>
      <sheetName val="G#2"/>
      <sheetName val="G#3 "/>
      <sheetName val="Monitoring Parts"/>
      <sheetName val="Monitoring In Parts"/>
      <sheetName val="Failure Komatsu 1"/>
      <sheetName val="Failure Komatsu 2"/>
      <sheetName val="Failure Komatsu 3"/>
    </sheetNames>
    <sheetDataSet>
      <sheetData sheetId="0">
        <row r="4">
          <cell r="C4">
            <v>45310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Taniwel daily"/>
      <sheetName val="kWhr Tracker"/>
      <sheetName val="SFC Tracker"/>
      <sheetName val="kWh Meter Engine "/>
      <sheetName val="Main Log G#1"/>
      <sheetName val="G#2"/>
      <sheetName val="G#3 "/>
      <sheetName val="Monitoring Parts"/>
      <sheetName val="Monitoring In Parts"/>
      <sheetName val="Failure Komatsu 1"/>
      <sheetName val="Failure Komatsu 2"/>
      <sheetName val="Failure Komatsu 3"/>
    </sheetNames>
    <sheetDataSet>
      <sheetData sheetId="0">
        <row r="4">
          <cell r="C4">
            <v>45311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Taniwel daily"/>
      <sheetName val="kWhr Tracker"/>
      <sheetName val="SFC Tracker"/>
      <sheetName val="kWh Meter Engine "/>
      <sheetName val="Main Log G#1"/>
      <sheetName val="G#2"/>
      <sheetName val="G#3 "/>
      <sheetName val="Monitoring Parts"/>
      <sheetName val="Monitoring In Parts"/>
      <sheetName val="Failure Komatsu 1"/>
      <sheetName val="Failure Komatsu 2"/>
      <sheetName val="Failure Komatsu 3"/>
    </sheetNames>
    <sheetDataSet>
      <sheetData sheetId="0">
        <row r="4">
          <cell r="C4">
            <v>45312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Taniwel daily"/>
      <sheetName val="kWhr Tracker"/>
      <sheetName val="SFC Tracker"/>
      <sheetName val="kWh Meter Engine "/>
      <sheetName val="LAPORAN HARIAN"/>
      <sheetName val="Main Log G#1"/>
      <sheetName val="G#2"/>
      <sheetName val="G#3 "/>
      <sheetName val="Monitoring Parts"/>
      <sheetName val="Monitoring In Parts"/>
      <sheetName val="Failure Komatsu 1"/>
      <sheetName val="Failure Komatsu 2"/>
      <sheetName val="Failure Komatsu 3"/>
    </sheetNames>
    <sheetDataSet>
      <sheetData sheetId="0">
        <row r="4">
          <cell r="C4">
            <v>45313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Taniwel daily"/>
      <sheetName val="kWhr Tracker"/>
      <sheetName val="SFC Tracker"/>
      <sheetName val="kWh Meter Engine "/>
      <sheetName val="LAPORAN HARIAN"/>
      <sheetName val="Main Log G#1"/>
      <sheetName val="G#2"/>
      <sheetName val="G#3 "/>
      <sheetName val="Monitoring Parts"/>
      <sheetName val="Monitoring In Parts"/>
      <sheetName val="Failure Komatsu 1"/>
      <sheetName val="Failure Komatsu 2"/>
      <sheetName val="Failure Komatsu 3"/>
    </sheetNames>
    <sheetDataSet>
      <sheetData sheetId="0">
        <row r="4">
          <cell r="C4">
            <v>45314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Taniwel daily"/>
      <sheetName val="kWhr Tracker"/>
      <sheetName val="SFC Tracker"/>
      <sheetName val="kWh Meter Engine "/>
      <sheetName val="LAPORAN HARIAN"/>
      <sheetName val="Main Log G#1"/>
      <sheetName val="G#2"/>
      <sheetName val="G#3 "/>
      <sheetName val="Monitoring Parts"/>
      <sheetName val="Monitoring In Parts"/>
      <sheetName val="Failure Komatsu 1"/>
      <sheetName val="Failure Komatsu 2"/>
      <sheetName val="Failure Komatsu 3"/>
    </sheetNames>
    <sheetDataSet>
      <sheetData sheetId="0">
        <row r="4">
          <cell r="C4">
            <v>45315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Taniwel daily"/>
      <sheetName val="kWhr Tracker"/>
      <sheetName val="SFC Tracker"/>
      <sheetName val="kWh Meter Engine "/>
      <sheetName val="LAPORAN HARIAN"/>
      <sheetName val="Main Log G#1"/>
      <sheetName val="G#2"/>
      <sheetName val="G#3 "/>
      <sheetName val="Monitoring Parts"/>
      <sheetName val="Monitoring In Parts"/>
      <sheetName val="Failure Komatsu 1"/>
      <sheetName val="Failure Komatsu 2"/>
      <sheetName val="Failure Komatsu 3"/>
    </sheetNames>
    <sheetDataSet>
      <sheetData sheetId="0">
        <row r="4">
          <cell r="C4">
            <v>45316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Taniwel daily"/>
      <sheetName val="kWhr Tracker"/>
      <sheetName val="SFC Tracker"/>
      <sheetName val="kWh Meter Engine "/>
      <sheetName val="LAPORAN HARIAN"/>
      <sheetName val="Main Log G#1"/>
      <sheetName val="G#2"/>
      <sheetName val="G#3 "/>
      <sheetName val="Monitoring Parts"/>
      <sheetName val="Monitoring In Parts"/>
      <sheetName val="Failure Komatsu 1"/>
      <sheetName val="Failure Komatsu 2"/>
      <sheetName val="Failure Komatsu 3"/>
    </sheetNames>
    <sheetDataSet>
      <sheetData sheetId="0">
        <row r="4">
          <cell r="C4">
            <v>45317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Taniwel daily"/>
      <sheetName val="kWhr Tracker"/>
      <sheetName val="SFC Tracker"/>
      <sheetName val="kWh Meter Engine "/>
      <sheetName val="LAPORAN HARIAN"/>
      <sheetName val="Main Log G#1"/>
      <sheetName val="G#2"/>
      <sheetName val="G#3 "/>
      <sheetName val="Monitoring Parts"/>
      <sheetName val="Monitoring In Parts"/>
      <sheetName val="Failure Komatsu 1"/>
      <sheetName val="Failure Komatsu 2"/>
      <sheetName val="Failure Komatsu 3"/>
    </sheetNames>
    <sheetDataSet>
      <sheetData sheetId="0">
        <row r="4">
          <cell r="C4">
            <v>45318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Taniwel daily"/>
      <sheetName val="kWhr Tracker"/>
      <sheetName val="SFC Tracker"/>
      <sheetName val="kWh Meter Engine "/>
      <sheetName val="LAPORAN HARIAN"/>
      <sheetName val="Main Log G#1"/>
      <sheetName val="G#2"/>
      <sheetName val="G#3 "/>
      <sheetName val="Monitoring Parts"/>
      <sheetName val="Monitoring In Parts"/>
      <sheetName val="Failure Komatsu 1"/>
      <sheetName val="Failure Komatsu 2"/>
      <sheetName val="Failure Komatsu 3"/>
    </sheetNames>
    <sheetDataSet>
      <sheetData sheetId="0">
        <row r="4">
          <cell r="C4">
            <v>45319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Taniwel daily"/>
      <sheetName val="kWhr Tracker"/>
      <sheetName val="SFC Tracker"/>
      <sheetName val="kWh Meter Engine "/>
      <sheetName val="LAPORAN HARIAN"/>
      <sheetName val="Main Log G#1"/>
      <sheetName val="G#2"/>
      <sheetName val="G#3 "/>
      <sheetName val="Monitoring Parts"/>
      <sheetName val="Monitoring In Parts"/>
      <sheetName val="Failure Komatsu 1"/>
      <sheetName val="Failure Komatsu 2"/>
      <sheetName val="Failure Komatsu 3"/>
    </sheetNames>
    <sheetDataSet>
      <sheetData sheetId="0">
        <row r="4">
          <cell r="C4">
            <v>45320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Taniwel daily"/>
      <sheetName val="kWhr Tracker"/>
      <sheetName val="SFC Tracker"/>
      <sheetName val="kWh Meter Engine "/>
      <sheetName val="LAPORAN HARIAN"/>
      <sheetName val="Main Log G#1"/>
      <sheetName val="G#2"/>
      <sheetName val="G#3 "/>
      <sheetName val="Monitoring Parts"/>
      <sheetName val="Monitoring In Parts"/>
      <sheetName val="Failure Komatsu 1"/>
      <sheetName val="Failure Komatsu 2"/>
      <sheetName val="Failure Komatsu 3"/>
    </sheetNames>
    <sheetDataSet>
      <sheetData sheetId="0">
        <row r="4">
          <cell r="C4">
            <v>45321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Taniwel daily"/>
      <sheetName val="kWhr Tracker"/>
      <sheetName val="SFC Tracker"/>
      <sheetName val="kWh Meter Engine "/>
      <sheetName val="LAPORAN HARIAN"/>
      <sheetName val="Main Log G#1"/>
      <sheetName val="G#2"/>
      <sheetName val="G#3 "/>
      <sheetName val="Monitoring Parts"/>
      <sheetName val="Monitoring In Parts"/>
      <sheetName val="Failure Komatsu 1"/>
      <sheetName val="Failure Komatsu 2"/>
      <sheetName val="Failure Komatsu 3"/>
    </sheetNames>
    <sheetDataSet>
      <sheetData sheetId="0">
        <row r="4">
          <cell r="C4">
            <v>45322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C68"/>
  <sheetViews>
    <sheetView zoomScale="80" zoomScaleNormal="80" workbookViewId="0">
      <pane ySplit="7" topLeftCell="A9" activePane="bottomLeft" state="frozen"/>
      <selection/>
      <selection pane="bottomLeft" activeCell="A3" sqref="$A3:$XFD3"/>
    </sheetView>
  </sheetViews>
  <sheetFormatPr defaultColWidth="8.81666666666667" defaultRowHeight="14.25"/>
  <cols>
    <col min="1" max="1" width="16.725" customWidth="1"/>
    <col min="2" max="2" width="8.725" customWidth="1"/>
    <col min="3" max="7" width="5.725" customWidth="1"/>
    <col min="8" max="8" width="14.2666666666667" customWidth="1"/>
    <col min="9" max="9" width="15.1833333333333" customWidth="1"/>
    <col min="10" max="10" width="15.5416666666667" customWidth="1"/>
    <col min="11" max="11" width="7" customWidth="1"/>
    <col min="12" max="12" width="8.54166666666667" customWidth="1"/>
    <col min="13" max="13" width="11.725" style="5" customWidth="1"/>
    <col min="14" max="14" width="17.1833333333333" customWidth="1"/>
    <col min="15" max="15" width="15.45" customWidth="1"/>
    <col min="16" max="16" width="7.45" customWidth="1"/>
    <col min="17" max="17" width="9.54166666666667" customWidth="1"/>
    <col min="18" max="18" width="10" customWidth="1"/>
    <col min="19" max="20" width="9.81666666666667" customWidth="1"/>
    <col min="21" max="21" width="6.725" customWidth="1"/>
    <col min="22" max="22" width="13.8166666666667" customWidth="1"/>
    <col min="23" max="23" width="11.2666666666667" customWidth="1"/>
    <col min="24" max="24" width="9.26666666666667" customWidth="1"/>
    <col min="25" max="25" width="3.725" customWidth="1"/>
    <col min="26" max="29" width="7.725" customWidth="1"/>
    <col min="30" max="30" width="6.725" customWidth="1"/>
  </cols>
  <sheetData>
    <row r="1" ht="3" customHeight="1"/>
    <row r="2" ht="6" customHeight="1" spans="1:2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="1" customFormat="1" ht="6.75" customHeight="1" spans="1:29">
      <c r="K3" s="7"/>
      <c r="L3" s="8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17.25" customHeight="1" spans="1:29">
      <c r="A4" s="1"/>
      <c r="B4" s="10"/>
      <c r="C4" s="10"/>
      <c r="D4" s="10"/>
      <c r="E4" s="11"/>
      <c r="F4" s="11"/>
      <c r="G4" s="11"/>
      <c r="H4" s="12">
        <f>'[1]Taniwel daily'!C4</f>
        <v>45292</v>
      </c>
      <c r="I4" s="13"/>
      <c r="J4" s="13"/>
      <c r="K4" s="14"/>
      <c r="L4" s="15"/>
      <c r="M4" s="16"/>
      <c r="N4" s="10"/>
      <c r="O4" s="10"/>
      <c r="P4" s="10"/>
      <c r="Q4" s="10"/>
      <c r="R4" s="10"/>
      <c r="S4" s="10"/>
      <c r="T4" s="10"/>
      <c r="U4" s="10"/>
      <c r="V4" s="7"/>
      <c r="W4" s="7"/>
      <c r="X4" s="7"/>
      <c r="Y4" s="7"/>
      <c r="Z4" s="7"/>
      <c r="AA4" s="7"/>
      <c r="AB4" s="7"/>
      <c r="AC4" s="7"/>
    </row>
    <row r="5" ht="7.5" customHeight="1" spans="1:29">
      <c r="A5" s="1"/>
      <c r="B5" s="17"/>
      <c r="C5" s="1"/>
      <c r="D5" s="1"/>
      <c r="E5" s="1"/>
      <c r="F5" s="1"/>
      <c r="G5" s="1"/>
      <c r="H5" s="1"/>
      <c r="I5" s="1"/>
      <c r="J5" s="1"/>
      <c r="K5" s="18"/>
      <c r="L5" s="7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ht="17.25" customHeight="1" spans="1:29">
      <c r="A6" s="19" t="s">
        <v>0</v>
      </c>
      <c r="B6" s="20" t="s">
        <v>1</v>
      </c>
      <c r="C6" s="21"/>
      <c r="D6" s="20" t="s">
        <v>2</v>
      </c>
      <c r="E6" s="21"/>
      <c r="F6" s="20" t="s">
        <v>3</v>
      </c>
      <c r="G6" s="21"/>
      <c r="H6" s="22" t="s">
        <v>4</v>
      </c>
      <c r="I6" s="22" t="s">
        <v>5</v>
      </c>
      <c r="J6" s="23" t="s">
        <v>6</v>
      </c>
      <c r="K6" s="19" t="s">
        <v>0</v>
      </c>
      <c r="L6" s="24" t="s">
        <v>7</v>
      </c>
      <c r="M6" s="25" t="s">
        <v>8</v>
      </c>
      <c r="N6" s="26" t="s">
        <v>9</v>
      </c>
      <c r="O6" s="25" t="s">
        <v>10</v>
      </c>
      <c r="P6" s="27"/>
      <c r="Q6" s="28"/>
      <c r="R6" s="28"/>
      <c r="S6" s="28"/>
      <c r="T6" s="28"/>
      <c r="U6" s="29"/>
    </row>
    <row r="7" ht="15.75" customHeight="1" spans="1:29">
      <c r="A7" s="30"/>
      <c r="B7" s="31">
        <v>1</v>
      </c>
      <c r="C7" s="32"/>
      <c r="D7" s="31">
        <v>2</v>
      </c>
      <c r="E7" s="32"/>
      <c r="F7" s="31">
        <v>3</v>
      </c>
      <c r="G7" s="32"/>
      <c r="H7" s="33"/>
      <c r="I7" s="33"/>
      <c r="J7" s="34"/>
      <c r="K7" s="30"/>
      <c r="L7" s="35"/>
      <c r="M7" s="36"/>
      <c r="N7" s="37"/>
      <c r="O7" s="38"/>
      <c r="P7" s="27"/>
      <c r="Q7" s="28"/>
      <c r="R7" s="28"/>
      <c r="S7" s="28"/>
      <c r="T7" s="28"/>
      <c r="U7" s="29"/>
      <c r="X7" s="39"/>
    </row>
    <row r="8" s="2" customFormat="1" ht="15" customHeight="1" spans="1:29">
      <c r="A8" s="40">
        <v>0.0416666666666666</v>
      </c>
      <c r="B8" s="41" t="s">
        <v>11</v>
      </c>
      <c r="C8" s="42"/>
      <c r="D8" s="41">
        <v>305</v>
      </c>
      <c r="E8" s="42"/>
      <c r="F8" s="41">
        <v>303</v>
      </c>
      <c r="G8" s="42"/>
      <c r="H8" s="43">
        <f t="shared" ref="H8:H31" si="0">IF(SUM(B8:G8)/1000=0,"0",SUM(B8:G8))</f>
        <v>608</v>
      </c>
      <c r="I8" s="44">
        <f t="shared" ref="I8:I31" si="1">IFERROR(AVERAGE(B8:G8),"0")</f>
        <v>304</v>
      </c>
      <c r="J8" s="45">
        <f t="shared" ref="J8:J31" si="2">COUNT(B8:G8)</f>
        <v>2</v>
      </c>
      <c r="K8" s="46">
        <v>0.0416666666666667</v>
      </c>
      <c r="L8" s="47">
        <v>4500</v>
      </c>
      <c r="M8" s="48">
        <v>153.47</v>
      </c>
      <c r="N8" s="49">
        <f>(M9-M8)*12000</f>
        <v>479.999999999905</v>
      </c>
      <c r="O8" s="50"/>
      <c r="P8" s="51"/>
      <c r="Q8" s="52"/>
      <c r="R8" s="52"/>
      <c r="S8" s="52"/>
      <c r="T8" s="52"/>
      <c r="U8" s="53"/>
    </row>
    <row r="9" s="3" customFormat="1" ht="15" customHeight="1" spans="1:29">
      <c r="A9" s="40">
        <v>0.0833333333333333</v>
      </c>
      <c r="B9" s="41" t="s">
        <v>11</v>
      </c>
      <c r="C9" s="42"/>
      <c r="D9" s="41">
        <v>264</v>
      </c>
      <c r="E9" s="42"/>
      <c r="F9" s="41">
        <v>282</v>
      </c>
      <c r="G9" s="42"/>
      <c r="H9" s="43">
        <f t="shared" si="0"/>
        <v>546</v>
      </c>
      <c r="I9" s="44">
        <f t="shared" si="1"/>
        <v>273</v>
      </c>
      <c r="J9" s="45">
        <f t="shared" si="2"/>
        <v>2</v>
      </c>
      <c r="K9" s="46">
        <v>0.0833333333333333</v>
      </c>
      <c r="L9" s="47">
        <v>4200</v>
      </c>
      <c r="M9" s="54">
        <v>153.51</v>
      </c>
      <c r="N9" s="49">
        <f t="shared" ref="N9:N30" si="3">(M10-M9)*12000</f>
        <v>600.000000000136</v>
      </c>
      <c r="O9" s="55"/>
      <c r="P9" s="51"/>
      <c r="Q9" s="52"/>
      <c r="R9" s="52"/>
      <c r="S9" s="52"/>
      <c r="T9" s="52"/>
      <c r="U9" s="53"/>
    </row>
    <row r="10" s="3" customFormat="1" ht="15" customHeight="1" spans="1:29">
      <c r="A10" s="40">
        <v>0.125</v>
      </c>
      <c r="B10" s="41" t="s">
        <v>11</v>
      </c>
      <c r="C10" s="42"/>
      <c r="D10" s="41">
        <v>260</v>
      </c>
      <c r="E10" s="42"/>
      <c r="F10" s="41">
        <v>267</v>
      </c>
      <c r="G10" s="42"/>
      <c r="H10" s="43">
        <f t="shared" si="0"/>
        <v>527</v>
      </c>
      <c r="I10" s="44">
        <f t="shared" si="1"/>
        <v>263.5</v>
      </c>
      <c r="J10" s="45">
        <f t="shared" si="2"/>
        <v>2</v>
      </c>
      <c r="K10" s="46">
        <v>0.125</v>
      </c>
      <c r="L10" s="47">
        <v>4200</v>
      </c>
      <c r="M10" s="54">
        <v>153.56</v>
      </c>
      <c r="N10" s="49">
        <f t="shared" si="3"/>
        <v>600.000000000136</v>
      </c>
      <c r="O10" s="56"/>
      <c r="P10" s="51"/>
      <c r="Q10" s="52"/>
      <c r="R10" s="52"/>
      <c r="S10" s="52"/>
      <c r="T10" s="52"/>
      <c r="U10" s="53"/>
    </row>
    <row r="11" s="3" customFormat="1" ht="15" customHeight="1" spans="1:29">
      <c r="A11" s="40">
        <v>0.166666666666667</v>
      </c>
      <c r="B11" s="41" t="s">
        <v>11</v>
      </c>
      <c r="C11" s="42"/>
      <c r="D11" s="41">
        <v>257</v>
      </c>
      <c r="E11" s="42"/>
      <c r="F11" s="41">
        <v>266</v>
      </c>
      <c r="G11" s="42"/>
      <c r="H11" s="43">
        <f t="shared" si="0"/>
        <v>523</v>
      </c>
      <c r="I11" s="44">
        <f t="shared" si="1"/>
        <v>261.5</v>
      </c>
      <c r="J11" s="45">
        <f t="shared" si="2"/>
        <v>2</v>
      </c>
      <c r="K11" s="46">
        <v>0.166666666666667</v>
      </c>
      <c r="L11" s="47">
        <v>4000</v>
      </c>
      <c r="M11" s="54">
        <v>153.61</v>
      </c>
      <c r="N11" s="49">
        <f t="shared" si="3"/>
        <v>599.999999999795</v>
      </c>
      <c r="O11" s="56"/>
      <c r="P11" s="51"/>
      <c r="Q11" s="52"/>
      <c r="R11" s="52"/>
      <c r="S11" s="52"/>
      <c r="T11" s="52"/>
      <c r="U11" s="53"/>
    </row>
    <row r="12" s="3" customFormat="1" ht="15" customHeight="1" spans="1:29">
      <c r="A12" s="40">
        <v>0.208333333333333</v>
      </c>
      <c r="B12" s="41" t="s">
        <v>11</v>
      </c>
      <c r="C12" s="42"/>
      <c r="D12" s="41">
        <v>268</v>
      </c>
      <c r="E12" s="42"/>
      <c r="F12" s="41">
        <v>285</v>
      </c>
      <c r="G12" s="42"/>
      <c r="H12" s="43">
        <f t="shared" si="0"/>
        <v>553</v>
      </c>
      <c r="I12" s="44">
        <f t="shared" si="1"/>
        <v>276.5</v>
      </c>
      <c r="J12" s="45">
        <f t="shared" si="2"/>
        <v>2</v>
      </c>
      <c r="K12" s="46">
        <v>0.208333333333333</v>
      </c>
      <c r="L12" s="47">
        <v>3900</v>
      </c>
      <c r="M12" s="54">
        <v>153.66</v>
      </c>
      <c r="N12" s="49">
        <f t="shared" si="3"/>
        <v>600.000000000136</v>
      </c>
      <c r="O12" s="56"/>
      <c r="P12" s="51"/>
      <c r="Q12" s="52"/>
      <c r="R12" s="52"/>
      <c r="S12" s="52"/>
      <c r="T12" s="52"/>
      <c r="U12" s="53"/>
    </row>
    <row r="13" s="3" customFormat="1" ht="15" customHeight="1" spans="1:29">
      <c r="A13" s="40">
        <v>0.25</v>
      </c>
      <c r="B13" s="41" t="s">
        <v>11</v>
      </c>
      <c r="C13" s="42"/>
      <c r="D13" s="41">
        <v>270</v>
      </c>
      <c r="E13" s="42"/>
      <c r="F13" s="41">
        <v>286</v>
      </c>
      <c r="G13" s="42"/>
      <c r="H13" s="43">
        <f t="shared" si="0"/>
        <v>556</v>
      </c>
      <c r="I13" s="44">
        <f t="shared" si="1"/>
        <v>278</v>
      </c>
      <c r="J13" s="45">
        <f t="shared" si="2"/>
        <v>2</v>
      </c>
      <c r="K13" s="46">
        <v>0.25</v>
      </c>
      <c r="L13" s="47">
        <v>3600</v>
      </c>
      <c r="M13" s="54">
        <v>153.71</v>
      </c>
      <c r="N13" s="49">
        <f t="shared" si="3"/>
        <v>599.999999999795</v>
      </c>
      <c r="O13" s="56"/>
      <c r="P13" s="51"/>
      <c r="Q13" s="52"/>
      <c r="R13" s="52"/>
      <c r="S13" s="52"/>
      <c r="T13" s="52"/>
      <c r="U13" s="53"/>
    </row>
    <row r="14" s="3" customFormat="1" ht="15" customHeight="1" spans="1:29">
      <c r="A14" s="40">
        <v>0.291666666666667</v>
      </c>
      <c r="B14" s="41" t="s">
        <v>11</v>
      </c>
      <c r="C14" s="42"/>
      <c r="D14" s="41">
        <v>281</v>
      </c>
      <c r="E14" s="42"/>
      <c r="F14" s="41">
        <v>276</v>
      </c>
      <c r="G14" s="42"/>
      <c r="H14" s="43">
        <f t="shared" si="0"/>
        <v>557</v>
      </c>
      <c r="I14" s="44">
        <f t="shared" si="1"/>
        <v>278.5</v>
      </c>
      <c r="J14" s="45">
        <f t="shared" si="2"/>
        <v>2</v>
      </c>
      <c r="K14" s="46">
        <v>0.291666666666667</v>
      </c>
      <c r="L14" s="47">
        <v>3600</v>
      </c>
      <c r="M14" s="54">
        <v>153.76</v>
      </c>
      <c r="N14" s="49">
        <f t="shared" si="3"/>
        <v>600.000000000136</v>
      </c>
      <c r="O14" s="56"/>
      <c r="P14" s="51"/>
      <c r="Q14" s="52"/>
      <c r="R14" s="52"/>
      <c r="S14" s="52"/>
      <c r="T14" s="52"/>
      <c r="U14" s="53"/>
    </row>
    <row r="15" s="3" customFormat="1" ht="15" customHeight="1" spans="1:29">
      <c r="A15" s="40">
        <v>0.333333333333333</v>
      </c>
      <c r="B15" s="41" t="s">
        <v>11</v>
      </c>
      <c r="C15" s="42"/>
      <c r="D15" s="41">
        <v>290</v>
      </c>
      <c r="E15" s="42"/>
      <c r="F15" s="41">
        <v>263</v>
      </c>
      <c r="G15" s="42"/>
      <c r="H15" s="43">
        <f t="shared" si="0"/>
        <v>553</v>
      </c>
      <c r="I15" s="44">
        <f t="shared" si="1"/>
        <v>276.5</v>
      </c>
      <c r="J15" s="45">
        <f t="shared" si="2"/>
        <v>2</v>
      </c>
      <c r="K15" s="46">
        <v>0.333333333333333</v>
      </c>
      <c r="L15" s="47">
        <v>3600</v>
      </c>
      <c r="M15" s="54">
        <v>153.81</v>
      </c>
      <c r="N15" s="49">
        <f t="shared" si="3"/>
        <v>600.000000000136</v>
      </c>
      <c r="O15" s="56"/>
      <c r="P15" s="51"/>
      <c r="Q15" s="52"/>
      <c r="R15" s="52"/>
      <c r="S15" s="52"/>
      <c r="T15" s="52"/>
      <c r="U15" s="53"/>
    </row>
    <row r="16" s="3" customFormat="1" ht="15" customHeight="1" spans="1:29">
      <c r="A16" s="40">
        <v>0.375</v>
      </c>
      <c r="B16" s="41" t="s">
        <v>11</v>
      </c>
      <c r="C16" s="42"/>
      <c r="D16" s="41">
        <v>263</v>
      </c>
      <c r="E16" s="42"/>
      <c r="F16" s="41">
        <v>269</v>
      </c>
      <c r="G16" s="42"/>
      <c r="H16" s="43">
        <f t="shared" si="0"/>
        <v>532</v>
      </c>
      <c r="I16" s="44">
        <f t="shared" si="1"/>
        <v>266</v>
      </c>
      <c r="J16" s="45">
        <f t="shared" si="2"/>
        <v>2</v>
      </c>
      <c r="K16" s="46">
        <v>0.375</v>
      </c>
      <c r="L16" s="47">
        <v>3600</v>
      </c>
      <c r="M16" s="54">
        <v>153.86</v>
      </c>
      <c r="N16" s="49">
        <f t="shared" si="3"/>
        <v>599.999999999795</v>
      </c>
      <c r="O16" s="56"/>
      <c r="P16" s="51"/>
      <c r="Q16" s="52"/>
      <c r="R16" s="52"/>
      <c r="S16" s="52"/>
      <c r="T16" s="52"/>
      <c r="U16" s="53"/>
    </row>
    <row r="17" s="3" customFormat="1" ht="15" customHeight="1" spans="1:21">
      <c r="A17" s="40">
        <v>0.416666666666667</v>
      </c>
      <c r="B17" s="41" t="s">
        <v>11</v>
      </c>
      <c r="C17" s="42"/>
      <c r="D17" s="41">
        <v>254</v>
      </c>
      <c r="E17" s="42"/>
      <c r="F17" s="41">
        <v>230</v>
      </c>
      <c r="G17" s="42"/>
      <c r="H17" s="43">
        <f t="shared" si="0"/>
        <v>484</v>
      </c>
      <c r="I17" s="44">
        <f t="shared" si="1"/>
        <v>242</v>
      </c>
      <c r="J17" s="45">
        <f t="shared" si="2"/>
        <v>2</v>
      </c>
      <c r="K17" s="46">
        <v>0.416666666666666</v>
      </c>
      <c r="L17" s="47">
        <v>3400</v>
      </c>
      <c r="M17" s="54">
        <v>153.91</v>
      </c>
      <c r="N17" s="49">
        <f t="shared" si="3"/>
        <v>479.999999999905</v>
      </c>
      <c r="O17" s="56"/>
      <c r="P17" s="51"/>
      <c r="Q17" s="52"/>
      <c r="R17" s="52"/>
      <c r="S17" s="52"/>
      <c r="T17" s="52"/>
      <c r="U17" s="53"/>
    </row>
    <row r="18" s="3" customFormat="1" ht="15" customHeight="1" spans="1:21">
      <c r="A18" s="40">
        <v>0.458333333333333</v>
      </c>
      <c r="B18" s="41" t="s">
        <v>11</v>
      </c>
      <c r="C18" s="42"/>
      <c r="D18" s="41">
        <v>257</v>
      </c>
      <c r="E18" s="42"/>
      <c r="F18" s="41">
        <v>228</v>
      </c>
      <c r="G18" s="42"/>
      <c r="H18" s="43">
        <f t="shared" si="0"/>
        <v>485</v>
      </c>
      <c r="I18" s="44">
        <f t="shared" si="1"/>
        <v>242.5</v>
      </c>
      <c r="J18" s="45">
        <f t="shared" si="2"/>
        <v>2</v>
      </c>
      <c r="K18" s="46">
        <v>0.458333333333333</v>
      </c>
      <c r="L18" s="47">
        <v>3300</v>
      </c>
      <c r="M18" s="54">
        <v>153.95</v>
      </c>
      <c r="N18" s="49">
        <f t="shared" si="3"/>
        <v>600.000000000136</v>
      </c>
      <c r="O18" s="56"/>
      <c r="P18" s="51"/>
      <c r="Q18" s="52"/>
      <c r="R18" s="52"/>
      <c r="S18" s="52"/>
      <c r="T18" s="52"/>
      <c r="U18" s="53"/>
    </row>
    <row r="19" s="3" customFormat="1" ht="15" customHeight="1" spans="1:21">
      <c r="A19" s="40">
        <v>0.5</v>
      </c>
      <c r="B19" s="41" t="s">
        <v>11</v>
      </c>
      <c r="C19" s="42"/>
      <c r="D19" s="41">
        <v>258</v>
      </c>
      <c r="E19" s="42"/>
      <c r="F19" s="41">
        <v>242</v>
      </c>
      <c r="G19" s="42"/>
      <c r="H19" s="43">
        <f t="shared" si="0"/>
        <v>500</v>
      </c>
      <c r="I19" s="44">
        <f t="shared" si="1"/>
        <v>250</v>
      </c>
      <c r="J19" s="45">
        <f t="shared" si="2"/>
        <v>2</v>
      </c>
      <c r="K19" s="46">
        <v>0.5</v>
      </c>
      <c r="L19" s="47">
        <v>3300</v>
      </c>
      <c r="M19" s="54">
        <v>154</v>
      </c>
      <c r="N19" s="49">
        <f t="shared" si="3"/>
        <v>600.000000000136</v>
      </c>
      <c r="O19" s="56"/>
      <c r="P19" s="51"/>
      <c r="Q19" s="52"/>
      <c r="R19" s="52"/>
      <c r="S19" s="52"/>
      <c r="T19" s="52"/>
      <c r="U19" s="53"/>
    </row>
    <row r="20" s="3" customFormat="1" ht="15" customHeight="1" spans="1:21">
      <c r="A20" s="40">
        <v>0.541666666666667</v>
      </c>
      <c r="B20" s="41" t="s">
        <v>11</v>
      </c>
      <c r="C20" s="42"/>
      <c r="D20" s="41">
        <v>258</v>
      </c>
      <c r="E20" s="42"/>
      <c r="F20" s="41">
        <v>240</v>
      </c>
      <c r="G20" s="42"/>
      <c r="H20" s="43">
        <f t="shared" si="0"/>
        <v>498</v>
      </c>
      <c r="I20" s="44">
        <f t="shared" si="1"/>
        <v>249</v>
      </c>
      <c r="J20" s="45">
        <f t="shared" si="2"/>
        <v>2</v>
      </c>
      <c r="K20" s="46">
        <v>0.541666666666667</v>
      </c>
      <c r="L20" s="47">
        <v>3000</v>
      </c>
      <c r="M20" s="54">
        <v>154.05</v>
      </c>
      <c r="N20" s="49">
        <f t="shared" si="3"/>
        <v>479.999999999905</v>
      </c>
      <c r="O20" s="56"/>
      <c r="P20" s="51"/>
      <c r="Q20" s="52"/>
      <c r="R20" s="52"/>
      <c r="S20" s="52"/>
      <c r="T20" s="52"/>
      <c r="U20" s="53"/>
    </row>
    <row r="21" s="3" customFormat="1" ht="15" customHeight="1" spans="1:21">
      <c r="A21" s="40">
        <v>0.583333333333333</v>
      </c>
      <c r="B21" s="41" t="s">
        <v>11</v>
      </c>
      <c r="C21" s="42"/>
      <c r="D21" s="41">
        <v>235</v>
      </c>
      <c r="E21" s="42"/>
      <c r="F21" s="41">
        <v>254</v>
      </c>
      <c r="G21" s="42"/>
      <c r="H21" s="43">
        <f t="shared" si="0"/>
        <v>489</v>
      </c>
      <c r="I21" s="44">
        <f t="shared" si="1"/>
        <v>244.5</v>
      </c>
      <c r="J21" s="45">
        <f t="shared" si="2"/>
        <v>2</v>
      </c>
      <c r="K21" s="46">
        <v>0.583333333333333</v>
      </c>
      <c r="L21" s="47">
        <v>3000</v>
      </c>
      <c r="M21" s="54">
        <v>154.09</v>
      </c>
      <c r="N21" s="49">
        <f t="shared" si="3"/>
        <v>599.999999999795</v>
      </c>
      <c r="O21" s="56"/>
      <c r="P21" s="51"/>
      <c r="Q21" s="52"/>
      <c r="R21" s="52"/>
      <c r="S21" s="52"/>
      <c r="T21" s="52"/>
      <c r="U21" s="53"/>
    </row>
    <row r="22" s="3" customFormat="1" ht="15" customHeight="1" spans="1:21">
      <c r="A22" s="40">
        <v>0.625</v>
      </c>
      <c r="B22" s="41" t="s">
        <v>11</v>
      </c>
      <c r="C22" s="42"/>
      <c r="D22" s="41">
        <v>239</v>
      </c>
      <c r="E22" s="42"/>
      <c r="F22" s="41">
        <v>245</v>
      </c>
      <c r="G22" s="42"/>
      <c r="H22" s="43">
        <f t="shared" si="0"/>
        <v>484</v>
      </c>
      <c r="I22" s="44">
        <f t="shared" si="1"/>
        <v>242</v>
      </c>
      <c r="J22" s="45">
        <f t="shared" si="2"/>
        <v>2</v>
      </c>
      <c r="K22" s="46">
        <v>0.625</v>
      </c>
      <c r="L22" s="47">
        <v>3000</v>
      </c>
      <c r="M22" s="54">
        <v>154.14</v>
      </c>
      <c r="N22" s="49">
        <f t="shared" si="3"/>
        <v>600.000000000136</v>
      </c>
      <c r="O22" s="56"/>
      <c r="P22" s="51"/>
      <c r="Q22" s="52"/>
      <c r="R22" s="52"/>
      <c r="S22" s="52"/>
      <c r="T22" s="52"/>
      <c r="U22" s="53"/>
    </row>
    <row r="23" s="3" customFormat="1" ht="15" customHeight="1" spans="1:21">
      <c r="A23" s="40">
        <v>0.666666666666667</v>
      </c>
      <c r="B23" s="41" t="s">
        <v>11</v>
      </c>
      <c r="C23" s="42"/>
      <c r="D23" s="41">
        <v>234</v>
      </c>
      <c r="E23" s="42"/>
      <c r="F23" s="41">
        <v>269</v>
      </c>
      <c r="G23" s="42"/>
      <c r="H23" s="43">
        <f t="shared" si="0"/>
        <v>503</v>
      </c>
      <c r="I23" s="44">
        <f t="shared" si="1"/>
        <v>251.5</v>
      </c>
      <c r="J23" s="45">
        <f t="shared" si="2"/>
        <v>2</v>
      </c>
      <c r="K23" s="46">
        <v>0.666666666666666</v>
      </c>
      <c r="L23" s="47">
        <v>3000</v>
      </c>
      <c r="M23" s="54">
        <v>154.19</v>
      </c>
      <c r="N23" s="49">
        <f t="shared" si="3"/>
        <v>600.000000000136</v>
      </c>
      <c r="O23" s="56"/>
      <c r="P23" s="51"/>
      <c r="Q23" s="52"/>
      <c r="R23" s="52"/>
      <c r="S23" s="52"/>
      <c r="T23" s="52"/>
      <c r="U23" s="53"/>
    </row>
    <row r="24" s="3" customFormat="1" ht="15" customHeight="1" spans="1:21">
      <c r="A24" s="40">
        <v>0.708333333333334</v>
      </c>
      <c r="B24" s="41" t="s">
        <v>11</v>
      </c>
      <c r="C24" s="42"/>
      <c r="D24" s="41">
        <v>267</v>
      </c>
      <c r="E24" s="42"/>
      <c r="F24" s="41">
        <v>266</v>
      </c>
      <c r="G24" s="42"/>
      <c r="H24" s="43">
        <f t="shared" si="0"/>
        <v>533</v>
      </c>
      <c r="I24" s="44">
        <f t="shared" si="1"/>
        <v>266.5</v>
      </c>
      <c r="J24" s="45">
        <f t="shared" si="2"/>
        <v>2</v>
      </c>
      <c r="K24" s="46">
        <v>0.708333333333333</v>
      </c>
      <c r="L24" s="47">
        <v>2700</v>
      </c>
      <c r="M24" s="54">
        <v>154.24</v>
      </c>
      <c r="N24" s="49">
        <f t="shared" si="3"/>
        <v>599.999999999795</v>
      </c>
      <c r="O24" s="56"/>
      <c r="P24" s="51"/>
      <c r="Q24" s="52"/>
      <c r="R24" s="52"/>
      <c r="S24" s="52"/>
      <c r="T24" s="52"/>
      <c r="U24" s="53"/>
    </row>
    <row r="25" s="3" customFormat="1" ht="15" customHeight="1" spans="1:21">
      <c r="A25" s="40">
        <v>0.75</v>
      </c>
      <c r="B25" s="41" t="s">
        <v>11</v>
      </c>
      <c r="C25" s="42"/>
      <c r="D25" s="41">
        <v>265</v>
      </c>
      <c r="E25" s="42"/>
      <c r="F25" s="41">
        <v>279</v>
      </c>
      <c r="G25" s="42"/>
      <c r="H25" s="43">
        <f t="shared" si="0"/>
        <v>544</v>
      </c>
      <c r="I25" s="44">
        <f t="shared" si="1"/>
        <v>272</v>
      </c>
      <c r="J25" s="45">
        <f t="shared" si="2"/>
        <v>2</v>
      </c>
      <c r="K25" s="46">
        <v>0.75</v>
      </c>
      <c r="L25" s="47">
        <v>2400</v>
      </c>
      <c r="M25" s="54">
        <v>154.29</v>
      </c>
      <c r="N25" s="49">
        <f t="shared" si="3"/>
        <v>600.000000000136</v>
      </c>
      <c r="O25" s="56"/>
      <c r="P25" s="51"/>
      <c r="Q25" s="52"/>
      <c r="R25" s="52"/>
      <c r="S25" s="52"/>
      <c r="T25" s="52"/>
      <c r="U25" s="53"/>
    </row>
    <row r="26" s="3" customFormat="1" ht="15" customHeight="1" spans="1:21">
      <c r="A26" s="40">
        <v>0.791666666666667</v>
      </c>
      <c r="B26" s="41" t="s">
        <v>11</v>
      </c>
      <c r="C26" s="42"/>
      <c r="D26" s="41">
        <v>354</v>
      </c>
      <c r="E26" s="42"/>
      <c r="F26" s="41">
        <v>320</v>
      </c>
      <c r="G26" s="42"/>
      <c r="H26" s="43">
        <f t="shared" si="0"/>
        <v>674</v>
      </c>
      <c r="I26" s="44">
        <f t="shared" si="1"/>
        <v>337</v>
      </c>
      <c r="J26" s="45">
        <f t="shared" si="2"/>
        <v>2</v>
      </c>
      <c r="K26" s="46">
        <v>0.791666666666666</v>
      </c>
      <c r="L26" s="47">
        <v>2100</v>
      </c>
      <c r="M26" s="54">
        <v>154.34</v>
      </c>
      <c r="N26" s="49">
        <f t="shared" si="3"/>
        <v>839.999999999918</v>
      </c>
      <c r="O26" s="56"/>
      <c r="P26" s="51"/>
      <c r="Q26" s="52"/>
      <c r="R26" s="52"/>
      <c r="S26" s="52"/>
      <c r="T26" s="52"/>
      <c r="U26" s="53"/>
    </row>
    <row r="27" s="3" customFormat="1" ht="15" customHeight="1" spans="1:21">
      <c r="A27" s="40">
        <v>0.833333333333334</v>
      </c>
      <c r="B27" s="41" t="s">
        <v>11</v>
      </c>
      <c r="C27" s="42"/>
      <c r="D27" s="41">
        <v>343</v>
      </c>
      <c r="E27" s="42"/>
      <c r="F27" s="41">
        <v>361</v>
      </c>
      <c r="G27" s="42"/>
      <c r="H27" s="43">
        <f t="shared" si="0"/>
        <v>704</v>
      </c>
      <c r="I27" s="44">
        <f t="shared" si="1"/>
        <v>352</v>
      </c>
      <c r="J27" s="45">
        <f t="shared" si="2"/>
        <v>2</v>
      </c>
      <c r="K27" s="46">
        <v>0.833333333333333</v>
      </c>
      <c r="L27" s="47">
        <v>2100</v>
      </c>
      <c r="M27" s="54">
        <v>154.41</v>
      </c>
      <c r="N27" s="49">
        <f t="shared" si="3"/>
        <v>720.000000000027</v>
      </c>
      <c r="O27" s="56"/>
      <c r="P27" s="51"/>
      <c r="Q27" s="52"/>
      <c r="R27" s="52"/>
      <c r="S27" s="52"/>
      <c r="T27" s="52"/>
      <c r="U27" s="53"/>
    </row>
    <row r="28" s="4" customFormat="1" ht="15" customHeight="1" spans="1:21">
      <c r="A28" s="40">
        <v>0.875</v>
      </c>
      <c r="B28" s="41" t="s">
        <v>11</v>
      </c>
      <c r="C28" s="42"/>
      <c r="D28" s="41">
        <v>326</v>
      </c>
      <c r="E28" s="42"/>
      <c r="F28" s="41">
        <v>354</v>
      </c>
      <c r="G28" s="42"/>
      <c r="H28" s="43">
        <f t="shared" si="0"/>
        <v>680</v>
      </c>
      <c r="I28" s="44">
        <f t="shared" si="1"/>
        <v>340</v>
      </c>
      <c r="J28" s="45">
        <f t="shared" si="2"/>
        <v>2</v>
      </c>
      <c r="K28" s="46">
        <v>0.875</v>
      </c>
      <c r="L28" s="47">
        <v>1800</v>
      </c>
      <c r="M28" s="54">
        <v>154.47</v>
      </c>
      <c r="N28" s="49">
        <f t="shared" si="3"/>
        <v>720.000000000027</v>
      </c>
      <c r="O28" s="56"/>
      <c r="P28" s="51"/>
      <c r="Q28" s="52"/>
      <c r="R28" s="52"/>
      <c r="S28" s="52"/>
      <c r="T28" s="52"/>
      <c r="U28" s="53"/>
    </row>
    <row r="29" s="3" customFormat="1" ht="15" customHeight="1" spans="1:21">
      <c r="A29" s="40">
        <v>0.916666666666667</v>
      </c>
      <c r="B29" s="41" t="s">
        <v>11</v>
      </c>
      <c r="C29" s="42"/>
      <c r="D29" s="41">
        <v>325</v>
      </c>
      <c r="E29" s="42"/>
      <c r="F29" s="41">
        <v>303</v>
      </c>
      <c r="G29" s="42"/>
      <c r="H29" s="43">
        <f t="shared" si="0"/>
        <v>628</v>
      </c>
      <c r="I29" s="44">
        <f t="shared" si="1"/>
        <v>314</v>
      </c>
      <c r="J29" s="45">
        <f t="shared" si="2"/>
        <v>2</v>
      </c>
      <c r="K29" s="46">
        <v>0.916666666666666</v>
      </c>
      <c r="L29" s="47">
        <v>1800</v>
      </c>
      <c r="M29" s="54">
        <v>154.53</v>
      </c>
      <c r="N29" s="49">
        <f t="shared" si="3"/>
        <v>720.000000000027</v>
      </c>
      <c r="O29" s="56"/>
      <c r="P29" s="51"/>
      <c r="Q29" s="52"/>
      <c r="R29" s="52"/>
      <c r="S29" s="52"/>
      <c r="T29" s="52"/>
      <c r="U29" s="53"/>
    </row>
    <row r="30" s="3" customFormat="1" ht="15" customHeight="1" spans="1:21">
      <c r="A30" s="40">
        <v>0.958333333333334</v>
      </c>
      <c r="B30" s="41" t="s">
        <v>11</v>
      </c>
      <c r="C30" s="42"/>
      <c r="D30" s="41">
        <v>302</v>
      </c>
      <c r="E30" s="42"/>
      <c r="F30" s="41">
        <v>308</v>
      </c>
      <c r="G30" s="42"/>
      <c r="H30" s="43">
        <f t="shared" si="0"/>
        <v>610</v>
      </c>
      <c r="I30" s="44">
        <f t="shared" si="1"/>
        <v>305</v>
      </c>
      <c r="J30" s="45">
        <f t="shared" si="2"/>
        <v>2</v>
      </c>
      <c r="K30" s="46">
        <v>0.958333333333333</v>
      </c>
      <c r="L30" s="47">
        <v>1800</v>
      </c>
      <c r="M30" s="54">
        <v>154.59</v>
      </c>
      <c r="N30" s="49">
        <f t="shared" si="3"/>
        <v>599.999999999795</v>
      </c>
      <c r="O30" s="56"/>
      <c r="P30" s="51"/>
      <c r="Q30" s="52"/>
      <c r="R30" s="52"/>
      <c r="S30" s="52"/>
      <c r="T30" s="52"/>
      <c r="U30" s="53"/>
    </row>
    <row r="31" s="2" customFormat="1" ht="15" customHeight="1" spans="1:21">
      <c r="A31" s="57">
        <v>1</v>
      </c>
      <c r="B31" s="41" t="s">
        <v>11</v>
      </c>
      <c r="C31" s="42"/>
      <c r="D31" s="41">
        <v>278</v>
      </c>
      <c r="E31" s="42"/>
      <c r="F31" s="41">
        <v>292</v>
      </c>
      <c r="G31" s="42"/>
      <c r="H31" s="43">
        <f t="shared" si="0"/>
        <v>570</v>
      </c>
      <c r="I31" s="58">
        <f t="shared" si="1"/>
        <v>285</v>
      </c>
      <c r="J31" s="59">
        <f t="shared" si="2"/>
        <v>2</v>
      </c>
      <c r="K31" s="60">
        <v>1</v>
      </c>
      <c r="L31" s="47">
        <v>4500</v>
      </c>
      <c r="M31" s="61">
        <v>154.64</v>
      </c>
      <c r="N31" s="49">
        <f>H31</f>
        <v>570</v>
      </c>
      <c r="O31" s="56"/>
      <c r="P31" s="51"/>
      <c r="Q31" s="52"/>
      <c r="R31" s="52"/>
      <c r="S31" s="52"/>
      <c r="T31" s="52"/>
      <c r="U31" s="53"/>
    </row>
    <row r="32" s="3" customFormat="1" ht="23.25" customHeight="1" spans="1:21">
      <c r="A32" s="62" t="s">
        <v>12</v>
      </c>
      <c r="B32" s="63">
        <f>SUM(B8:B31)/1000</f>
        <v>0</v>
      </c>
      <c r="C32" s="64"/>
      <c r="D32" s="63">
        <f>SUM(D8:D31)/1000</f>
        <v>6.653</v>
      </c>
      <c r="E32" s="64"/>
      <c r="F32" s="63">
        <f>SUM(F8:F31)/1000</f>
        <v>6.688</v>
      </c>
      <c r="G32" s="64"/>
      <c r="H32" s="65">
        <f>SUM(H8:H31)</f>
        <v>13341</v>
      </c>
      <c r="I32" s="66" t="s">
        <v>13</v>
      </c>
      <c r="J32" s="67"/>
      <c r="K32" s="68"/>
      <c r="L32" s="69"/>
      <c r="M32" s="70">
        <f>SUM(M31-M8+N8)</f>
        <v>481.169999999904</v>
      </c>
      <c r="N32" s="71">
        <f>SUM(N8:N31)</f>
        <v>14609.9999999998</v>
      </c>
      <c r="O32" s="72">
        <f>SUM(O8:O31)</f>
        <v>0</v>
      </c>
      <c r="P32" s="73"/>
      <c r="Q32" s="74"/>
      <c r="R32" s="74"/>
      <c r="S32" s="74"/>
      <c r="T32" s="74"/>
      <c r="U32" s="75"/>
    </row>
    <row r="33" ht="15" customHeight="1" spans="1:29">
      <c r="A33" s="76" t="s">
        <v>14</v>
      </c>
      <c r="B33" s="77" t="str">
        <f>IFERROR((AVERAGE(B8:B31)),"0")</f>
        <v>0</v>
      </c>
      <c r="C33" s="78"/>
      <c r="D33" s="79">
        <f>IFERROR((AVERAGE(D8:D31)),"0")</f>
        <v>277.208333333333</v>
      </c>
      <c r="E33" s="78"/>
      <c r="F33" s="79">
        <f>IFERROR((AVERAGE(F8:F31)),"0")</f>
        <v>278.666666666667</v>
      </c>
      <c r="G33" s="80"/>
      <c r="H33" s="81">
        <f>H32*1000</f>
        <v>13341000</v>
      </c>
      <c r="I33" s="82" t="s">
        <v>15</v>
      </c>
      <c r="J33" s="83"/>
      <c r="K33" s="84"/>
      <c r="L33" s="85"/>
      <c r="M33" s="86"/>
      <c r="N33" s="85"/>
      <c r="O33" s="87"/>
      <c r="P33" s="87"/>
      <c r="Q33" s="88"/>
      <c r="R33" s="88"/>
      <c r="S33" s="89"/>
      <c r="T33" s="89"/>
      <c r="U33" s="89"/>
      <c r="V33" s="89"/>
    </row>
    <row r="34" ht="18.75" customHeight="1" spans="1:29">
      <c r="A34" s="90"/>
      <c r="B34" s="91"/>
      <c r="C34" s="92"/>
      <c r="D34" s="93"/>
      <c r="E34" s="92"/>
      <c r="F34" s="93"/>
      <c r="G34" s="94"/>
      <c r="H34" s="95"/>
      <c r="I34" s="96"/>
      <c r="J34" s="97"/>
      <c r="K34" s="98"/>
      <c r="L34" s="85"/>
      <c r="M34" s="86"/>
      <c r="N34" s="99"/>
      <c r="O34" s="99"/>
      <c r="P34" s="99"/>
      <c r="Q34" s="99"/>
      <c r="R34" s="88"/>
      <c r="S34" s="89"/>
      <c r="T34" s="89"/>
      <c r="U34" s="89"/>
      <c r="V34" s="89"/>
    </row>
    <row r="35" ht="22.5" customHeight="1" spans="1:29">
      <c r="A35" s="100" t="s">
        <v>16</v>
      </c>
      <c r="B35" s="101">
        <f>COUNT(B8:B31)</f>
        <v>0</v>
      </c>
      <c r="C35" s="102"/>
      <c r="D35" s="103">
        <f>COUNT(D8:D31)</f>
        <v>24</v>
      </c>
      <c r="E35" s="102"/>
      <c r="F35" s="103">
        <f>COUNT(F8:F31)</f>
        <v>24</v>
      </c>
      <c r="G35" s="104"/>
      <c r="H35" s="105"/>
      <c r="I35" s="106"/>
      <c r="J35" s="107"/>
      <c r="K35" s="107"/>
      <c r="L35" s="107"/>
      <c r="M35" s="107"/>
      <c r="N35" s="99"/>
      <c r="O35" s="99"/>
      <c r="P35" s="99"/>
      <c r="Q35" s="99"/>
      <c r="R35" s="108"/>
      <c r="S35" s="89"/>
      <c r="T35" s="89"/>
      <c r="U35" s="89"/>
      <c r="V35" s="89"/>
    </row>
    <row r="36" ht="9" customHeight="1" spans="1:29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10"/>
      <c r="N36" s="106"/>
      <c r="O36" s="107"/>
      <c r="P36" s="107"/>
      <c r="Q36" s="107"/>
      <c r="R36" s="107"/>
      <c r="S36" s="107"/>
      <c r="T36" s="107"/>
      <c r="U36" s="111"/>
      <c r="V36" s="112"/>
      <c r="W36" s="108"/>
      <c r="X36" s="108"/>
      <c r="Y36" s="108"/>
      <c r="Z36" s="89"/>
      <c r="AA36" s="89"/>
      <c r="AB36" s="89"/>
      <c r="AC36" s="89"/>
    </row>
    <row r="37" ht="24" customHeight="1" spans="1:29">
      <c r="D37" s="113"/>
      <c r="E37" s="113"/>
      <c r="F37" s="113"/>
      <c r="G37" s="113"/>
      <c r="H37" s="113"/>
      <c r="I37" s="113"/>
      <c r="J37" s="113"/>
      <c r="K37" s="114"/>
      <c r="L37" s="114"/>
      <c r="N37" s="115" t="s">
        <v>17</v>
      </c>
      <c r="O37" s="116"/>
      <c r="P37" s="116"/>
      <c r="Q37" s="117"/>
      <c r="R37" s="118">
        <f>SUM(B35:F35)</f>
        <v>48</v>
      </c>
      <c r="S37" s="69"/>
      <c r="T37" s="69"/>
      <c r="U37" s="69"/>
      <c r="V37" s="69"/>
      <c r="X37" s="119"/>
      <c r="Y37" s="119"/>
      <c r="Z37" s="119"/>
      <c r="AA37" s="119"/>
      <c r="AB37" s="119"/>
      <c r="AC37" s="114"/>
    </row>
    <row r="38" ht="15" spans="1:29">
      <c r="D38" s="113"/>
      <c r="E38" s="113"/>
      <c r="F38" s="113"/>
      <c r="G38" s="113"/>
      <c r="H38" s="113"/>
      <c r="I38" s="113"/>
      <c r="J38" s="113"/>
      <c r="K38" s="114"/>
      <c r="L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</row>
    <row r="39" ht="24.75" customHeight="1" spans="1:29">
      <c r="A39" s="120" t="s">
        <v>18</v>
      </c>
      <c r="B39" s="121"/>
      <c r="C39" s="122">
        <f>MAX(H8:H31)</f>
        <v>704</v>
      </c>
      <c r="D39" s="123"/>
      <c r="E39" s="124">
        <f>VLOOKUP(C39,H8:L31,4,FALSE)</f>
        <v>0.833333333333333</v>
      </c>
      <c r="F39" s="125"/>
      <c r="G39" s="125"/>
      <c r="H39" s="126" t="s">
        <v>19</v>
      </c>
      <c r="I39" s="127"/>
      <c r="J39" s="128"/>
      <c r="K39" s="129">
        <f>MAX(J8:J31)</f>
        <v>2</v>
      </c>
      <c r="L39" s="130"/>
      <c r="N39" s="131" t="s">
        <v>20</v>
      </c>
      <c r="O39" s="132"/>
      <c r="P39" s="132"/>
      <c r="Q39" s="133"/>
      <c r="R39" s="134">
        <f>AVERAGE(H8:H31)</f>
        <v>555.875</v>
      </c>
      <c r="S39" s="135"/>
      <c r="T39" s="135"/>
    </row>
    <row r="40" ht="15" spans="1:29">
      <c r="C40" s="136"/>
      <c r="D40" s="137"/>
      <c r="E40" s="138"/>
      <c r="F40" s="138"/>
      <c r="G40" s="138"/>
      <c r="H40" s="138"/>
      <c r="I40" s="139"/>
      <c r="J40" s="106"/>
      <c r="K40" s="110"/>
      <c r="L40" s="110"/>
      <c r="N40" s="140"/>
      <c r="O40" s="140"/>
      <c r="P40" s="140"/>
      <c r="Q40" s="140"/>
      <c r="R40" s="140"/>
      <c r="X40" s="5"/>
      <c r="Y40" s="5"/>
      <c r="Z40" s="5"/>
      <c r="AA40" s="5"/>
      <c r="AB40" s="5"/>
      <c r="AC40" s="141"/>
    </row>
    <row r="41" ht="24.75" customHeight="1" spans="1:29">
      <c r="A41" s="120" t="s">
        <v>21</v>
      </c>
      <c r="B41" s="121"/>
      <c r="C41" s="122">
        <f>MIN(H8:H31)</f>
        <v>484</v>
      </c>
      <c r="D41" s="123"/>
      <c r="E41" s="124">
        <f>VLOOKUP(C41,H8:L31,4,FALSE)</f>
        <v>0.416666666666666</v>
      </c>
      <c r="F41" s="142"/>
      <c r="G41" s="125"/>
      <c r="H41" s="126" t="s">
        <v>22</v>
      </c>
      <c r="I41" s="127"/>
      <c r="J41" s="128"/>
      <c r="K41" s="129">
        <f>MIN(J8:J31)</f>
        <v>2</v>
      </c>
      <c r="L41" s="130"/>
      <c r="N41" s="126" t="s">
        <v>23</v>
      </c>
      <c r="O41" s="127"/>
      <c r="P41" s="127"/>
      <c r="Q41" s="128"/>
      <c r="R41" s="143">
        <f>AVERAGE(I8:I31)</f>
        <v>277.9375</v>
      </c>
      <c r="S41" s="144"/>
      <c r="T41" s="144"/>
      <c r="U41" s="144"/>
      <c r="V41" s="144"/>
      <c r="X41" s="145"/>
    </row>
    <row r="42" ht="15" spans="1:29">
      <c r="D42" s="138"/>
      <c r="E42" s="138"/>
      <c r="F42" s="138"/>
      <c r="G42" s="138"/>
      <c r="H42" s="138"/>
      <c r="I42" s="146"/>
      <c r="J42" s="138"/>
      <c r="K42" s="147"/>
      <c r="L42" s="147"/>
      <c r="V42" s="148"/>
      <c r="W42" s="148"/>
      <c r="X42" s="149"/>
      <c r="Y42" s="149"/>
      <c r="Z42" s="150"/>
      <c r="AA42" s="150"/>
      <c r="AB42" s="150"/>
      <c r="AC42" s="150"/>
    </row>
    <row r="43" ht="24.75" customHeight="1" spans="1:29">
      <c r="C43" s="136"/>
      <c r="H43" s="151"/>
      <c r="I43" s="151"/>
      <c r="J43" s="151"/>
      <c r="K43" s="145"/>
      <c r="L43" s="139"/>
      <c r="N43" s="152" t="s">
        <v>24</v>
      </c>
      <c r="O43" s="153"/>
      <c r="P43" s="153"/>
      <c r="Q43" s="154"/>
      <c r="R43" s="155" t="e">
        <f>AVERAGE(T8:T31)</f>
        <v>#DIV/0!</v>
      </c>
      <c r="X43" s="156"/>
      <c r="Z43" s="157"/>
      <c r="AA43" s="157"/>
      <c r="AB43" s="157"/>
      <c r="AC43" s="157"/>
    </row>
    <row r="44" ht="19.5" spans="1:29">
      <c r="I44" s="158"/>
      <c r="K44" s="159"/>
      <c r="L44" s="159"/>
      <c r="Z44" s="160"/>
      <c r="AA44" s="160"/>
      <c r="AB44" s="160"/>
      <c r="AC44" s="160"/>
    </row>
    <row r="45" ht="24.75" customHeight="1" spans="1:29">
      <c r="D45" s="158"/>
      <c r="E45" s="158"/>
      <c r="F45" s="158"/>
      <c r="G45" s="158"/>
      <c r="H45" s="158"/>
      <c r="N45" s="126" t="s">
        <v>25</v>
      </c>
      <c r="O45" s="127"/>
      <c r="P45" s="127"/>
      <c r="Q45" s="128"/>
      <c r="R45" s="161">
        <f>SUM(M32-H32)/24</f>
        <v>-535.826250000004</v>
      </c>
      <c r="X45" s="162"/>
      <c r="Z45" s="163"/>
      <c r="AA45" s="163"/>
      <c r="AB45" s="163"/>
      <c r="AC45" s="163"/>
    </row>
    <row r="46" spans="1:29">
      <c r="Z46" s="164"/>
      <c r="AA46" s="164"/>
      <c r="AB46" s="164"/>
      <c r="AC46" s="164"/>
    </row>
    <row r="47" spans="1:29">
      <c r="Z47" s="139"/>
      <c r="AA47" s="139"/>
      <c r="AB47" s="139"/>
      <c r="AC47" s="139"/>
    </row>
    <row r="48" spans="1:29">
      <c r="Z48" s="139"/>
      <c r="AA48" s="139"/>
      <c r="AB48" s="139"/>
      <c r="AC48" s="139"/>
    </row>
    <row r="49" spans="11:29">
      <c r="Z49" s="157"/>
      <c r="AA49" s="157"/>
      <c r="AB49" s="157"/>
      <c r="AC49" s="157"/>
    </row>
    <row r="50" spans="11:29">
      <c r="Z50" s="157"/>
      <c r="AA50" s="157"/>
      <c r="AB50" s="157"/>
      <c r="AC50" s="157"/>
    </row>
    <row r="51" spans="11:29">
      <c r="K51" s="150"/>
      <c r="L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0"/>
      <c r="AC51" s="150"/>
    </row>
    <row r="52" spans="11:29">
      <c r="K52" s="150"/>
      <c r="L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  <c r="AB52" s="150"/>
      <c r="AC52" s="150"/>
    </row>
    <row r="53" spans="11:29">
      <c r="K53" s="150"/>
      <c r="L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50"/>
      <c r="AB53" s="150"/>
      <c r="AC53" s="150"/>
    </row>
    <row r="60" spans="11:29">
      <c r="O60" s="165"/>
      <c r="P60" s="165"/>
      <c r="Q60" s="165"/>
      <c r="R60" s="165"/>
      <c r="S60" s="165"/>
      <c r="T60" s="165"/>
    </row>
    <row r="61" spans="11:29">
      <c r="O61" s="165"/>
      <c r="P61" s="165"/>
      <c r="Q61" s="165"/>
      <c r="R61" s="165"/>
      <c r="S61" s="165"/>
      <c r="T61" s="165"/>
    </row>
    <row r="62" spans="11:29">
      <c r="O62" s="165"/>
      <c r="P62" s="165"/>
      <c r="Q62" s="165"/>
      <c r="R62" s="165"/>
      <c r="S62" s="165"/>
      <c r="T62" s="165"/>
    </row>
    <row r="63" spans="11:29">
      <c r="O63" s="165"/>
      <c r="P63" s="165"/>
      <c r="Q63" s="165"/>
      <c r="R63" s="165"/>
      <c r="S63" s="165"/>
      <c r="T63" s="165"/>
    </row>
    <row r="64" spans="11:29">
      <c r="O64" s="165"/>
      <c r="P64" s="165"/>
      <c r="Q64" s="165"/>
      <c r="R64" s="165"/>
      <c r="S64" s="165"/>
      <c r="T64" s="165"/>
    </row>
    <row r="65" spans="15:20">
      <c r="O65" s="165"/>
      <c r="P65" s="165"/>
      <c r="Q65" s="165"/>
      <c r="R65" s="165"/>
      <c r="S65" s="165"/>
      <c r="T65" s="165"/>
    </row>
    <row r="66" spans="15:20">
      <c r="O66" s="165"/>
      <c r="P66" s="165"/>
      <c r="Q66" s="165"/>
      <c r="R66" s="165"/>
      <c r="S66" s="165"/>
      <c r="T66" s="165"/>
    </row>
    <row r="67" spans="15:20">
      <c r="O67" s="165"/>
      <c r="P67" s="165"/>
      <c r="Q67" s="165"/>
      <c r="R67" s="165"/>
      <c r="S67" s="165"/>
      <c r="T67" s="165"/>
    </row>
    <row r="68" spans="15:20">
      <c r="O68" s="165"/>
      <c r="P68" s="165"/>
      <c r="Q68" s="165"/>
      <c r="R68" s="165"/>
      <c r="S68" s="165"/>
      <c r="T68" s="165"/>
    </row>
  </sheetData>
  <mergeCells count="116">
    <mergeCell ref="H4:K4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B29:C29"/>
    <mergeCell ref="D29:E29"/>
    <mergeCell ref="F29:G2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N34:Q34"/>
    <mergeCell ref="B35:C35"/>
    <mergeCell ref="D35:E35"/>
    <mergeCell ref="F35:G35"/>
    <mergeCell ref="N35:Q35"/>
    <mergeCell ref="N37:Q37"/>
    <mergeCell ref="A39:B39"/>
    <mergeCell ref="C39:D39"/>
    <mergeCell ref="H39:J39"/>
    <mergeCell ref="N39:Q39"/>
    <mergeCell ref="A41:B41"/>
    <mergeCell ref="C41:D41"/>
    <mergeCell ref="H41:J41"/>
    <mergeCell ref="N41:Q41"/>
    <mergeCell ref="H43:J43"/>
    <mergeCell ref="N43:Q43"/>
    <mergeCell ref="N45:Q45"/>
    <mergeCell ref="A6:A7"/>
    <mergeCell ref="A33:A34"/>
    <mergeCell ref="H6:H7"/>
    <mergeCell ref="H33:H34"/>
    <mergeCell ref="I6:I7"/>
    <mergeCell ref="I33:I34"/>
    <mergeCell ref="J6:J7"/>
    <mergeCell ref="K6:K7"/>
    <mergeCell ref="L6:L7"/>
    <mergeCell ref="M6:M7"/>
    <mergeCell ref="N6:N7"/>
    <mergeCell ref="O6:O7"/>
    <mergeCell ref="T6:T7"/>
    <mergeCell ref="U6:U7"/>
    <mergeCell ref="B33:C34"/>
    <mergeCell ref="D33:E34"/>
    <mergeCell ref="F33:G34"/>
  </mergeCells>
  <conditionalFormatting sqref="O8">
    <cfRule type="cellIs" dxfId="0" priority="10" operator="equal">
      <formula>"N/A"</formula>
    </cfRule>
  </conditionalFormatting>
  <conditionalFormatting sqref="A30">
    <cfRule type="cellIs" dxfId="1" priority="11" operator="equal">
      <formula>"STB"</formula>
    </cfRule>
    <cfRule type="cellIs" dxfId="0" priority="12" operator="equal">
      <formula>"BD"</formula>
    </cfRule>
  </conditionalFormatting>
  <conditionalFormatting sqref="B8:B31">
    <cfRule type="cellIs" dxfId="1" priority="1" operator="equal">
      <formula>"STB"</formula>
    </cfRule>
    <cfRule type="cellIs" dxfId="0" priority="2" operator="equal">
      <formula>"BD"</formula>
    </cfRule>
  </conditionalFormatting>
  <conditionalFormatting sqref="D8:D31">
    <cfRule type="cellIs" dxfId="1" priority="8" operator="equal">
      <formula>"STB"</formula>
    </cfRule>
    <cfRule type="cellIs" dxfId="0" priority="9" operator="equal">
      <formula>"BD"</formula>
    </cfRule>
  </conditionalFormatting>
  <conditionalFormatting sqref="F8:F31">
    <cfRule type="cellIs" dxfId="1" priority="3" operator="equal">
      <formula>"STB"</formula>
    </cfRule>
    <cfRule type="cellIs" dxfId="0" priority="4" operator="equal">
      <formula>"BD"</formula>
    </cfRule>
  </conditionalFormatting>
  <conditionalFormatting sqref="H8:H31">
    <cfRule type="top10" dxfId="2" priority="5" bottom="1" rank="1"/>
    <cfRule type="top10" dxfId="3" priority="6" rank="1"/>
    <cfRule type="cellIs" dxfId="4" priority="7" stopIfTrue="1" operator="equal">
      <formula>28000</formula>
    </cfRule>
  </conditionalFormatting>
  <conditionalFormatting sqref="H32:H33">
    <cfRule type="top10" dxfId="2" priority="14" bottom="1" rank="1"/>
    <cfRule type="top10" dxfId="3" priority="15" rank="1"/>
    <cfRule type="cellIs" dxfId="4" priority="17" stopIfTrue="1" operator="equal">
      <formula>28000</formula>
    </cfRule>
  </conditionalFormatting>
  <conditionalFormatting sqref="Y8:Y31">
    <cfRule type="containsText" dxfId="5" priority="13" operator="between" text="-">
      <formula>NOT(ISERROR(SEARCH("-",Y8)))</formula>
    </cfRule>
  </conditionalFormatting>
  <conditionalFormatting sqref="N8 N9:O31">
    <cfRule type="cellIs" dxfId="0" priority="16" operator="equal">
      <formula>"BD"</formula>
    </cfRule>
  </conditionalFormatting>
  <pageMargins left="0.7" right="0.7" top="0.75" bottom="0.75" header="0.3" footer="0.3"/>
  <pageSetup paperSize="1" orientation="portrait" verticalDpi="36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C68"/>
  <sheetViews>
    <sheetView zoomScale="80" zoomScaleNormal="80" workbookViewId="0">
      <pane ySplit="7" topLeftCell="A9" activePane="bottomLeft" state="frozen"/>
      <selection/>
      <selection pane="bottomLeft" activeCell="A3" sqref="$A3:$XFD3"/>
    </sheetView>
  </sheetViews>
  <sheetFormatPr defaultColWidth="8.81666666666667" defaultRowHeight="14.25"/>
  <cols>
    <col min="1" max="1" width="16.725" customWidth="1"/>
    <col min="2" max="2" width="8.725" customWidth="1"/>
    <col min="3" max="7" width="5.725" customWidth="1"/>
    <col min="8" max="8" width="14.2666666666667" customWidth="1"/>
    <col min="9" max="9" width="15.1833333333333" customWidth="1"/>
    <col min="10" max="10" width="15.5416666666667" customWidth="1"/>
    <col min="11" max="11" width="7" customWidth="1"/>
    <col min="12" max="12" width="8.54166666666667" customWidth="1"/>
    <col min="13" max="13" width="11.725" style="5" customWidth="1"/>
    <col min="14" max="14" width="17.1833333333333" customWidth="1"/>
    <col min="15" max="15" width="15.45" customWidth="1"/>
    <col min="16" max="16" width="7.45" customWidth="1"/>
    <col min="17" max="17" width="9.54166666666667" customWidth="1"/>
    <col min="18" max="18" width="10" customWidth="1"/>
    <col min="19" max="20" width="9.81666666666667" customWidth="1"/>
    <col min="21" max="21" width="6.725" customWidth="1"/>
    <col min="22" max="22" width="13.8166666666667" customWidth="1"/>
    <col min="23" max="23" width="11.2666666666667" customWidth="1"/>
    <col min="24" max="24" width="9.26666666666667" customWidth="1"/>
    <col min="25" max="25" width="3.725" customWidth="1"/>
    <col min="26" max="29" width="7.725" customWidth="1"/>
    <col min="30" max="30" width="6.725" customWidth="1"/>
  </cols>
  <sheetData>
    <row r="1" ht="3" customHeight="1"/>
    <row r="2" ht="6" customHeight="1" spans="1:2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="1" customFormat="1" ht="6.75" customHeight="1" spans="1:29">
      <c r="K3" s="7"/>
      <c r="L3" s="8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17.25" customHeight="1" spans="1:29">
      <c r="A4" s="1"/>
      <c r="B4" s="10"/>
      <c r="C4" s="10"/>
      <c r="D4" s="10"/>
      <c r="E4" s="11"/>
      <c r="F4" s="11"/>
      <c r="G4" s="11"/>
      <c r="H4" s="12">
        <f>'[2]Taniwel daily'!C4</f>
        <v>45293</v>
      </c>
      <c r="I4" s="13"/>
      <c r="J4" s="13"/>
      <c r="K4" s="14"/>
      <c r="L4" s="15"/>
      <c r="M4" s="16"/>
      <c r="N4" s="10"/>
      <c r="O4" s="10"/>
      <c r="P4" s="10"/>
      <c r="Q4" s="10"/>
      <c r="R4" s="10"/>
      <c r="S4" s="10"/>
      <c r="T4" s="10"/>
      <c r="U4" s="10"/>
      <c r="V4" s="7"/>
      <c r="W4" s="7"/>
      <c r="X4" s="7"/>
      <c r="Y4" s="7"/>
      <c r="Z4" s="7"/>
      <c r="AA4" s="7"/>
      <c r="AB4" s="7"/>
      <c r="AC4" s="7"/>
    </row>
    <row r="5" ht="7.5" customHeight="1" spans="1:29">
      <c r="A5" s="1"/>
      <c r="B5" s="17"/>
      <c r="C5" s="1"/>
      <c r="D5" s="1"/>
      <c r="E5" s="1"/>
      <c r="F5" s="1"/>
      <c r="G5" s="1"/>
      <c r="H5" s="1"/>
      <c r="I5" s="1"/>
      <c r="J5" s="1"/>
      <c r="K5" s="18"/>
      <c r="L5" s="7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ht="17.25" customHeight="1" spans="1:29">
      <c r="A6" s="19" t="s">
        <v>0</v>
      </c>
      <c r="B6" s="20" t="s">
        <v>1</v>
      </c>
      <c r="C6" s="21"/>
      <c r="D6" s="20" t="s">
        <v>2</v>
      </c>
      <c r="E6" s="21"/>
      <c r="F6" s="20" t="s">
        <v>3</v>
      </c>
      <c r="G6" s="21"/>
      <c r="H6" s="22" t="s">
        <v>4</v>
      </c>
      <c r="I6" s="22" t="s">
        <v>5</v>
      </c>
      <c r="J6" s="23" t="s">
        <v>6</v>
      </c>
      <c r="K6" s="19" t="s">
        <v>0</v>
      </c>
      <c r="L6" s="24" t="s">
        <v>7</v>
      </c>
      <c r="M6" s="25" t="s">
        <v>8</v>
      </c>
      <c r="N6" s="26" t="s">
        <v>9</v>
      </c>
      <c r="O6" s="25" t="s">
        <v>10</v>
      </c>
      <c r="P6" s="27"/>
      <c r="Q6" s="28"/>
      <c r="R6" s="28"/>
      <c r="S6" s="28"/>
      <c r="T6" s="28"/>
      <c r="U6" s="29"/>
    </row>
    <row r="7" ht="15.75" customHeight="1" spans="1:29">
      <c r="A7" s="30"/>
      <c r="B7" s="31">
        <v>1</v>
      </c>
      <c r="C7" s="32"/>
      <c r="D7" s="31">
        <v>2</v>
      </c>
      <c r="E7" s="32"/>
      <c r="F7" s="31">
        <v>3</v>
      </c>
      <c r="G7" s="32"/>
      <c r="H7" s="33"/>
      <c r="I7" s="33"/>
      <c r="J7" s="34"/>
      <c r="K7" s="30"/>
      <c r="L7" s="35"/>
      <c r="M7" s="36"/>
      <c r="N7" s="37"/>
      <c r="O7" s="38"/>
      <c r="P7" s="27"/>
      <c r="Q7" s="28"/>
      <c r="R7" s="28"/>
      <c r="S7" s="28"/>
      <c r="T7" s="28"/>
      <c r="U7" s="29"/>
      <c r="X7" s="39"/>
    </row>
    <row r="8" s="2" customFormat="1" ht="15" customHeight="1" spans="1:29">
      <c r="A8" s="40">
        <v>0.0416666666666666</v>
      </c>
      <c r="B8" s="41" t="s">
        <v>11</v>
      </c>
      <c r="C8" s="42"/>
      <c r="D8" s="41">
        <v>255</v>
      </c>
      <c r="E8" s="42"/>
      <c r="F8" s="41">
        <v>287</v>
      </c>
      <c r="G8" s="42"/>
      <c r="H8" s="43">
        <f t="shared" ref="H8:H31" si="0">IF(SUM(B8:G8)/1000=0,"0",SUM(B8:G8))</f>
        <v>542</v>
      </c>
      <c r="I8" s="44">
        <f t="shared" ref="I8:I31" si="1">IFERROR(AVERAGE(B8:G8),"0")</f>
        <v>271</v>
      </c>
      <c r="J8" s="45">
        <f t="shared" ref="J8:J31" si="2">COUNT(B8:G8)</f>
        <v>2</v>
      </c>
      <c r="K8" s="46">
        <v>0.0416666666666667</v>
      </c>
      <c r="L8" s="47">
        <v>4500</v>
      </c>
      <c r="M8" s="48">
        <v>154.69</v>
      </c>
      <c r="N8" s="49">
        <f>(M9-M8)*12000</f>
        <v>600.000000000136</v>
      </c>
      <c r="O8" s="50"/>
      <c r="P8" s="51"/>
      <c r="Q8" s="52"/>
      <c r="R8" s="52"/>
      <c r="S8" s="52"/>
      <c r="T8" s="52"/>
      <c r="U8" s="53"/>
    </row>
    <row r="9" s="3" customFormat="1" ht="15" customHeight="1" spans="1:29">
      <c r="A9" s="40">
        <v>0.0833333333333333</v>
      </c>
      <c r="B9" s="41" t="s">
        <v>11</v>
      </c>
      <c r="C9" s="42"/>
      <c r="D9" s="41">
        <v>275</v>
      </c>
      <c r="E9" s="42"/>
      <c r="F9" s="41">
        <v>262</v>
      </c>
      <c r="G9" s="42"/>
      <c r="H9" s="43">
        <f t="shared" si="0"/>
        <v>537</v>
      </c>
      <c r="I9" s="44">
        <f t="shared" si="1"/>
        <v>268.5</v>
      </c>
      <c r="J9" s="45">
        <f t="shared" si="2"/>
        <v>2</v>
      </c>
      <c r="K9" s="46">
        <v>0.0833333333333333</v>
      </c>
      <c r="L9" s="47">
        <v>4200</v>
      </c>
      <c r="M9" s="54">
        <v>154.74</v>
      </c>
      <c r="N9" s="49">
        <f t="shared" ref="N9:N30" si="3">(M10-M9)*12000</f>
        <v>839.999999999918</v>
      </c>
      <c r="O9" s="55"/>
      <c r="P9" s="51"/>
      <c r="Q9" s="52"/>
      <c r="R9" s="52"/>
      <c r="S9" s="52"/>
      <c r="T9" s="52"/>
      <c r="U9" s="53"/>
    </row>
    <row r="10" s="3" customFormat="1" ht="15" customHeight="1" spans="1:29">
      <c r="A10" s="40">
        <v>0.125</v>
      </c>
      <c r="B10" s="41" t="s">
        <v>11</v>
      </c>
      <c r="C10" s="42"/>
      <c r="D10" s="41">
        <v>256</v>
      </c>
      <c r="E10" s="42"/>
      <c r="F10" s="41">
        <v>248</v>
      </c>
      <c r="G10" s="42"/>
      <c r="H10" s="43">
        <f t="shared" si="0"/>
        <v>504</v>
      </c>
      <c r="I10" s="44">
        <f t="shared" si="1"/>
        <v>252</v>
      </c>
      <c r="J10" s="45">
        <f t="shared" si="2"/>
        <v>2</v>
      </c>
      <c r="K10" s="46">
        <v>0.125</v>
      </c>
      <c r="L10" s="47">
        <v>4200</v>
      </c>
      <c r="M10" s="54">
        <v>154.81</v>
      </c>
      <c r="N10" s="49">
        <f t="shared" si="3"/>
        <v>479.999999999905</v>
      </c>
      <c r="O10" s="56"/>
      <c r="P10" s="51"/>
      <c r="Q10" s="52"/>
      <c r="R10" s="52"/>
      <c r="S10" s="52"/>
      <c r="T10" s="52"/>
      <c r="U10" s="53"/>
    </row>
    <row r="11" s="3" customFormat="1" ht="15" customHeight="1" spans="1:29">
      <c r="A11" s="40">
        <v>0.166666666666667</v>
      </c>
      <c r="B11" s="41" t="s">
        <v>11</v>
      </c>
      <c r="C11" s="42"/>
      <c r="D11" s="41">
        <v>265</v>
      </c>
      <c r="E11" s="42"/>
      <c r="F11" s="41">
        <v>266</v>
      </c>
      <c r="G11" s="42"/>
      <c r="H11" s="43">
        <f t="shared" si="0"/>
        <v>531</v>
      </c>
      <c r="I11" s="44">
        <f t="shared" si="1"/>
        <v>265.5</v>
      </c>
      <c r="J11" s="45">
        <f t="shared" si="2"/>
        <v>2</v>
      </c>
      <c r="K11" s="46">
        <v>0.166666666666667</v>
      </c>
      <c r="L11" s="47">
        <v>4000</v>
      </c>
      <c r="M11" s="54">
        <v>154.85</v>
      </c>
      <c r="N11" s="49">
        <f t="shared" si="3"/>
        <v>600.000000000136</v>
      </c>
      <c r="O11" s="56"/>
      <c r="P11" s="51"/>
      <c r="Q11" s="52"/>
      <c r="R11" s="52"/>
      <c r="S11" s="52"/>
      <c r="T11" s="52"/>
      <c r="U11" s="53"/>
    </row>
    <row r="12" s="3" customFormat="1" ht="15" customHeight="1" spans="1:29">
      <c r="A12" s="40">
        <v>0.208333333333333</v>
      </c>
      <c r="B12" s="41" t="s">
        <v>11</v>
      </c>
      <c r="C12" s="42"/>
      <c r="D12" s="41">
        <v>261</v>
      </c>
      <c r="E12" s="42"/>
      <c r="F12" s="41">
        <v>250</v>
      </c>
      <c r="G12" s="42"/>
      <c r="H12" s="43">
        <f t="shared" si="0"/>
        <v>511</v>
      </c>
      <c r="I12" s="44">
        <f t="shared" si="1"/>
        <v>255.5</v>
      </c>
      <c r="J12" s="45">
        <f t="shared" si="2"/>
        <v>2</v>
      </c>
      <c r="K12" s="46">
        <v>0.208333333333333</v>
      </c>
      <c r="L12" s="47">
        <v>3900</v>
      </c>
      <c r="M12" s="54">
        <v>154.9</v>
      </c>
      <c r="N12" s="49">
        <f t="shared" si="3"/>
        <v>479.999999999905</v>
      </c>
      <c r="O12" s="56"/>
      <c r="P12" s="51"/>
      <c r="Q12" s="52"/>
      <c r="R12" s="52"/>
      <c r="S12" s="52"/>
      <c r="T12" s="52"/>
      <c r="U12" s="53"/>
    </row>
    <row r="13" s="3" customFormat="1" ht="15" customHeight="1" spans="1:29">
      <c r="A13" s="40">
        <v>0.25</v>
      </c>
      <c r="B13" s="41" t="s">
        <v>11</v>
      </c>
      <c r="C13" s="42"/>
      <c r="D13" s="41">
        <v>276</v>
      </c>
      <c r="E13" s="42"/>
      <c r="F13" s="41">
        <v>260</v>
      </c>
      <c r="G13" s="42"/>
      <c r="H13" s="43">
        <f t="shared" si="0"/>
        <v>536</v>
      </c>
      <c r="I13" s="44">
        <f t="shared" si="1"/>
        <v>268</v>
      </c>
      <c r="J13" s="45">
        <f t="shared" si="2"/>
        <v>2</v>
      </c>
      <c r="K13" s="46">
        <v>0.25</v>
      </c>
      <c r="L13" s="47">
        <v>3600</v>
      </c>
      <c r="M13" s="54">
        <v>154.94</v>
      </c>
      <c r="N13" s="49">
        <f t="shared" si="3"/>
        <v>720.000000000027</v>
      </c>
      <c r="O13" s="56"/>
      <c r="P13" s="51"/>
      <c r="Q13" s="52"/>
      <c r="R13" s="52"/>
      <c r="S13" s="52"/>
      <c r="T13" s="52"/>
      <c r="U13" s="53"/>
    </row>
    <row r="14" s="3" customFormat="1" ht="15" customHeight="1" spans="1:29">
      <c r="A14" s="40">
        <v>0.291666666666667</v>
      </c>
      <c r="B14" s="41" t="s">
        <v>11</v>
      </c>
      <c r="C14" s="42"/>
      <c r="D14" s="41">
        <v>251</v>
      </c>
      <c r="E14" s="42"/>
      <c r="F14" s="41">
        <v>296</v>
      </c>
      <c r="G14" s="42"/>
      <c r="H14" s="43">
        <f t="shared" si="0"/>
        <v>547</v>
      </c>
      <c r="I14" s="44">
        <f t="shared" si="1"/>
        <v>273.5</v>
      </c>
      <c r="J14" s="45">
        <f t="shared" si="2"/>
        <v>2</v>
      </c>
      <c r="K14" s="46">
        <v>0.291666666666667</v>
      </c>
      <c r="L14" s="47">
        <v>3600</v>
      </c>
      <c r="M14" s="54">
        <v>155</v>
      </c>
      <c r="N14" s="49">
        <f t="shared" si="3"/>
        <v>600.000000000136</v>
      </c>
      <c r="O14" s="56"/>
      <c r="P14" s="51"/>
      <c r="Q14" s="52"/>
      <c r="R14" s="52"/>
      <c r="S14" s="52"/>
      <c r="T14" s="52"/>
      <c r="U14" s="53"/>
    </row>
    <row r="15" s="3" customFormat="1" ht="15" customHeight="1" spans="1:29">
      <c r="A15" s="40">
        <v>0.333333333333333</v>
      </c>
      <c r="B15" s="41" t="s">
        <v>11</v>
      </c>
      <c r="C15" s="42"/>
      <c r="D15" s="41">
        <v>254</v>
      </c>
      <c r="E15" s="42"/>
      <c r="F15" s="41">
        <v>289</v>
      </c>
      <c r="G15" s="42"/>
      <c r="H15" s="43">
        <f t="shared" si="0"/>
        <v>543</v>
      </c>
      <c r="I15" s="44">
        <f t="shared" si="1"/>
        <v>271.5</v>
      </c>
      <c r="J15" s="45">
        <f t="shared" si="2"/>
        <v>2</v>
      </c>
      <c r="K15" s="46">
        <v>0.333333333333333</v>
      </c>
      <c r="L15" s="47">
        <v>3600</v>
      </c>
      <c r="M15" s="54">
        <v>155.05</v>
      </c>
      <c r="N15" s="49">
        <f t="shared" si="3"/>
        <v>599.999999999795</v>
      </c>
      <c r="O15" s="56"/>
      <c r="P15" s="51"/>
      <c r="Q15" s="52"/>
      <c r="R15" s="52"/>
      <c r="S15" s="52"/>
      <c r="T15" s="52"/>
      <c r="U15" s="53"/>
    </row>
    <row r="16" s="3" customFormat="1" ht="15" customHeight="1" spans="1:29">
      <c r="A16" s="40">
        <v>0.375</v>
      </c>
      <c r="B16" s="41" t="s">
        <v>11</v>
      </c>
      <c r="C16" s="42"/>
      <c r="D16" s="41">
        <v>284</v>
      </c>
      <c r="E16" s="42"/>
      <c r="F16" s="41">
        <v>266</v>
      </c>
      <c r="G16" s="42"/>
      <c r="H16" s="43">
        <f t="shared" si="0"/>
        <v>550</v>
      </c>
      <c r="I16" s="44">
        <f t="shared" si="1"/>
        <v>275</v>
      </c>
      <c r="J16" s="45">
        <f t="shared" si="2"/>
        <v>2</v>
      </c>
      <c r="K16" s="46">
        <v>0.375</v>
      </c>
      <c r="L16" s="47">
        <v>3600</v>
      </c>
      <c r="M16" s="54">
        <v>155.1</v>
      </c>
      <c r="N16" s="49">
        <f t="shared" si="3"/>
        <v>600.000000000136</v>
      </c>
      <c r="O16" s="56"/>
      <c r="P16" s="51"/>
      <c r="Q16" s="52"/>
      <c r="R16" s="52"/>
      <c r="S16" s="52"/>
      <c r="T16" s="52"/>
      <c r="U16" s="53"/>
    </row>
    <row r="17" s="3" customFormat="1" ht="15" customHeight="1" spans="1:21">
      <c r="A17" s="40">
        <v>0.416666666666667</v>
      </c>
      <c r="B17" s="41" t="s">
        <v>11</v>
      </c>
      <c r="C17" s="42"/>
      <c r="D17" s="41">
        <v>280</v>
      </c>
      <c r="E17" s="42"/>
      <c r="F17" s="41">
        <v>273</v>
      </c>
      <c r="G17" s="42"/>
      <c r="H17" s="43">
        <f t="shared" si="0"/>
        <v>553</v>
      </c>
      <c r="I17" s="44">
        <f t="shared" si="1"/>
        <v>276.5</v>
      </c>
      <c r="J17" s="45">
        <f t="shared" si="2"/>
        <v>2</v>
      </c>
      <c r="K17" s="46">
        <v>0.416666666666666</v>
      </c>
      <c r="L17" s="47">
        <v>3400</v>
      </c>
      <c r="M17" s="54">
        <v>155.15</v>
      </c>
      <c r="N17" s="49">
        <f t="shared" si="3"/>
        <v>599.999999999795</v>
      </c>
      <c r="O17" s="56"/>
      <c r="P17" s="51"/>
      <c r="Q17" s="52"/>
      <c r="R17" s="52"/>
      <c r="S17" s="52"/>
      <c r="T17" s="52"/>
      <c r="U17" s="53"/>
    </row>
    <row r="18" s="3" customFormat="1" ht="15" customHeight="1" spans="1:21">
      <c r="A18" s="40">
        <v>0.458333333333333</v>
      </c>
      <c r="B18" s="41" t="s">
        <v>11</v>
      </c>
      <c r="C18" s="42"/>
      <c r="D18" s="41">
        <v>270</v>
      </c>
      <c r="E18" s="42"/>
      <c r="F18" s="41">
        <v>264</v>
      </c>
      <c r="G18" s="42"/>
      <c r="H18" s="43">
        <f t="shared" si="0"/>
        <v>534</v>
      </c>
      <c r="I18" s="44">
        <f t="shared" si="1"/>
        <v>267</v>
      </c>
      <c r="J18" s="45">
        <f t="shared" si="2"/>
        <v>2</v>
      </c>
      <c r="K18" s="46">
        <v>0.458333333333333</v>
      </c>
      <c r="L18" s="47">
        <v>3300</v>
      </c>
      <c r="M18" s="54">
        <v>155.2</v>
      </c>
      <c r="N18" s="49">
        <f t="shared" si="3"/>
        <v>600.000000000136</v>
      </c>
      <c r="O18" s="56"/>
      <c r="P18" s="51"/>
      <c r="Q18" s="52"/>
      <c r="R18" s="52"/>
      <c r="S18" s="52"/>
      <c r="T18" s="52"/>
      <c r="U18" s="53"/>
    </row>
    <row r="19" s="3" customFormat="1" ht="15" customHeight="1" spans="1:21">
      <c r="A19" s="40">
        <v>0.5</v>
      </c>
      <c r="B19" s="41" t="s">
        <v>11</v>
      </c>
      <c r="C19" s="42"/>
      <c r="D19" s="41">
        <v>253</v>
      </c>
      <c r="E19" s="42"/>
      <c r="F19" s="41">
        <v>261</v>
      </c>
      <c r="G19" s="42"/>
      <c r="H19" s="43">
        <f t="shared" si="0"/>
        <v>514</v>
      </c>
      <c r="I19" s="44">
        <f t="shared" si="1"/>
        <v>257</v>
      </c>
      <c r="J19" s="45">
        <f t="shared" si="2"/>
        <v>2</v>
      </c>
      <c r="K19" s="46">
        <v>0.5</v>
      </c>
      <c r="L19" s="47">
        <v>3300</v>
      </c>
      <c r="M19" s="54">
        <v>155.25</v>
      </c>
      <c r="N19" s="49">
        <f t="shared" si="3"/>
        <v>600.000000000136</v>
      </c>
      <c r="O19" s="56"/>
      <c r="P19" s="51"/>
      <c r="Q19" s="52"/>
      <c r="R19" s="52"/>
      <c r="S19" s="52"/>
      <c r="T19" s="52"/>
      <c r="U19" s="53"/>
    </row>
    <row r="20" s="3" customFormat="1" ht="15" customHeight="1" spans="1:21">
      <c r="A20" s="40">
        <v>0.541666666666667</v>
      </c>
      <c r="B20" s="41" t="s">
        <v>11</v>
      </c>
      <c r="C20" s="42"/>
      <c r="D20" s="41">
        <v>261</v>
      </c>
      <c r="E20" s="42"/>
      <c r="F20" s="41">
        <v>252</v>
      </c>
      <c r="G20" s="42"/>
      <c r="H20" s="43">
        <f t="shared" si="0"/>
        <v>513</v>
      </c>
      <c r="I20" s="44">
        <f t="shared" si="1"/>
        <v>256.5</v>
      </c>
      <c r="J20" s="45">
        <f t="shared" si="2"/>
        <v>2</v>
      </c>
      <c r="K20" s="46">
        <v>0.541666666666667</v>
      </c>
      <c r="L20" s="47">
        <v>3000</v>
      </c>
      <c r="M20" s="54">
        <v>155.3</v>
      </c>
      <c r="N20" s="49">
        <f t="shared" si="3"/>
        <v>599.999999999795</v>
      </c>
      <c r="O20" s="56"/>
      <c r="P20" s="51"/>
      <c r="Q20" s="52"/>
      <c r="R20" s="52"/>
      <c r="S20" s="52"/>
      <c r="T20" s="52"/>
      <c r="U20" s="53"/>
    </row>
    <row r="21" s="3" customFormat="1" ht="15" customHeight="1" spans="1:21">
      <c r="A21" s="40">
        <v>0.583333333333333</v>
      </c>
      <c r="B21" s="41" t="s">
        <v>11</v>
      </c>
      <c r="C21" s="42"/>
      <c r="D21" s="41">
        <v>244</v>
      </c>
      <c r="E21" s="42"/>
      <c r="F21" s="41">
        <v>253</v>
      </c>
      <c r="G21" s="42"/>
      <c r="H21" s="43">
        <f t="shared" si="0"/>
        <v>497</v>
      </c>
      <c r="I21" s="44">
        <f t="shared" si="1"/>
        <v>248.5</v>
      </c>
      <c r="J21" s="45">
        <f t="shared" si="2"/>
        <v>2</v>
      </c>
      <c r="K21" s="46">
        <v>0.583333333333333</v>
      </c>
      <c r="L21" s="47">
        <v>3000</v>
      </c>
      <c r="M21" s="54">
        <v>155.35</v>
      </c>
      <c r="N21" s="49">
        <f t="shared" si="3"/>
        <v>479.999999999905</v>
      </c>
      <c r="O21" s="56"/>
      <c r="P21" s="51"/>
      <c r="Q21" s="52"/>
      <c r="R21" s="52"/>
      <c r="S21" s="52"/>
      <c r="T21" s="52"/>
      <c r="U21" s="53"/>
    </row>
    <row r="22" s="3" customFormat="1" ht="15" customHeight="1" spans="1:21">
      <c r="A22" s="40">
        <v>0.625</v>
      </c>
      <c r="B22" s="41" t="s">
        <v>11</v>
      </c>
      <c r="C22" s="42"/>
      <c r="D22" s="41">
        <v>290</v>
      </c>
      <c r="E22" s="42"/>
      <c r="F22" s="41">
        <v>251</v>
      </c>
      <c r="G22" s="42"/>
      <c r="H22" s="43">
        <f t="shared" si="0"/>
        <v>541</v>
      </c>
      <c r="I22" s="44">
        <f t="shared" si="1"/>
        <v>270.5</v>
      </c>
      <c r="J22" s="45">
        <f t="shared" si="2"/>
        <v>2</v>
      </c>
      <c r="K22" s="46">
        <v>0.625</v>
      </c>
      <c r="L22" s="47">
        <v>3000</v>
      </c>
      <c r="M22" s="54">
        <v>155.39</v>
      </c>
      <c r="N22" s="49">
        <f t="shared" si="3"/>
        <v>600.000000000136</v>
      </c>
      <c r="O22" s="56"/>
      <c r="P22" s="51"/>
      <c r="Q22" s="52"/>
      <c r="R22" s="52"/>
      <c r="S22" s="52"/>
      <c r="T22" s="52"/>
      <c r="U22" s="53"/>
    </row>
    <row r="23" s="3" customFormat="1" ht="15" customHeight="1" spans="1:21">
      <c r="A23" s="40">
        <v>0.666666666666667</v>
      </c>
      <c r="B23" s="41" t="s">
        <v>11</v>
      </c>
      <c r="C23" s="42"/>
      <c r="D23" s="41">
        <v>235</v>
      </c>
      <c r="E23" s="42"/>
      <c r="F23" s="41">
        <v>249</v>
      </c>
      <c r="G23" s="42"/>
      <c r="H23" s="43">
        <f t="shared" si="0"/>
        <v>484</v>
      </c>
      <c r="I23" s="44">
        <f t="shared" si="1"/>
        <v>242</v>
      </c>
      <c r="J23" s="45">
        <f t="shared" si="2"/>
        <v>2</v>
      </c>
      <c r="K23" s="46">
        <v>0.666666666666666</v>
      </c>
      <c r="L23" s="47">
        <v>3000</v>
      </c>
      <c r="M23" s="54">
        <v>155.44</v>
      </c>
      <c r="N23" s="49">
        <f t="shared" si="3"/>
        <v>600.000000000136</v>
      </c>
      <c r="O23" s="56"/>
      <c r="P23" s="51"/>
      <c r="Q23" s="52"/>
      <c r="R23" s="52"/>
      <c r="S23" s="52"/>
      <c r="T23" s="52"/>
      <c r="U23" s="53"/>
    </row>
    <row r="24" s="3" customFormat="1" ht="15" customHeight="1" spans="1:21">
      <c r="A24" s="40">
        <v>0.708333333333334</v>
      </c>
      <c r="B24" s="41" t="s">
        <v>11</v>
      </c>
      <c r="C24" s="42"/>
      <c r="D24" s="41">
        <v>259</v>
      </c>
      <c r="E24" s="42"/>
      <c r="F24" s="41">
        <v>255</v>
      </c>
      <c r="G24" s="42"/>
      <c r="H24" s="43">
        <f t="shared" si="0"/>
        <v>514</v>
      </c>
      <c r="I24" s="44">
        <f t="shared" si="1"/>
        <v>257</v>
      </c>
      <c r="J24" s="45">
        <f t="shared" si="2"/>
        <v>2</v>
      </c>
      <c r="K24" s="46">
        <v>0.708333333333333</v>
      </c>
      <c r="L24" s="47">
        <v>2700</v>
      </c>
      <c r="M24" s="54">
        <v>155.49</v>
      </c>
      <c r="N24" s="49">
        <f t="shared" si="3"/>
        <v>599.999999999795</v>
      </c>
      <c r="O24" s="56"/>
      <c r="P24" s="51"/>
      <c r="Q24" s="52"/>
      <c r="R24" s="52"/>
      <c r="S24" s="52"/>
      <c r="T24" s="52"/>
      <c r="U24" s="53"/>
    </row>
    <row r="25" s="3" customFormat="1" ht="15" customHeight="1" spans="1:21">
      <c r="A25" s="40">
        <v>0.75</v>
      </c>
      <c r="B25" s="41" t="s">
        <v>11</v>
      </c>
      <c r="C25" s="42"/>
      <c r="D25" s="41">
        <v>289</v>
      </c>
      <c r="E25" s="42"/>
      <c r="F25" s="41">
        <v>259</v>
      </c>
      <c r="G25" s="42"/>
      <c r="H25" s="43">
        <f t="shared" si="0"/>
        <v>548</v>
      </c>
      <c r="I25" s="44">
        <f t="shared" si="1"/>
        <v>274</v>
      </c>
      <c r="J25" s="45">
        <f t="shared" si="2"/>
        <v>2</v>
      </c>
      <c r="K25" s="46">
        <v>0.75</v>
      </c>
      <c r="L25" s="47">
        <v>2400</v>
      </c>
      <c r="M25" s="54">
        <v>155.54</v>
      </c>
      <c r="N25" s="49">
        <f t="shared" si="3"/>
        <v>720.000000000027</v>
      </c>
      <c r="O25" s="56"/>
      <c r="P25" s="51"/>
      <c r="Q25" s="52"/>
      <c r="R25" s="52"/>
      <c r="S25" s="52"/>
      <c r="T25" s="52"/>
      <c r="U25" s="53"/>
    </row>
    <row r="26" s="3" customFormat="1" ht="15" customHeight="1" spans="1:21">
      <c r="A26" s="40">
        <v>0.791666666666667</v>
      </c>
      <c r="B26" s="41" t="s">
        <v>11</v>
      </c>
      <c r="C26" s="42"/>
      <c r="D26" s="41">
        <v>359</v>
      </c>
      <c r="E26" s="42"/>
      <c r="F26" s="41">
        <v>337</v>
      </c>
      <c r="G26" s="42"/>
      <c r="H26" s="43">
        <f t="shared" si="0"/>
        <v>696</v>
      </c>
      <c r="I26" s="44">
        <f t="shared" si="1"/>
        <v>348</v>
      </c>
      <c r="J26" s="45">
        <f t="shared" si="2"/>
        <v>2</v>
      </c>
      <c r="K26" s="46">
        <v>0.791666666666666</v>
      </c>
      <c r="L26" s="47">
        <v>2100</v>
      </c>
      <c r="M26" s="54">
        <v>155.6</v>
      </c>
      <c r="N26" s="49">
        <f t="shared" si="3"/>
        <v>720.000000000027</v>
      </c>
      <c r="O26" s="56"/>
      <c r="P26" s="51"/>
      <c r="Q26" s="52"/>
      <c r="R26" s="52"/>
      <c r="S26" s="52"/>
      <c r="T26" s="52"/>
      <c r="U26" s="53"/>
    </row>
    <row r="27" s="3" customFormat="1" ht="15" customHeight="1" spans="1:21">
      <c r="A27" s="40">
        <v>0.833333333333334</v>
      </c>
      <c r="B27" s="41" t="s">
        <v>11</v>
      </c>
      <c r="C27" s="42"/>
      <c r="D27" s="41">
        <v>335</v>
      </c>
      <c r="E27" s="42"/>
      <c r="F27" s="41">
        <v>388</v>
      </c>
      <c r="G27" s="42"/>
      <c r="H27" s="43">
        <f t="shared" si="0"/>
        <v>723</v>
      </c>
      <c r="I27" s="44">
        <f t="shared" si="1"/>
        <v>361.5</v>
      </c>
      <c r="J27" s="45">
        <f t="shared" si="2"/>
        <v>2</v>
      </c>
      <c r="K27" s="46">
        <v>0.833333333333333</v>
      </c>
      <c r="L27" s="47">
        <v>2100</v>
      </c>
      <c r="M27" s="54">
        <v>155.66</v>
      </c>
      <c r="N27" s="49">
        <f t="shared" si="3"/>
        <v>720.000000000027</v>
      </c>
      <c r="O27" s="56"/>
      <c r="P27" s="51"/>
      <c r="Q27" s="52"/>
      <c r="R27" s="52"/>
      <c r="S27" s="52"/>
      <c r="T27" s="52"/>
      <c r="U27" s="53"/>
    </row>
    <row r="28" s="4" customFormat="1" ht="15" customHeight="1" spans="1:21">
      <c r="A28" s="40">
        <v>0.875</v>
      </c>
      <c r="B28" s="41" t="s">
        <v>11</v>
      </c>
      <c r="C28" s="42"/>
      <c r="D28" s="41">
        <v>320</v>
      </c>
      <c r="E28" s="42"/>
      <c r="F28" s="41">
        <v>335</v>
      </c>
      <c r="G28" s="42"/>
      <c r="H28" s="43">
        <f t="shared" si="0"/>
        <v>655</v>
      </c>
      <c r="I28" s="44">
        <f t="shared" si="1"/>
        <v>327.5</v>
      </c>
      <c r="J28" s="45">
        <f t="shared" si="2"/>
        <v>2</v>
      </c>
      <c r="K28" s="46">
        <v>0.875</v>
      </c>
      <c r="L28" s="47">
        <v>1800</v>
      </c>
      <c r="M28" s="54">
        <v>155.72</v>
      </c>
      <c r="N28" s="49">
        <f t="shared" si="3"/>
        <v>720.000000000027</v>
      </c>
      <c r="O28" s="56"/>
      <c r="P28" s="51"/>
      <c r="Q28" s="52"/>
      <c r="R28" s="52"/>
      <c r="S28" s="52"/>
      <c r="T28" s="52"/>
      <c r="U28" s="53"/>
    </row>
    <row r="29" s="3" customFormat="1" ht="15" customHeight="1" spans="1:21">
      <c r="A29" s="40">
        <v>0.916666666666667</v>
      </c>
      <c r="B29" s="41" t="s">
        <v>11</v>
      </c>
      <c r="C29" s="42"/>
      <c r="D29" s="41">
        <v>285</v>
      </c>
      <c r="E29" s="42"/>
      <c r="F29" s="41">
        <v>326</v>
      </c>
      <c r="G29" s="42"/>
      <c r="H29" s="43">
        <f t="shared" si="0"/>
        <v>611</v>
      </c>
      <c r="I29" s="44">
        <f t="shared" si="1"/>
        <v>305.5</v>
      </c>
      <c r="J29" s="45">
        <f t="shared" si="2"/>
        <v>2</v>
      </c>
      <c r="K29" s="46">
        <v>0.916666666666666</v>
      </c>
      <c r="L29" s="47">
        <v>1800</v>
      </c>
      <c r="M29" s="54">
        <v>155.78</v>
      </c>
      <c r="N29" s="49">
        <f t="shared" si="3"/>
        <v>720.000000000027</v>
      </c>
      <c r="O29" s="56"/>
      <c r="P29" s="51"/>
      <c r="Q29" s="52"/>
      <c r="R29" s="52"/>
      <c r="S29" s="52"/>
      <c r="T29" s="52"/>
      <c r="U29" s="53"/>
    </row>
    <row r="30" s="3" customFormat="1" ht="15" customHeight="1" spans="1:21">
      <c r="A30" s="40">
        <v>0.958333333333334</v>
      </c>
      <c r="B30" s="41" t="s">
        <v>11</v>
      </c>
      <c r="C30" s="42"/>
      <c r="D30" s="41">
        <v>315</v>
      </c>
      <c r="E30" s="42"/>
      <c r="F30" s="41">
        <v>276</v>
      </c>
      <c r="G30" s="42"/>
      <c r="H30" s="43">
        <f t="shared" si="0"/>
        <v>591</v>
      </c>
      <c r="I30" s="44">
        <f t="shared" si="1"/>
        <v>295.5</v>
      </c>
      <c r="J30" s="45">
        <f t="shared" si="2"/>
        <v>2</v>
      </c>
      <c r="K30" s="46">
        <v>0.958333333333333</v>
      </c>
      <c r="L30" s="47">
        <v>1800</v>
      </c>
      <c r="M30" s="54">
        <v>155.84</v>
      </c>
      <c r="N30" s="49">
        <f t="shared" si="3"/>
        <v>599.999999999795</v>
      </c>
      <c r="O30" s="56"/>
      <c r="P30" s="51"/>
      <c r="Q30" s="52"/>
      <c r="R30" s="52"/>
      <c r="S30" s="52"/>
      <c r="T30" s="52"/>
      <c r="U30" s="53"/>
    </row>
    <row r="31" s="2" customFormat="1" ht="15" customHeight="1" spans="1:21">
      <c r="A31" s="57">
        <v>1</v>
      </c>
      <c r="B31" s="41" t="s">
        <v>11</v>
      </c>
      <c r="C31" s="42"/>
      <c r="D31" s="41">
        <v>290</v>
      </c>
      <c r="E31" s="42"/>
      <c r="F31" s="41">
        <v>267</v>
      </c>
      <c r="G31" s="42"/>
      <c r="H31" s="43">
        <f t="shared" si="0"/>
        <v>557</v>
      </c>
      <c r="I31" s="58">
        <f t="shared" si="1"/>
        <v>278.5</v>
      </c>
      <c r="J31" s="59">
        <f t="shared" si="2"/>
        <v>2</v>
      </c>
      <c r="K31" s="60">
        <v>1</v>
      </c>
      <c r="L31" s="47">
        <v>4500</v>
      </c>
      <c r="M31" s="61">
        <v>155.89</v>
      </c>
      <c r="N31" s="49">
        <f>H31</f>
        <v>557</v>
      </c>
      <c r="O31" s="56"/>
      <c r="P31" s="51"/>
      <c r="Q31" s="52"/>
      <c r="R31" s="52"/>
      <c r="S31" s="52"/>
      <c r="T31" s="52"/>
      <c r="U31" s="53"/>
    </row>
    <row r="32" s="3" customFormat="1" ht="23.25" customHeight="1" spans="1:21">
      <c r="A32" s="62" t="s">
        <v>12</v>
      </c>
      <c r="B32" s="63">
        <f>SUM(B8:B31)/1000</f>
        <v>0</v>
      </c>
      <c r="C32" s="64"/>
      <c r="D32" s="63">
        <f>SUM(D8:D31)/1000</f>
        <v>6.662</v>
      </c>
      <c r="E32" s="64"/>
      <c r="F32" s="63">
        <f>SUM(F8:F31)/1000</f>
        <v>6.67</v>
      </c>
      <c r="G32" s="64"/>
      <c r="H32" s="65">
        <f>SUM(H8:H31)</f>
        <v>13332</v>
      </c>
      <c r="I32" s="66" t="s">
        <v>13</v>
      </c>
      <c r="J32" s="67"/>
      <c r="K32" s="68"/>
      <c r="L32" s="69"/>
      <c r="M32" s="70">
        <f>SUM(M31-M8+N8)</f>
        <v>601.200000000136</v>
      </c>
      <c r="N32" s="71">
        <f>SUM(N8:N31)</f>
        <v>14956.9999999999</v>
      </c>
      <c r="O32" s="72">
        <f>SUM(O8:O31)</f>
        <v>0</v>
      </c>
      <c r="P32" s="73"/>
      <c r="Q32" s="74"/>
      <c r="R32" s="74"/>
      <c r="S32" s="74"/>
      <c r="T32" s="74"/>
      <c r="U32" s="75"/>
    </row>
    <row r="33" ht="15" customHeight="1" spans="1:29">
      <c r="A33" s="76" t="s">
        <v>14</v>
      </c>
      <c r="B33" s="77" t="str">
        <f>IFERROR((AVERAGE(B8:B31)),"0")</f>
        <v>0</v>
      </c>
      <c r="C33" s="78"/>
      <c r="D33" s="79">
        <f>IFERROR((AVERAGE(D8:D31)),"0")</f>
        <v>277.583333333333</v>
      </c>
      <c r="E33" s="78"/>
      <c r="F33" s="79">
        <f>IFERROR((AVERAGE(F8:F31)),"0")</f>
        <v>277.916666666667</v>
      </c>
      <c r="G33" s="80"/>
      <c r="H33" s="81">
        <f>H32*1000</f>
        <v>13332000</v>
      </c>
      <c r="I33" s="82" t="s">
        <v>15</v>
      </c>
      <c r="J33" s="83"/>
      <c r="K33" s="84"/>
      <c r="L33" s="85"/>
      <c r="M33" s="86"/>
      <c r="N33" s="85"/>
      <c r="O33" s="87"/>
      <c r="P33" s="87"/>
      <c r="Q33" s="88"/>
      <c r="R33" s="88"/>
      <c r="S33" s="89"/>
      <c r="T33" s="89"/>
      <c r="U33" s="89"/>
      <c r="V33" s="89"/>
    </row>
    <row r="34" ht="18.75" customHeight="1" spans="1:29">
      <c r="A34" s="90"/>
      <c r="B34" s="91"/>
      <c r="C34" s="92"/>
      <c r="D34" s="93"/>
      <c r="E34" s="92"/>
      <c r="F34" s="93"/>
      <c r="G34" s="94"/>
      <c r="H34" s="95"/>
      <c r="I34" s="96"/>
      <c r="J34" s="97"/>
      <c r="K34" s="98"/>
      <c r="L34" s="85"/>
      <c r="M34" s="86"/>
      <c r="N34" s="99"/>
      <c r="O34" s="99"/>
      <c r="P34" s="99"/>
      <c r="Q34" s="99"/>
      <c r="R34" s="88"/>
      <c r="S34" s="89"/>
      <c r="T34" s="89"/>
      <c r="U34" s="89"/>
      <c r="V34" s="89"/>
    </row>
    <row r="35" ht="22.5" customHeight="1" spans="1:29">
      <c r="A35" s="100" t="s">
        <v>16</v>
      </c>
      <c r="B35" s="101">
        <f>COUNT(B8:B31)</f>
        <v>0</v>
      </c>
      <c r="C35" s="102"/>
      <c r="D35" s="103">
        <f>COUNT(D8:D31)</f>
        <v>24</v>
      </c>
      <c r="E35" s="102"/>
      <c r="F35" s="103">
        <f>COUNT(F8:F31)</f>
        <v>24</v>
      </c>
      <c r="G35" s="104"/>
      <c r="H35" s="105"/>
      <c r="I35" s="106"/>
      <c r="J35" s="107"/>
      <c r="K35" s="107"/>
      <c r="L35" s="107"/>
      <c r="M35" s="107"/>
      <c r="N35" s="99"/>
      <c r="O35" s="99"/>
      <c r="P35" s="99"/>
      <c r="Q35" s="99"/>
      <c r="R35" s="108"/>
      <c r="S35" s="89"/>
      <c r="T35" s="89"/>
      <c r="U35" s="89"/>
      <c r="V35" s="89"/>
    </row>
    <row r="36" ht="9" customHeight="1" spans="1:29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10"/>
      <c r="N36" s="106"/>
      <c r="O36" s="107"/>
      <c r="P36" s="107"/>
      <c r="Q36" s="107"/>
      <c r="R36" s="107"/>
      <c r="S36" s="107"/>
      <c r="T36" s="107"/>
      <c r="U36" s="111"/>
      <c r="V36" s="112"/>
      <c r="W36" s="108"/>
      <c r="X36" s="108"/>
      <c r="Y36" s="108"/>
      <c r="Z36" s="89"/>
      <c r="AA36" s="89"/>
      <c r="AB36" s="89"/>
      <c r="AC36" s="89"/>
    </row>
    <row r="37" ht="24" customHeight="1" spans="1:29">
      <c r="D37" s="113"/>
      <c r="E37" s="113"/>
      <c r="F37" s="113"/>
      <c r="G37" s="113"/>
      <c r="H37" s="113"/>
      <c r="I37" s="113"/>
      <c r="J37" s="113"/>
      <c r="K37" s="114"/>
      <c r="L37" s="114"/>
      <c r="N37" s="115" t="s">
        <v>17</v>
      </c>
      <c r="O37" s="116"/>
      <c r="P37" s="116"/>
      <c r="Q37" s="117"/>
      <c r="R37" s="118">
        <f>SUM(B35:F35)</f>
        <v>48</v>
      </c>
      <c r="S37" s="69"/>
      <c r="T37" s="69"/>
      <c r="U37" s="69"/>
      <c r="V37" s="69"/>
      <c r="X37" s="119"/>
      <c r="Y37" s="119"/>
      <c r="Z37" s="119"/>
      <c r="AA37" s="119"/>
      <c r="AB37" s="119"/>
      <c r="AC37" s="114"/>
    </row>
    <row r="38" ht="15" spans="1:29">
      <c r="D38" s="113"/>
      <c r="E38" s="113"/>
      <c r="F38" s="113"/>
      <c r="G38" s="113"/>
      <c r="H38" s="113"/>
      <c r="I38" s="113"/>
      <c r="J38" s="113"/>
      <c r="K38" s="114"/>
      <c r="L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</row>
    <row r="39" ht="24.75" customHeight="1" spans="1:29">
      <c r="A39" s="120" t="s">
        <v>18</v>
      </c>
      <c r="B39" s="121"/>
      <c r="C39" s="122">
        <f>MAX(H8:H31)</f>
        <v>723</v>
      </c>
      <c r="D39" s="123"/>
      <c r="E39" s="124">
        <f>VLOOKUP(C39,H8:L31,4,FALSE)</f>
        <v>0.833333333333333</v>
      </c>
      <c r="F39" s="125"/>
      <c r="G39" s="125"/>
      <c r="H39" s="126" t="s">
        <v>19</v>
      </c>
      <c r="I39" s="127"/>
      <c r="J39" s="128"/>
      <c r="K39" s="129">
        <f>MAX(J8:J31)</f>
        <v>2</v>
      </c>
      <c r="L39" s="130"/>
      <c r="N39" s="131" t="s">
        <v>20</v>
      </c>
      <c r="O39" s="132"/>
      <c r="P39" s="132"/>
      <c r="Q39" s="133"/>
      <c r="R39" s="134">
        <f>AVERAGE(H8:H31)</f>
        <v>555.5</v>
      </c>
      <c r="S39" s="135"/>
      <c r="T39" s="135"/>
    </row>
    <row r="40" ht="15" spans="1:29">
      <c r="C40" s="136"/>
      <c r="D40" s="137"/>
      <c r="E40" s="138"/>
      <c r="F40" s="138"/>
      <c r="G40" s="138"/>
      <c r="H40" s="138"/>
      <c r="I40" s="139"/>
      <c r="J40" s="106"/>
      <c r="K40" s="110"/>
      <c r="L40" s="110"/>
      <c r="N40" s="140"/>
      <c r="O40" s="140"/>
      <c r="P40" s="140"/>
      <c r="Q40" s="140"/>
      <c r="R40" s="140"/>
      <c r="X40" s="5"/>
      <c r="Y40" s="5"/>
      <c r="Z40" s="5"/>
      <c r="AA40" s="5"/>
      <c r="AB40" s="5"/>
      <c r="AC40" s="141"/>
    </row>
    <row r="41" ht="24.75" customHeight="1" spans="1:29">
      <c r="A41" s="120" t="s">
        <v>21</v>
      </c>
      <c r="B41" s="121"/>
      <c r="C41" s="122">
        <f>MIN(H8:H31)</f>
        <v>484</v>
      </c>
      <c r="D41" s="123"/>
      <c r="E41" s="124">
        <f>VLOOKUP(C41,H8:L31,4,FALSE)</f>
        <v>0.666666666666666</v>
      </c>
      <c r="F41" s="142"/>
      <c r="G41" s="125"/>
      <c r="H41" s="126" t="s">
        <v>22</v>
      </c>
      <c r="I41" s="127"/>
      <c r="J41" s="128"/>
      <c r="K41" s="129">
        <f>MIN(J8:J31)</f>
        <v>2</v>
      </c>
      <c r="L41" s="130"/>
      <c r="N41" s="126" t="s">
        <v>23</v>
      </c>
      <c r="O41" s="127"/>
      <c r="P41" s="127"/>
      <c r="Q41" s="128"/>
      <c r="R41" s="143">
        <f>AVERAGE(I8:I31)</f>
        <v>277.75</v>
      </c>
      <c r="S41" s="144"/>
      <c r="T41" s="144"/>
      <c r="U41" s="144"/>
      <c r="V41" s="144"/>
      <c r="X41" s="145"/>
    </row>
    <row r="42" ht="15" spans="1:29">
      <c r="D42" s="138"/>
      <c r="E42" s="138"/>
      <c r="F42" s="138"/>
      <c r="G42" s="138"/>
      <c r="H42" s="138"/>
      <c r="I42" s="146"/>
      <c r="J42" s="138"/>
      <c r="K42" s="147"/>
      <c r="L42" s="147"/>
      <c r="V42" s="148"/>
      <c r="W42" s="148"/>
      <c r="X42" s="149"/>
      <c r="Y42" s="149"/>
      <c r="Z42" s="150"/>
      <c r="AA42" s="150"/>
      <c r="AB42" s="150"/>
      <c r="AC42" s="150"/>
    </row>
    <row r="43" ht="24.75" customHeight="1" spans="1:29">
      <c r="C43" s="136"/>
      <c r="H43" s="151"/>
      <c r="I43" s="151"/>
      <c r="J43" s="151"/>
      <c r="K43" s="145"/>
      <c r="L43" s="139"/>
      <c r="N43" s="152" t="s">
        <v>24</v>
      </c>
      <c r="O43" s="153"/>
      <c r="P43" s="153"/>
      <c r="Q43" s="154"/>
      <c r="R43" s="155" t="e">
        <f>AVERAGE(T8:T31)</f>
        <v>#DIV/0!</v>
      </c>
      <c r="X43" s="156"/>
      <c r="Z43" s="157"/>
      <c r="AA43" s="157"/>
      <c r="AB43" s="157"/>
      <c r="AC43" s="157"/>
    </row>
    <row r="44" ht="19.5" spans="1:29">
      <c r="I44" s="158"/>
      <c r="K44" s="159"/>
      <c r="L44" s="159"/>
      <c r="Z44" s="160"/>
      <c r="AA44" s="160"/>
      <c r="AB44" s="160"/>
      <c r="AC44" s="160"/>
    </row>
    <row r="45" ht="24.75" customHeight="1" spans="1:29">
      <c r="D45" s="158"/>
      <c r="E45" s="158"/>
      <c r="F45" s="158"/>
      <c r="G45" s="158"/>
      <c r="H45" s="158"/>
      <c r="N45" s="126" t="s">
        <v>25</v>
      </c>
      <c r="O45" s="127"/>
      <c r="P45" s="127"/>
      <c r="Q45" s="128"/>
      <c r="R45" s="161">
        <f>SUM(M32-H32)/24</f>
        <v>-530.449999999994</v>
      </c>
      <c r="X45" s="162"/>
      <c r="Z45" s="163"/>
      <c r="AA45" s="163"/>
      <c r="AB45" s="163"/>
      <c r="AC45" s="163"/>
    </row>
    <row r="46" spans="1:29">
      <c r="Z46" s="164"/>
      <c r="AA46" s="164"/>
      <c r="AB46" s="164"/>
      <c r="AC46" s="164"/>
    </row>
    <row r="47" spans="1:29">
      <c r="Z47" s="139"/>
      <c r="AA47" s="139"/>
      <c r="AB47" s="139"/>
      <c r="AC47" s="139"/>
    </row>
    <row r="48" spans="1:29">
      <c r="Z48" s="139"/>
      <c r="AA48" s="139"/>
      <c r="AB48" s="139"/>
      <c r="AC48" s="139"/>
    </row>
    <row r="49" spans="11:29">
      <c r="Z49" s="157"/>
      <c r="AA49" s="157"/>
      <c r="AB49" s="157"/>
      <c r="AC49" s="157"/>
    </row>
    <row r="50" spans="11:29">
      <c r="Z50" s="157"/>
      <c r="AA50" s="157"/>
      <c r="AB50" s="157"/>
      <c r="AC50" s="157"/>
    </row>
    <row r="51" spans="11:29">
      <c r="K51" s="150"/>
      <c r="L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0"/>
      <c r="AC51" s="150"/>
    </row>
    <row r="52" spans="11:29">
      <c r="K52" s="150"/>
      <c r="L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  <c r="AB52" s="150"/>
      <c r="AC52" s="150"/>
    </row>
    <row r="53" spans="11:29">
      <c r="K53" s="150"/>
      <c r="L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50"/>
      <c r="AB53" s="150"/>
      <c r="AC53" s="150"/>
    </row>
    <row r="60" spans="11:29">
      <c r="O60" s="165"/>
      <c r="P60" s="165"/>
      <c r="Q60" s="165"/>
      <c r="R60" s="165"/>
      <c r="S60" s="165"/>
      <c r="T60" s="165"/>
    </row>
    <row r="61" spans="11:29">
      <c r="O61" s="165"/>
      <c r="P61" s="165"/>
      <c r="Q61" s="165"/>
      <c r="R61" s="165"/>
      <c r="S61" s="165"/>
      <c r="T61" s="165"/>
    </row>
    <row r="62" spans="11:29">
      <c r="O62" s="165"/>
      <c r="P62" s="165"/>
      <c r="Q62" s="165"/>
      <c r="R62" s="165"/>
      <c r="S62" s="165"/>
      <c r="T62" s="165"/>
    </row>
    <row r="63" spans="11:29">
      <c r="O63" s="165"/>
      <c r="P63" s="165"/>
      <c r="Q63" s="165"/>
      <c r="R63" s="165"/>
      <c r="S63" s="165"/>
      <c r="T63" s="165"/>
    </row>
    <row r="64" spans="11:29">
      <c r="O64" s="165"/>
      <c r="P64" s="165"/>
      <c r="Q64" s="165"/>
      <c r="R64" s="165"/>
      <c r="S64" s="165"/>
      <c r="T64" s="165"/>
    </row>
    <row r="65" spans="15:20">
      <c r="O65" s="165"/>
      <c r="P65" s="165"/>
      <c r="Q65" s="165"/>
      <c r="R65" s="165"/>
      <c r="S65" s="165"/>
      <c r="T65" s="165"/>
    </row>
    <row r="66" spans="15:20">
      <c r="O66" s="165"/>
      <c r="P66" s="165"/>
      <c r="Q66" s="165"/>
      <c r="R66" s="165"/>
      <c r="S66" s="165"/>
      <c r="T66" s="165"/>
    </row>
    <row r="67" spans="15:20">
      <c r="O67" s="165"/>
      <c r="P67" s="165"/>
      <c r="Q67" s="165"/>
      <c r="R67" s="165"/>
      <c r="S67" s="165"/>
      <c r="T67" s="165"/>
    </row>
    <row r="68" spans="15:20">
      <c r="O68" s="165"/>
      <c r="P68" s="165"/>
      <c r="Q68" s="165"/>
      <c r="R68" s="165"/>
      <c r="S68" s="165"/>
      <c r="T68" s="165"/>
    </row>
  </sheetData>
  <mergeCells count="116">
    <mergeCell ref="H4:K4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B29:C29"/>
    <mergeCell ref="D29:E29"/>
    <mergeCell ref="F29:G2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N34:Q34"/>
    <mergeCell ref="B35:C35"/>
    <mergeCell ref="D35:E35"/>
    <mergeCell ref="F35:G35"/>
    <mergeCell ref="N35:Q35"/>
    <mergeCell ref="N37:Q37"/>
    <mergeCell ref="A39:B39"/>
    <mergeCell ref="C39:D39"/>
    <mergeCell ref="H39:J39"/>
    <mergeCell ref="N39:Q39"/>
    <mergeCell ref="A41:B41"/>
    <mergeCell ref="C41:D41"/>
    <mergeCell ref="H41:J41"/>
    <mergeCell ref="N41:Q41"/>
    <mergeCell ref="H43:J43"/>
    <mergeCell ref="N43:Q43"/>
    <mergeCell ref="N45:Q45"/>
    <mergeCell ref="A6:A7"/>
    <mergeCell ref="A33:A34"/>
    <mergeCell ref="H6:H7"/>
    <mergeCell ref="H33:H34"/>
    <mergeCell ref="I6:I7"/>
    <mergeCell ref="I33:I34"/>
    <mergeCell ref="J6:J7"/>
    <mergeCell ref="K6:K7"/>
    <mergeCell ref="L6:L7"/>
    <mergeCell ref="M6:M7"/>
    <mergeCell ref="N6:N7"/>
    <mergeCell ref="O6:O7"/>
    <mergeCell ref="T6:T7"/>
    <mergeCell ref="U6:U7"/>
    <mergeCell ref="B33:C34"/>
    <mergeCell ref="D33:E34"/>
    <mergeCell ref="F33:G34"/>
  </mergeCells>
  <conditionalFormatting sqref="O8">
    <cfRule type="cellIs" dxfId="0" priority="10" operator="equal">
      <formula>"N/A"</formula>
    </cfRule>
  </conditionalFormatting>
  <conditionalFormatting sqref="A30">
    <cfRule type="cellIs" dxfId="1" priority="11" operator="equal">
      <formula>"STB"</formula>
    </cfRule>
    <cfRule type="cellIs" dxfId="0" priority="12" operator="equal">
      <formula>"BD"</formula>
    </cfRule>
  </conditionalFormatting>
  <conditionalFormatting sqref="B8:B31">
    <cfRule type="cellIs" dxfId="1" priority="1" operator="equal">
      <formula>"STB"</formula>
    </cfRule>
    <cfRule type="cellIs" dxfId="0" priority="2" operator="equal">
      <formula>"BD"</formula>
    </cfRule>
  </conditionalFormatting>
  <conditionalFormatting sqref="D8:D31">
    <cfRule type="cellIs" dxfId="1" priority="8" operator="equal">
      <formula>"STB"</formula>
    </cfRule>
    <cfRule type="cellIs" dxfId="0" priority="9" operator="equal">
      <formula>"BD"</formula>
    </cfRule>
  </conditionalFormatting>
  <conditionalFormatting sqref="F8:F31">
    <cfRule type="cellIs" dxfId="1" priority="3" operator="equal">
      <formula>"STB"</formula>
    </cfRule>
    <cfRule type="cellIs" dxfId="0" priority="4" operator="equal">
      <formula>"BD"</formula>
    </cfRule>
  </conditionalFormatting>
  <conditionalFormatting sqref="H8:H31">
    <cfRule type="top10" dxfId="2" priority="5" bottom="1" rank="1"/>
    <cfRule type="top10" dxfId="3" priority="6" rank="1"/>
    <cfRule type="cellIs" dxfId="4" priority="7" stopIfTrue="1" operator="equal">
      <formula>28000</formula>
    </cfRule>
  </conditionalFormatting>
  <conditionalFormatting sqref="H32:H33">
    <cfRule type="top10" dxfId="2" priority="14" bottom="1" rank="1"/>
    <cfRule type="top10" dxfId="3" priority="15" rank="1"/>
    <cfRule type="cellIs" dxfId="4" priority="17" stopIfTrue="1" operator="equal">
      <formula>28000</formula>
    </cfRule>
  </conditionalFormatting>
  <conditionalFormatting sqref="Y8:Y31">
    <cfRule type="containsText" dxfId="5" priority="13" operator="between" text="-">
      <formula>NOT(ISERROR(SEARCH("-",Y8)))</formula>
    </cfRule>
  </conditionalFormatting>
  <conditionalFormatting sqref="N8 N9:O31">
    <cfRule type="cellIs" dxfId="0" priority="16" operator="equal">
      <formula>"BD"</formula>
    </cfRule>
  </conditionalFormatting>
  <pageMargins left="0.7" right="0.7" top="0.75" bottom="0.75" header="0.3" footer="0.3"/>
  <pageSetup paperSize="1" orientation="portrait" verticalDpi="36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C68"/>
  <sheetViews>
    <sheetView zoomScale="80" zoomScaleNormal="80" workbookViewId="0">
      <pane ySplit="7" topLeftCell="A9" activePane="bottomLeft" state="frozen"/>
      <selection/>
      <selection pane="bottomLeft" activeCell="A3" sqref="$A3:$XFD3"/>
    </sheetView>
  </sheetViews>
  <sheetFormatPr defaultColWidth="8.81666666666667" defaultRowHeight="14.25"/>
  <cols>
    <col min="1" max="1" width="16.725" customWidth="1"/>
    <col min="2" max="2" width="8.725" customWidth="1"/>
    <col min="3" max="7" width="5.725" customWidth="1"/>
    <col min="8" max="8" width="14.2666666666667" customWidth="1"/>
    <col min="9" max="9" width="15.1833333333333" customWidth="1"/>
    <col min="10" max="10" width="15.5416666666667" customWidth="1"/>
    <col min="11" max="11" width="7" customWidth="1"/>
    <col min="12" max="12" width="8.54166666666667" customWidth="1"/>
    <col min="13" max="13" width="11.725" style="5" customWidth="1"/>
    <col min="14" max="14" width="17.1833333333333" customWidth="1"/>
    <col min="15" max="15" width="15.45" customWidth="1"/>
    <col min="16" max="16" width="7.45" customWidth="1"/>
    <col min="17" max="17" width="9.54166666666667" customWidth="1"/>
    <col min="18" max="18" width="10" customWidth="1"/>
    <col min="19" max="20" width="9.81666666666667" customWidth="1"/>
    <col min="21" max="21" width="6.725" customWidth="1"/>
    <col min="22" max="22" width="13.8166666666667" customWidth="1"/>
    <col min="23" max="23" width="11.2666666666667" customWidth="1"/>
    <col min="24" max="24" width="9.26666666666667" customWidth="1"/>
    <col min="25" max="25" width="3.725" customWidth="1"/>
    <col min="26" max="29" width="7.725" customWidth="1"/>
    <col min="30" max="30" width="6.725" customWidth="1"/>
  </cols>
  <sheetData>
    <row r="1" ht="3" customHeight="1"/>
    <row r="2" ht="6" customHeight="1" spans="1:2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="1" customFormat="1" ht="6.75" customHeight="1" spans="1:29">
      <c r="K3" s="7"/>
      <c r="L3" s="8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17.25" customHeight="1" spans="1:29">
      <c r="A4" s="1"/>
      <c r="B4" s="10"/>
      <c r="C4" s="10"/>
      <c r="D4" s="10"/>
      <c r="E4" s="11"/>
      <c r="F4" s="11"/>
      <c r="G4" s="11"/>
      <c r="H4" s="12">
        <f>'[3]Taniwel daily'!C4</f>
        <v>45294</v>
      </c>
      <c r="I4" s="13"/>
      <c r="J4" s="13"/>
      <c r="K4" s="14"/>
      <c r="L4" s="15"/>
      <c r="M4" s="16"/>
      <c r="N4" s="10"/>
      <c r="O4" s="10"/>
      <c r="P4" s="10"/>
      <c r="Q4" s="10"/>
      <c r="R4" s="10"/>
      <c r="S4" s="10"/>
      <c r="T4" s="10"/>
      <c r="U4" s="10"/>
      <c r="V4" s="7"/>
      <c r="W4" s="7"/>
      <c r="X4" s="7"/>
      <c r="Y4" s="7"/>
      <c r="Z4" s="7"/>
      <c r="AA4" s="7"/>
      <c r="AB4" s="7"/>
      <c r="AC4" s="7"/>
    </row>
    <row r="5" ht="7.5" customHeight="1" spans="1:29">
      <c r="A5" s="1"/>
      <c r="B5" s="17"/>
      <c r="C5" s="1"/>
      <c r="D5" s="1"/>
      <c r="E5" s="1"/>
      <c r="F5" s="1"/>
      <c r="G5" s="1"/>
      <c r="H5" s="1"/>
      <c r="I5" s="1"/>
      <c r="J5" s="1"/>
      <c r="K5" s="18"/>
      <c r="L5" s="7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ht="17.25" customHeight="1" spans="1:29">
      <c r="A6" s="19" t="s">
        <v>0</v>
      </c>
      <c r="B6" s="20" t="s">
        <v>1</v>
      </c>
      <c r="C6" s="21"/>
      <c r="D6" s="20" t="s">
        <v>2</v>
      </c>
      <c r="E6" s="21"/>
      <c r="F6" s="20" t="s">
        <v>3</v>
      </c>
      <c r="G6" s="21"/>
      <c r="H6" s="22" t="s">
        <v>4</v>
      </c>
      <c r="I6" s="22" t="s">
        <v>5</v>
      </c>
      <c r="J6" s="23" t="s">
        <v>6</v>
      </c>
      <c r="K6" s="19" t="s">
        <v>0</v>
      </c>
      <c r="L6" s="24" t="s">
        <v>7</v>
      </c>
      <c r="M6" s="25" t="s">
        <v>8</v>
      </c>
      <c r="N6" s="26" t="s">
        <v>9</v>
      </c>
      <c r="O6" s="25" t="s">
        <v>10</v>
      </c>
      <c r="P6" s="27"/>
      <c r="Q6" s="28"/>
      <c r="R6" s="28"/>
      <c r="S6" s="28"/>
      <c r="T6" s="28"/>
      <c r="U6" s="29"/>
    </row>
    <row r="7" ht="15.75" customHeight="1" spans="1:29">
      <c r="A7" s="30"/>
      <c r="B7" s="31">
        <v>1</v>
      </c>
      <c r="C7" s="32"/>
      <c r="D7" s="31">
        <v>2</v>
      </c>
      <c r="E7" s="32"/>
      <c r="F7" s="31">
        <v>3</v>
      </c>
      <c r="G7" s="32"/>
      <c r="H7" s="33"/>
      <c r="I7" s="33"/>
      <c r="J7" s="34"/>
      <c r="K7" s="30"/>
      <c r="L7" s="35"/>
      <c r="M7" s="36"/>
      <c r="N7" s="37"/>
      <c r="O7" s="38"/>
      <c r="P7" s="27"/>
      <c r="Q7" s="28"/>
      <c r="R7" s="28"/>
      <c r="S7" s="28"/>
      <c r="T7" s="28"/>
      <c r="U7" s="29"/>
      <c r="X7" s="39"/>
    </row>
    <row r="8" s="2" customFormat="1" ht="15" customHeight="1" spans="1:29">
      <c r="A8" s="40">
        <v>0.0416666666666666</v>
      </c>
      <c r="B8" s="41" t="s">
        <v>11</v>
      </c>
      <c r="C8" s="42"/>
      <c r="D8" s="41">
        <v>261</v>
      </c>
      <c r="E8" s="42"/>
      <c r="F8" s="41">
        <v>275</v>
      </c>
      <c r="G8" s="42"/>
      <c r="H8" s="43">
        <f t="shared" ref="H8:H31" si="0">IF(SUM(B8:G8)/1000=0,"0",SUM(B8:G8))</f>
        <v>536</v>
      </c>
      <c r="I8" s="44">
        <f t="shared" ref="I8:I31" si="1">IFERROR(AVERAGE(B8:G8),"0")</f>
        <v>268</v>
      </c>
      <c r="J8" s="45">
        <f t="shared" ref="J8:J31" si="2">COUNT(B8:G8)</f>
        <v>2</v>
      </c>
      <c r="K8" s="46">
        <v>0.0416666666666667</v>
      </c>
      <c r="L8" s="47">
        <v>4500</v>
      </c>
      <c r="M8" s="48">
        <v>155.95</v>
      </c>
      <c r="N8" s="49">
        <f>(M9-M8)*12000</f>
        <v>600.000000000136</v>
      </c>
      <c r="O8" s="50"/>
      <c r="P8" s="51"/>
      <c r="Q8" s="52"/>
      <c r="R8" s="52"/>
      <c r="S8" s="52"/>
      <c r="T8" s="52"/>
      <c r="U8" s="53"/>
    </row>
    <row r="9" s="3" customFormat="1" ht="15" customHeight="1" spans="1:29">
      <c r="A9" s="40">
        <v>0.0833333333333333</v>
      </c>
      <c r="B9" s="41" t="s">
        <v>11</v>
      </c>
      <c r="C9" s="42"/>
      <c r="D9" s="41">
        <v>261</v>
      </c>
      <c r="E9" s="42"/>
      <c r="F9" s="41">
        <v>275</v>
      </c>
      <c r="G9" s="42"/>
      <c r="H9" s="43">
        <f t="shared" si="0"/>
        <v>536</v>
      </c>
      <c r="I9" s="44">
        <f t="shared" si="1"/>
        <v>268</v>
      </c>
      <c r="J9" s="45">
        <f t="shared" si="2"/>
        <v>2</v>
      </c>
      <c r="K9" s="46">
        <v>0.0833333333333333</v>
      </c>
      <c r="L9" s="47">
        <v>4200</v>
      </c>
      <c r="M9" s="54">
        <v>156</v>
      </c>
      <c r="N9" s="49">
        <f t="shared" ref="N9:N30" si="3">(M10-M9)*12000</f>
        <v>479.999999999905</v>
      </c>
      <c r="O9" s="55"/>
      <c r="P9" s="51"/>
      <c r="Q9" s="52"/>
      <c r="R9" s="52"/>
      <c r="S9" s="52"/>
      <c r="T9" s="52"/>
      <c r="U9" s="53"/>
    </row>
    <row r="10" s="3" customFormat="1" ht="15" customHeight="1" spans="1:29">
      <c r="A10" s="40">
        <v>0.125</v>
      </c>
      <c r="B10" s="41" t="s">
        <v>11</v>
      </c>
      <c r="C10" s="42"/>
      <c r="D10" s="41">
        <v>211</v>
      </c>
      <c r="E10" s="42"/>
      <c r="F10" s="41">
        <v>239</v>
      </c>
      <c r="G10" s="42"/>
      <c r="H10" s="43">
        <f t="shared" si="0"/>
        <v>450</v>
      </c>
      <c r="I10" s="44">
        <f t="shared" si="1"/>
        <v>225</v>
      </c>
      <c r="J10" s="45">
        <f t="shared" si="2"/>
        <v>2</v>
      </c>
      <c r="K10" s="46">
        <v>0.125</v>
      </c>
      <c r="L10" s="47">
        <v>4200</v>
      </c>
      <c r="M10" s="54">
        <v>156.04</v>
      </c>
      <c r="N10" s="49">
        <f t="shared" si="3"/>
        <v>600.000000000136</v>
      </c>
      <c r="O10" s="56"/>
      <c r="P10" s="51"/>
      <c r="Q10" s="52"/>
      <c r="R10" s="52"/>
      <c r="S10" s="52"/>
      <c r="T10" s="52"/>
      <c r="U10" s="53"/>
    </row>
    <row r="11" s="3" customFormat="1" ht="15" customHeight="1" spans="1:29">
      <c r="A11" s="40">
        <v>0.166666666666667</v>
      </c>
      <c r="B11" s="41" t="s">
        <v>11</v>
      </c>
      <c r="C11" s="42"/>
      <c r="D11" s="41" t="s">
        <v>26</v>
      </c>
      <c r="E11" s="42"/>
      <c r="F11" s="41">
        <v>440</v>
      </c>
      <c r="G11" s="42"/>
      <c r="H11" s="43">
        <f t="shared" si="0"/>
        <v>440</v>
      </c>
      <c r="I11" s="44">
        <f t="shared" si="1"/>
        <v>440</v>
      </c>
      <c r="J11" s="45">
        <f t="shared" si="2"/>
        <v>1</v>
      </c>
      <c r="K11" s="46">
        <v>0.166666666666667</v>
      </c>
      <c r="L11" s="47">
        <v>4000</v>
      </c>
      <c r="M11" s="54">
        <v>156.09</v>
      </c>
      <c r="N11" s="49">
        <f t="shared" si="3"/>
        <v>720.000000000027</v>
      </c>
      <c r="O11" s="56"/>
      <c r="P11" s="51"/>
      <c r="Q11" s="52"/>
      <c r="R11" s="52"/>
      <c r="S11" s="52"/>
      <c r="T11" s="52"/>
      <c r="U11" s="53"/>
    </row>
    <row r="12" s="3" customFormat="1" ht="15" customHeight="1" spans="1:29">
      <c r="A12" s="40">
        <v>0.208333333333333</v>
      </c>
      <c r="B12" s="41" t="s">
        <v>11</v>
      </c>
      <c r="C12" s="42"/>
      <c r="D12" s="41" t="s">
        <v>26</v>
      </c>
      <c r="E12" s="42"/>
      <c r="F12" s="41">
        <v>444</v>
      </c>
      <c r="G12" s="42"/>
      <c r="H12" s="43">
        <f t="shared" si="0"/>
        <v>444</v>
      </c>
      <c r="I12" s="44">
        <f t="shared" si="1"/>
        <v>444</v>
      </c>
      <c r="J12" s="45">
        <f t="shared" si="2"/>
        <v>1</v>
      </c>
      <c r="K12" s="46">
        <v>0.208333333333333</v>
      </c>
      <c r="L12" s="47">
        <v>3900</v>
      </c>
      <c r="M12" s="54">
        <v>156.15</v>
      </c>
      <c r="N12" s="49">
        <f t="shared" si="3"/>
        <v>239.999999999782</v>
      </c>
      <c r="O12" s="56"/>
      <c r="P12" s="51"/>
      <c r="Q12" s="52"/>
      <c r="R12" s="52"/>
      <c r="S12" s="52"/>
      <c r="T12" s="52"/>
      <c r="U12" s="53"/>
    </row>
    <row r="13" s="3" customFormat="1" ht="15" customHeight="1" spans="1:29">
      <c r="A13" s="40">
        <v>0.25</v>
      </c>
      <c r="B13" s="41" t="s">
        <v>11</v>
      </c>
      <c r="C13" s="42"/>
      <c r="D13" s="41" t="s">
        <v>26</v>
      </c>
      <c r="E13" s="42"/>
      <c r="F13" s="41">
        <v>448</v>
      </c>
      <c r="G13" s="42"/>
      <c r="H13" s="43">
        <f t="shared" si="0"/>
        <v>448</v>
      </c>
      <c r="I13" s="44">
        <f t="shared" si="1"/>
        <v>448</v>
      </c>
      <c r="J13" s="45">
        <f t="shared" si="2"/>
        <v>1</v>
      </c>
      <c r="K13" s="46">
        <v>0.25</v>
      </c>
      <c r="L13" s="47">
        <v>3600</v>
      </c>
      <c r="M13" s="54">
        <v>156.17</v>
      </c>
      <c r="N13" s="49">
        <f t="shared" si="3"/>
        <v>480.000000000246</v>
      </c>
      <c r="O13" s="56"/>
      <c r="P13" s="51"/>
      <c r="Q13" s="52"/>
      <c r="R13" s="52"/>
      <c r="S13" s="52"/>
      <c r="T13" s="52"/>
      <c r="U13" s="53"/>
    </row>
    <row r="14" s="3" customFormat="1" ht="15" customHeight="1" spans="1:29">
      <c r="A14" s="40">
        <v>0.291666666666667</v>
      </c>
      <c r="B14" s="41" t="s">
        <v>11</v>
      </c>
      <c r="C14" s="42"/>
      <c r="D14" s="41">
        <v>246</v>
      </c>
      <c r="E14" s="42"/>
      <c r="F14" s="41">
        <v>220</v>
      </c>
      <c r="G14" s="42"/>
      <c r="H14" s="43">
        <f t="shared" si="0"/>
        <v>466</v>
      </c>
      <c r="I14" s="44">
        <f t="shared" si="1"/>
        <v>233</v>
      </c>
      <c r="J14" s="45">
        <f t="shared" si="2"/>
        <v>2</v>
      </c>
      <c r="K14" s="46">
        <v>0.291666666666667</v>
      </c>
      <c r="L14" s="47">
        <v>3600</v>
      </c>
      <c r="M14" s="54">
        <v>156.21</v>
      </c>
      <c r="N14" s="49">
        <f t="shared" si="3"/>
        <v>599.999999999795</v>
      </c>
      <c r="O14" s="56"/>
      <c r="P14" s="51"/>
      <c r="Q14" s="52"/>
      <c r="R14" s="52"/>
      <c r="S14" s="52"/>
      <c r="T14" s="52"/>
      <c r="U14" s="53"/>
    </row>
    <row r="15" s="3" customFormat="1" ht="15" customHeight="1" spans="1:29">
      <c r="A15" s="40">
        <v>0.333333333333333</v>
      </c>
      <c r="B15" s="41" t="s">
        <v>11</v>
      </c>
      <c r="C15" s="42"/>
      <c r="D15" s="41">
        <v>238</v>
      </c>
      <c r="E15" s="42"/>
      <c r="F15" s="41">
        <v>215</v>
      </c>
      <c r="G15" s="42"/>
      <c r="H15" s="43">
        <f t="shared" si="0"/>
        <v>453</v>
      </c>
      <c r="I15" s="44">
        <f t="shared" si="1"/>
        <v>226.5</v>
      </c>
      <c r="J15" s="45">
        <f t="shared" si="2"/>
        <v>2</v>
      </c>
      <c r="K15" s="46">
        <v>0.333333333333333</v>
      </c>
      <c r="L15" s="47">
        <v>3600</v>
      </c>
      <c r="M15" s="54">
        <v>156.26</v>
      </c>
      <c r="N15" s="49">
        <f t="shared" si="3"/>
        <v>480.000000000246</v>
      </c>
      <c r="O15" s="56"/>
      <c r="P15" s="51"/>
      <c r="Q15" s="52"/>
      <c r="R15" s="52"/>
      <c r="S15" s="52"/>
      <c r="T15" s="52"/>
      <c r="U15" s="53"/>
    </row>
    <row r="16" s="3" customFormat="1" ht="15" customHeight="1" spans="1:29">
      <c r="A16" s="40">
        <v>0.375</v>
      </c>
      <c r="B16" s="41" t="s">
        <v>11</v>
      </c>
      <c r="C16" s="42"/>
      <c r="D16" s="41" t="s">
        <v>26</v>
      </c>
      <c r="E16" s="42"/>
      <c r="F16" s="41">
        <v>449</v>
      </c>
      <c r="G16" s="42"/>
      <c r="H16" s="43">
        <f t="shared" si="0"/>
        <v>449</v>
      </c>
      <c r="I16" s="44">
        <f t="shared" si="1"/>
        <v>449</v>
      </c>
      <c r="J16" s="45">
        <f t="shared" si="2"/>
        <v>1</v>
      </c>
      <c r="K16" s="46">
        <v>0.375</v>
      </c>
      <c r="L16" s="47">
        <v>3600</v>
      </c>
      <c r="M16" s="54">
        <v>156.3</v>
      </c>
      <c r="N16" s="49">
        <f t="shared" si="3"/>
        <v>360.000000000014</v>
      </c>
      <c r="O16" s="56"/>
      <c r="P16" s="51"/>
      <c r="Q16" s="52"/>
      <c r="R16" s="52"/>
      <c r="S16" s="52"/>
      <c r="T16" s="52"/>
      <c r="U16" s="53"/>
    </row>
    <row r="17" s="3" customFormat="1" ht="15" customHeight="1" spans="1:21">
      <c r="A17" s="40">
        <v>0.416666666666667</v>
      </c>
      <c r="B17" s="41" t="s">
        <v>11</v>
      </c>
      <c r="C17" s="42"/>
      <c r="D17" s="41">
        <v>455</v>
      </c>
      <c r="E17" s="42"/>
      <c r="F17" s="41" t="s">
        <v>26</v>
      </c>
      <c r="G17" s="42"/>
      <c r="H17" s="43">
        <f t="shared" si="0"/>
        <v>455</v>
      </c>
      <c r="I17" s="44">
        <f t="shared" si="1"/>
        <v>455</v>
      </c>
      <c r="J17" s="45">
        <f t="shared" si="2"/>
        <v>1</v>
      </c>
      <c r="K17" s="46">
        <v>0.416666666666666</v>
      </c>
      <c r="L17" s="47">
        <v>3400</v>
      </c>
      <c r="M17" s="54">
        <v>156.33</v>
      </c>
      <c r="N17" s="49">
        <f t="shared" si="3"/>
        <v>599.999999999795</v>
      </c>
      <c r="O17" s="56"/>
      <c r="P17" s="51"/>
      <c r="Q17" s="52"/>
      <c r="R17" s="52"/>
      <c r="S17" s="52"/>
      <c r="T17" s="52"/>
      <c r="U17" s="53"/>
    </row>
    <row r="18" s="3" customFormat="1" ht="15" customHeight="1" spans="1:21">
      <c r="A18" s="40">
        <v>0.458333333333333</v>
      </c>
      <c r="B18" s="41" t="s">
        <v>11</v>
      </c>
      <c r="C18" s="42"/>
      <c r="D18" s="41">
        <v>274</v>
      </c>
      <c r="E18" s="42"/>
      <c r="F18" s="41">
        <v>264</v>
      </c>
      <c r="G18" s="42"/>
      <c r="H18" s="43">
        <f t="shared" si="0"/>
        <v>538</v>
      </c>
      <c r="I18" s="44">
        <f t="shared" si="1"/>
        <v>269</v>
      </c>
      <c r="J18" s="45">
        <f t="shared" si="2"/>
        <v>2</v>
      </c>
      <c r="K18" s="46">
        <v>0.458333333333333</v>
      </c>
      <c r="L18" s="47">
        <v>3300</v>
      </c>
      <c r="M18" s="54">
        <v>156.38</v>
      </c>
      <c r="N18" s="49">
        <f t="shared" si="3"/>
        <v>600.000000000136</v>
      </c>
      <c r="O18" s="56"/>
      <c r="P18" s="51"/>
      <c r="Q18" s="52"/>
      <c r="R18" s="52"/>
      <c r="S18" s="52"/>
      <c r="T18" s="52"/>
      <c r="U18" s="53"/>
    </row>
    <row r="19" s="3" customFormat="1" ht="15" customHeight="1" spans="1:21">
      <c r="A19" s="40">
        <v>0.5</v>
      </c>
      <c r="B19" s="41" t="s">
        <v>11</v>
      </c>
      <c r="C19" s="42"/>
      <c r="D19" s="41">
        <v>252</v>
      </c>
      <c r="E19" s="42"/>
      <c r="F19" s="41">
        <v>273</v>
      </c>
      <c r="G19" s="42"/>
      <c r="H19" s="43">
        <f t="shared" si="0"/>
        <v>525</v>
      </c>
      <c r="I19" s="44">
        <f t="shared" si="1"/>
        <v>262.5</v>
      </c>
      <c r="J19" s="45">
        <f t="shared" si="2"/>
        <v>2</v>
      </c>
      <c r="K19" s="46">
        <v>0.5</v>
      </c>
      <c r="L19" s="47">
        <v>3300</v>
      </c>
      <c r="M19" s="54">
        <v>156.43</v>
      </c>
      <c r="N19" s="49">
        <f t="shared" si="3"/>
        <v>599.999999999795</v>
      </c>
      <c r="O19" s="56"/>
      <c r="P19" s="51"/>
      <c r="Q19" s="52"/>
      <c r="R19" s="52"/>
      <c r="S19" s="52"/>
      <c r="T19" s="52"/>
      <c r="U19" s="53"/>
    </row>
    <row r="20" s="3" customFormat="1" ht="15" customHeight="1" spans="1:21">
      <c r="A20" s="40">
        <v>0.541666666666667</v>
      </c>
      <c r="B20" s="41" t="s">
        <v>11</v>
      </c>
      <c r="C20" s="42"/>
      <c r="D20" s="41">
        <v>249</v>
      </c>
      <c r="E20" s="42"/>
      <c r="F20" s="41">
        <v>238</v>
      </c>
      <c r="G20" s="42"/>
      <c r="H20" s="43">
        <f t="shared" si="0"/>
        <v>487</v>
      </c>
      <c r="I20" s="44">
        <f t="shared" si="1"/>
        <v>243.5</v>
      </c>
      <c r="J20" s="45">
        <f t="shared" si="2"/>
        <v>2</v>
      </c>
      <c r="K20" s="46">
        <v>0.541666666666667</v>
      </c>
      <c r="L20" s="47">
        <v>3000</v>
      </c>
      <c r="M20" s="54">
        <v>156.48</v>
      </c>
      <c r="N20" s="49">
        <f t="shared" si="3"/>
        <v>600.000000000136</v>
      </c>
      <c r="O20" s="56"/>
      <c r="P20" s="51"/>
      <c r="Q20" s="52"/>
      <c r="R20" s="52"/>
      <c r="S20" s="52"/>
      <c r="T20" s="52"/>
      <c r="U20" s="53"/>
    </row>
    <row r="21" s="3" customFormat="1" ht="15" customHeight="1" spans="1:21">
      <c r="A21" s="40">
        <v>0.583333333333333</v>
      </c>
      <c r="B21" s="41" t="s">
        <v>11</v>
      </c>
      <c r="C21" s="42"/>
      <c r="D21" s="41">
        <v>257</v>
      </c>
      <c r="E21" s="42"/>
      <c r="F21" s="41">
        <v>243</v>
      </c>
      <c r="G21" s="42"/>
      <c r="H21" s="43">
        <f t="shared" si="0"/>
        <v>500</v>
      </c>
      <c r="I21" s="44">
        <f t="shared" si="1"/>
        <v>250</v>
      </c>
      <c r="J21" s="45">
        <f t="shared" si="2"/>
        <v>2</v>
      </c>
      <c r="K21" s="46">
        <v>0.583333333333333</v>
      </c>
      <c r="L21" s="47">
        <v>3000</v>
      </c>
      <c r="M21" s="54">
        <v>156.53</v>
      </c>
      <c r="N21" s="49">
        <f t="shared" si="3"/>
        <v>600.000000000136</v>
      </c>
      <c r="O21" s="56"/>
      <c r="P21" s="51"/>
      <c r="Q21" s="52"/>
      <c r="R21" s="52"/>
      <c r="S21" s="52"/>
      <c r="T21" s="52"/>
      <c r="U21" s="53"/>
    </row>
    <row r="22" s="3" customFormat="1" ht="15" customHeight="1" spans="1:21">
      <c r="A22" s="40">
        <v>0.625</v>
      </c>
      <c r="B22" s="41" t="s">
        <v>11</v>
      </c>
      <c r="C22" s="42"/>
      <c r="D22" s="41">
        <v>469</v>
      </c>
      <c r="E22" s="42"/>
      <c r="F22" s="41" t="s">
        <v>26</v>
      </c>
      <c r="G22" s="42"/>
      <c r="H22" s="43">
        <f t="shared" si="0"/>
        <v>469</v>
      </c>
      <c r="I22" s="44">
        <f t="shared" si="1"/>
        <v>469</v>
      </c>
      <c r="J22" s="45">
        <f t="shared" si="2"/>
        <v>1</v>
      </c>
      <c r="K22" s="46">
        <v>0.625</v>
      </c>
      <c r="L22" s="47">
        <v>3000</v>
      </c>
      <c r="M22" s="54">
        <v>156.58</v>
      </c>
      <c r="N22" s="49">
        <f t="shared" si="3"/>
        <v>479.999999999905</v>
      </c>
      <c r="O22" s="56"/>
      <c r="P22" s="51"/>
      <c r="Q22" s="52"/>
      <c r="R22" s="52"/>
      <c r="S22" s="52"/>
      <c r="T22" s="52"/>
      <c r="U22" s="53"/>
    </row>
    <row r="23" s="3" customFormat="1" ht="15" customHeight="1" spans="1:21">
      <c r="A23" s="40">
        <v>0.666666666666667</v>
      </c>
      <c r="B23" s="41" t="s">
        <v>11</v>
      </c>
      <c r="C23" s="42"/>
      <c r="D23" s="41">
        <v>457</v>
      </c>
      <c r="E23" s="42"/>
      <c r="F23" s="41" t="s">
        <v>26</v>
      </c>
      <c r="G23" s="42"/>
      <c r="H23" s="43">
        <f t="shared" si="0"/>
        <v>457</v>
      </c>
      <c r="I23" s="44">
        <f t="shared" si="1"/>
        <v>457</v>
      </c>
      <c r="J23" s="45">
        <f t="shared" si="2"/>
        <v>1</v>
      </c>
      <c r="K23" s="46">
        <v>0.666666666666666</v>
      </c>
      <c r="L23" s="47">
        <v>3000</v>
      </c>
      <c r="M23" s="54">
        <v>156.62</v>
      </c>
      <c r="N23" s="49">
        <f t="shared" si="3"/>
        <v>479.999999999905</v>
      </c>
      <c r="O23" s="56"/>
      <c r="P23" s="51"/>
      <c r="Q23" s="52"/>
      <c r="R23" s="52"/>
      <c r="S23" s="52"/>
      <c r="T23" s="52"/>
      <c r="U23" s="53"/>
    </row>
    <row r="24" s="3" customFormat="1" ht="15" customHeight="1" spans="1:21">
      <c r="A24" s="40">
        <v>0.708333333333334</v>
      </c>
      <c r="B24" s="41" t="s">
        <v>11</v>
      </c>
      <c r="C24" s="42"/>
      <c r="D24" s="41">
        <v>245</v>
      </c>
      <c r="E24" s="42"/>
      <c r="F24" s="41">
        <v>234</v>
      </c>
      <c r="G24" s="42"/>
      <c r="H24" s="43">
        <f t="shared" si="0"/>
        <v>479</v>
      </c>
      <c r="I24" s="44">
        <f t="shared" si="1"/>
        <v>239.5</v>
      </c>
      <c r="J24" s="45">
        <f t="shared" si="2"/>
        <v>2</v>
      </c>
      <c r="K24" s="46">
        <v>0.708333333333333</v>
      </c>
      <c r="L24" s="47">
        <v>2700</v>
      </c>
      <c r="M24" s="54">
        <v>156.66</v>
      </c>
      <c r="N24" s="49">
        <f t="shared" si="3"/>
        <v>600.000000000136</v>
      </c>
      <c r="O24" s="56"/>
      <c r="P24" s="51"/>
      <c r="Q24" s="52"/>
      <c r="R24" s="52"/>
      <c r="S24" s="52"/>
      <c r="T24" s="52"/>
      <c r="U24" s="53"/>
    </row>
    <row r="25" s="3" customFormat="1" ht="15" customHeight="1" spans="1:21">
      <c r="A25" s="40">
        <v>0.75</v>
      </c>
      <c r="B25" s="41" t="s">
        <v>11</v>
      </c>
      <c r="C25" s="42"/>
      <c r="D25" s="41">
        <v>270</v>
      </c>
      <c r="E25" s="42"/>
      <c r="F25" s="41">
        <v>262</v>
      </c>
      <c r="G25" s="42"/>
      <c r="H25" s="43">
        <f t="shared" si="0"/>
        <v>532</v>
      </c>
      <c r="I25" s="44">
        <f t="shared" si="1"/>
        <v>266</v>
      </c>
      <c r="J25" s="45">
        <f t="shared" si="2"/>
        <v>2</v>
      </c>
      <c r="K25" s="46">
        <v>0.75</v>
      </c>
      <c r="L25" s="47">
        <v>2400</v>
      </c>
      <c r="M25" s="54">
        <v>156.71</v>
      </c>
      <c r="N25" s="49">
        <f t="shared" si="3"/>
        <v>720.000000000027</v>
      </c>
      <c r="O25" s="56"/>
      <c r="P25" s="51"/>
      <c r="Q25" s="52"/>
      <c r="R25" s="52"/>
      <c r="S25" s="52"/>
      <c r="T25" s="52"/>
      <c r="U25" s="53"/>
    </row>
    <row r="26" s="3" customFormat="1" ht="15" customHeight="1" spans="1:21">
      <c r="A26" s="40">
        <v>0.791666666666667</v>
      </c>
      <c r="B26" s="41" t="s">
        <v>11</v>
      </c>
      <c r="C26" s="42"/>
      <c r="D26" s="41">
        <v>340</v>
      </c>
      <c r="E26" s="42"/>
      <c r="F26" s="41">
        <v>344</v>
      </c>
      <c r="G26" s="42"/>
      <c r="H26" s="43">
        <f t="shared" si="0"/>
        <v>684</v>
      </c>
      <c r="I26" s="44">
        <f t="shared" si="1"/>
        <v>342</v>
      </c>
      <c r="J26" s="45">
        <f t="shared" si="2"/>
        <v>2</v>
      </c>
      <c r="K26" s="46">
        <v>0.791666666666666</v>
      </c>
      <c r="L26" s="47">
        <v>2100</v>
      </c>
      <c r="M26" s="54">
        <v>156.77</v>
      </c>
      <c r="N26" s="49">
        <f t="shared" si="3"/>
        <v>720.000000000027</v>
      </c>
      <c r="O26" s="56"/>
      <c r="P26" s="51"/>
      <c r="Q26" s="52"/>
      <c r="R26" s="52"/>
      <c r="S26" s="52"/>
      <c r="T26" s="52"/>
      <c r="U26" s="53"/>
    </row>
    <row r="27" s="3" customFormat="1" ht="15" customHeight="1" spans="1:21">
      <c r="A27" s="40">
        <v>0.833333333333334</v>
      </c>
      <c r="B27" s="41" t="s">
        <v>11</v>
      </c>
      <c r="C27" s="42"/>
      <c r="D27" s="41">
        <v>351</v>
      </c>
      <c r="E27" s="42"/>
      <c r="F27" s="41">
        <v>350</v>
      </c>
      <c r="G27" s="42"/>
      <c r="H27" s="43">
        <f t="shared" si="0"/>
        <v>701</v>
      </c>
      <c r="I27" s="44">
        <f t="shared" si="1"/>
        <v>350.5</v>
      </c>
      <c r="J27" s="45">
        <f t="shared" si="2"/>
        <v>2</v>
      </c>
      <c r="K27" s="46">
        <v>0.833333333333333</v>
      </c>
      <c r="L27" s="47">
        <v>2100</v>
      </c>
      <c r="M27" s="54">
        <v>156.83</v>
      </c>
      <c r="N27" s="49">
        <f t="shared" si="3"/>
        <v>839.999999999918</v>
      </c>
      <c r="O27" s="56"/>
      <c r="P27" s="51"/>
      <c r="Q27" s="52"/>
      <c r="R27" s="52"/>
      <c r="S27" s="52"/>
      <c r="T27" s="52"/>
      <c r="U27" s="53"/>
    </row>
    <row r="28" s="4" customFormat="1" ht="15" customHeight="1" spans="1:21">
      <c r="A28" s="40">
        <v>0.875</v>
      </c>
      <c r="B28" s="41" t="s">
        <v>11</v>
      </c>
      <c r="C28" s="42"/>
      <c r="D28" s="41">
        <v>333</v>
      </c>
      <c r="E28" s="42"/>
      <c r="F28" s="41">
        <v>323</v>
      </c>
      <c r="G28" s="42"/>
      <c r="H28" s="43">
        <f t="shared" si="0"/>
        <v>656</v>
      </c>
      <c r="I28" s="44">
        <f t="shared" si="1"/>
        <v>328</v>
      </c>
      <c r="J28" s="45">
        <f t="shared" si="2"/>
        <v>2</v>
      </c>
      <c r="K28" s="46">
        <v>0.875</v>
      </c>
      <c r="L28" s="47">
        <v>1800</v>
      </c>
      <c r="M28" s="54">
        <v>156.9</v>
      </c>
      <c r="N28" s="49">
        <f t="shared" si="3"/>
        <v>599.999999999795</v>
      </c>
      <c r="O28" s="56"/>
      <c r="P28" s="51"/>
      <c r="Q28" s="52"/>
      <c r="R28" s="52"/>
      <c r="S28" s="52"/>
      <c r="T28" s="52"/>
      <c r="U28" s="53"/>
    </row>
    <row r="29" s="3" customFormat="1" ht="15" customHeight="1" spans="1:21">
      <c r="A29" s="40">
        <v>0.916666666666667</v>
      </c>
      <c r="B29" s="41" t="s">
        <v>11</v>
      </c>
      <c r="C29" s="42"/>
      <c r="D29" s="41">
        <v>309</v>
      </c>
      <c r="E29" s="42"/>
      <c r="F29" s="41">
        <v>317</v>
      </c>
      <c r="G29" s="42"/>
      <c r="H29" s="43">
        <f t="shared" si="0"/>
        <v>626</v>
      </c>
      <c r="I29" s="44">
        <f t="shared" si="1"/>
        <v>313</v>
      </c>
      <c r="J29" s="45">
        <f t="shared" si="2"/>
        <v>2</v>
      </c>
      <c r="K29" s="46">
        <v>0.916666666666666</v>
      </c>
      <c r="L29" s="47">
        <v>1800</v>
      </c>
      <c r="M29" s="54">
        <v>156.95</v>
      </c>
      <c r="N29" s="49">
        <f t="shared" si="3"/>
        <v>600.000000000136</v>
      </c>
      <c r="O29" s="56"/>
      <c r="P29" s="51"/>
      <c r="Q29" s="52"/>
      <c r="R29" s="52"/>
      <c r="S29" s="52"/>
      <c r="T29" s="52"/>
      <c r="U29" s="53"/>
    </row>
    <row r="30" s="3" customFormat="1" ht="15" customHeight="1" spans="1:21">
      <c r="A30" s="40">
        <v>0.958333333333334</v>
      </c>
      <c r="B30" s="41" t="s">
        <v>11</v>
      </c>
      <c r="C30" s="42"/>
      <c r="D30" s="41">
        <v>281</v>
      </c>
      <c r="E30" s="42"/>
      <c r="F30" s="41">
        <v>297</v>
      </c>
      <c r="G30" s="42"/>
      <c r="H30" s="43">
        <f t="shared" si="0"/>
        <v>578</v>
      </c>
      <c r="I30" s="44">
        <f t="shared" si="1"/>
        <v>289</v>
      </c>
      <c r="J30" s="45">
        <f t="shared" si="2"/>
        <v>2</v>
      </c>
      <c r="K30" s="46">
        <v>0.958333333333333</v>
      </c>
      <c r="L30" s="47">
        <v>1800</v>
      </c>
      <c r="M30" s="54">
        <v>157</v>
      </c>
      <c r="N30" s="49">
        <f t="shared" si="3"/>
        <v>720.000000000027</v>
      </c>
      <c r="O30" s="56"/>
      <c r="P30" s="51"/>
      <c r="Q30" s="52"/>
      <c r="R30" s="52"/>
      <c r="S30" s="52"/>
      <c r="T30" s="52"/>
      <c r="U30" s="53"/>
    </row>
    <row r="31" s="2" customFormat="1" ht="15" customHeight="1" spans="1:21">
      <c r="A31" s="57">
        <v>1</v>
      </c>
      <c r="B31" s="41" t="s">
        <v>11</v>
      </c>
      <c r="C31" s="42"/>
      <c r="D31" s="41">
        <v>263</v>
      </c>
      <c r="E31" s="42"/>
      <c r="F31" s="41">
        <v>289</v>
      </c>
      <c r="G31" s="42"/>
      <c r="H31" s="43">
        <f t="shared" si="0"/>
        <v>552</v>
      </c>
      <c r="I31" s="58">
        <f t="shared" si="1"/>
        <v>276</v>
      </c>
      <c r="J31" s="59">
        <f t="shared" si="2"/>
        <v>2</v>
      </c>
      <c r="K31" s="60">
        <v>1</v>
      </c>
      <c r="L31" s="47">
        <v>4500</v>
      </c>
      <c r="M31" s="61">
        <v>157.06</v>
      </c>
      <c r="N31" s="49">
        <f>H31</f>
        <v>552</v>
      </c>
      <c r="O31" s="56"/>
      <c r="P31" s="51"/>
      <c r="Q31" s="52"/>
      <c r="R31" s="52"/>
      <c r="S31" s="52"/>
      <c r="T31" s="52"/>
      <c r="U31" s="53"/>
    </row>
    <row r="32" s="3" customFormat="1" ht="23.25" customHeight="1" spans="1:21">
      <c r="A32" s="62" t="s">
        <v>12</v>
      </c>
      <c r="B32" s="63">
        <f>SUM(B8:B31)/1000</f>
        <v>0</v>
      </c>
      <c r="C32" s="64"/>
      <c r="D32" s="63">
        <f>SUM(D8:D31)/1000</f>
        <v>6.022</v>
      </c>
      <c r="E32" s="64"/>
      <c r="F32" s="63">
        <f>SUM(F8:F31)/1000</f>
        <v>6.439</v>
      </c>
      <c r="G32" s="64"/>
      <c r="H32" s="65">
        <f>SUM(H8:H31)</f>
        <v>12461</v>
      </c>
      <c r="I32" s="66" t="s">
        <v>13</v>
      </c>
      <c r="J32" s="67"/>
      <c r="K32" s="68"/>
      <c r="L32" s="69"/>
      <c r="M32" s="70">
        <f>SUM(M31-M8+N8)</f>
        <v>601.110000000136</v>
      </c>
      <c r="N32" s="71">
        <f>SUM(N8:N31)</f>
        <v>13872.0000000002</v>
      </c>
      <c r="O32" s="72">
        <f>SUM(O8:O31)</f>
        <v>0</v>
      </c>
      <c r="P32" s="73"/>
      <c r="Q32" s="74"/>
      <c r="R32" s="74"/>
      <c r="S32" s="74"/>
      <c r="T32" s="74"/>
      <c r="U32" s="75"/>
    </row>
    <row r="33" ht="15" customHeight="1" spans="1:29">
      <c r="A33" s="76" t="s">
        <v>14</v>
      </c>
      <c r="B33" s="77" t="str">
        <f>IFERROR((AVERAGE(B8:B31)),"0")</f>
        <v>0</v>
      </c>
      <c r="C33" s="78"/>
      <c r="D33" s="79">
        <f>IFERROR((AVERAGE(D8:D31)),"0")</f>
        <v>301.1</v>
      </c>
      <c r="E33" s="78"/>
      <c r="F33" s="79">
        <f>IFERROR((AVERAGE(F8:F31)),"0")</f>
        <v>306.619047619048</v>
      </c>
      <c r="G33" s="80"/>
      <c r="H33" s="81">
        <f>H32*1000</f>
        <v>12461000</v>
      </c>
      <c r="I33" s="82" t="s">
        <v>15</v>
      </c>
      <c r="J33" s="83"/>
      <c r="K33" s="84"/>
      <c r="L33" s="85"/>
      <c r="M33" s="86"/>
      <c r="N33" s="85"/>
      <c r="O33" s="87"/>
      <c r="P33" s="87"/>
      <c r="Q33" s="88"/>
      <c r="R33" s="88"/>
      <c r="S33" s="89"/>
      <c r="T33" s="89"/>
      <c r="U33" s="89"/>
      <c r="V33" s="89"/>
    </row>
    <row r="34" ht="18.75" customHeight="1" spans="1:29">
      <c r="A34" s="90"/>
      <c r="B34" s="91"/>
      <c r="C34" s="92"/>
      <c r="D34" s="93"/>
      <c r="E34" s="92"/>
      <c r="F34" s="93"/>
      <c r="G34" s="94"/>
      <c r="H34" s="95"/>
      <c r="I34" s="96"/>
      <c r="J34" s="97"/>
      <c r="K34" s="98"/>
      <c r="L34" s="85"/>
      <c r="M34" s="86"/>
      <c r="N34" s="99"/>
      <c r="O34" s="99"/>
      <c r="P34" s="99"/>
      <c r="Q34" s="99"/>
      <c r="R34" s="88"/>
      <c r="S34" s="89"/>
      <c r="T34" s="89"/>
      <c r="U34" s="89"/>
      <c r="V34" s="89"/>
    </row>
    <row r="35" ht="22.5" customHeight="1" spans="1:29">
      <c r="A35" s="100" t="s">
        <v>16</v>
      </c>
      <c r="B35" s="101">
        <f>COUNT(B8:B31)</f>
        <v>0</v>
      </c>
      <c r="C35" s="102"/>
      <c r="D35" s="103">
        <f>COUNT(D8:D31)</f>
        <v>20</v>
      </c>
      <c r="E35" s="102"/>
      <c r="F35" s="103">
        <f>COUNT(F8:F31)</f>
        <v>21</v>
      </c>
      <c r="G35" s="104"/>
      <c r="H35" s="105"/>
      <c r="I35" s="106"/>
      <c r="J35" s="107"/>
      <c r="K35" s="107"/>
      <c r="L35" s="107"/>
      <c r="M35" s="107"/>
      <c r="N35" s="99"/>
      <c r="O35" s="99"/>
      <c r="P35" s="99"/>
      <c r="Q35" s="99"/>
      <c r="R35" s="108"/>
      <c r="S35" s="89"/>
      <c r="T35" s="89"/>
      <c r="U35" s="89"/>
      <c r="V35" s="89"/>
    </row>
    <row r="36" ht="9" customHeight="1" spans="1:29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10"/>
      <c r="N36" s="106"/>
      <c r="O36" s="107"/>
      <c r="P36" s="107"/>
      <c r="Q36" s="107"/>
      <c r="R36" s="107"/>
      <c r="S36" s="107"/>
      <c r="T36" s="107"/>
      <c r="U36" s="111"/>
      <c r="V36" s="112"/>
      <c r="W36" s="108"/>
      <c r="X36" s="108"/>
      <c r="Y36" s="108"/>
      <c r="Z36" s="89"/>
      <c r="AA36" s="89"/>
      <c r="AB36" s="89"/>
      <c r="AC36" s="89"/>
    </row>
    <row r="37" ht="24" customHeight="1" spans="1:29">
      <c r="D37" s="113"/>
      <c r="E37" s="113"/>
      <c r="F37" s="113"/>
      <c r="G37" s="113"/>
      <c r="H37" s="113"/>
      <c r="I37" s="113"/>
      <c r="J37" s="113"/>
      <c r="K37" s="114"/>
      <c r="L37" s="114"/>
      <c r="N37" s="115" t="s">
        <v>17</v>
      </c>
      <c r="O37" s="116"/>
      <c r="P37" s="116"/>
      <c r="Q37" s="117"/>
      <c r="R37" s="118">
        <f>SUM(B35:F35)</f>
        <v>41</v>
      </c>
      <c r="S37" s="69"/>
      <c r="T37" s="69"/>
      <c r="U37" s="69"/>
      <c r="V37" s="69"/>
      <c r="X37" s="119"/>
      <c r="Y37" s="119"/>
      <c r="Z37" s="119"/>
      <c r="AA37" s="119"/>
      <c r="AB37" s="119"/>
      <c r="AC37" s="114"/>
    </row>
    <row r="38" ht="15" spans="1:29">
      <c r="D38" s="113"/>
      <c r="E38" s="113"/>
      <c r="F38" s="113"/>
      <c r="G38" s="113"/>
      <c r="H38" s="113"/>
      <c r="I38" s="113"/>
      <c r="J38" s="113"/>
      <c r="K38" s="114"/>
      <c r="L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</row>
    <row r="39" ht="24.75" customHeight="1" spans="1:29">
      <c r="A39" s="120" t="s">
        <v>18</v>
      </c>
      <c r="B39" s="121"/>
      <c r="C39" s="122">
        <f>MAX(H8:H31)</f>
        <v>701</v>
      </c>
      <c r="D39" s="123"/>
      <c r="E39" s="124">
        <f>VLOOKUP(C39,H8:L31,4,FALSE)</f>
        <v>0.833333333333333</v>
      </c>
      <c r="F39" s="125"/>
      <c r="G39" s="125"/>
      <c r="H39" s="126" t="s">
        <v>19</v>
      </c>
      <c r="I39" s="127"/>
      <c r="J39" s="128"/>
      <c r="K39" s="129">
        <f>MAX(J8:J31)</f>
        <v>2</v>
      </c>
      <c r="L39" s="130"/>
      <c r="N39" s="131" t="s">
        <v>20</v>
      </c>
      <c r="O39" s="132"/>
      <c r="P39" s="132"/>
      <c r="Q39" s="133"/>
      <c r="R39" s="134">
        <f>AVERAGE(H8:H31)</f>
        <v>519.208333333333</v>
      </c>
      <c r="S39" s="135"/>
      <c r="T39" s="135"/>
    </row>
    <row r="40" ht="15" spans="1:29">
      <c r="C40" s="136"/>
      <c r="D40" s="137"/>
      <c r="E40" s="138"/>
      <c r="F40" s="138"/>
      <c r="G40" s="138"/>
      <c r="H40" s="138"/>
      <c r="I40" s="139"/>
      <c r="J40" s="106"/>
      <c r="K40" s="110"/>
      <c r="L40" s="110"/>
      <c r="N40" s="140"/>
      <c r="O40" s="140"/>
      <c r="P40" s="140"/>
      <c r="Q40" s="140"/>
      <c r="R40" s="140"/>
      <c r="X40" s="5"/>
      <c r="Y40" s="5"/>
      <c r="Z40" s="5"/>
      <c r="AA40" s="5"/>
      <c r="AB40" s="5"/>
      <c r="AC40" s="141"/>
    </row>
    <row r="41" ht="24.75" customHeight="1" spans="1:29">
      <c r="A41" s="120" t="s">
        <v>21</v>
      </c>
      <c r="B41" s="121"/>
      <c r="C41" s="122">
        <f>MIN(H8:H31)</f>
        <v>440</v>
      </c>
      <c r="D41" s="123"/>
      <c r="E41" s="124">
        <f>VLOOKUP(C41,H8:L31,4,FALSE)</f>
        <v>0.166666666666667</v>
      </c>
      <c r="F41" s="142"/>
      <c r="G41" s="125"/>
      <c r="H41" s="126" t="s">
        <v>22</v>
      </c>
      <c r="I41" s="127"/>
      <c r="J41" s="128"/>
      <c r="K41" s="129">
        <f>MIN(J8:J31)</f>
        <v>1</v>
      </c>
      <c r="L41" s="130"/>
      <c r="N41" s="126" t="s">
        <v>23</v>
      </c>
      <c r="O41" s="127"/>
      <c r="P41" s="127"/>
      <c r="Q41" s="128"/>
      <c r="R41" s="143">
        <f>AVERAGE(I8:I31)</f>
        <v>325.479166666667</v>
      </c>
      <c r="S41" s="144"/>
      <c r="T41" s="144"/>
      <c r="U41" s="144"/>
      <c r="V41" s="144"/>
      <c r="X41" s="145"/>
    </row>
    <row r="42" ht="15" spans="1:29">
      <c r="D42" s="138"/>
      <c r="E42" s="138"/>
      <c r="F42" s="138"/>
      <c r="G42" s="138"/>
      <c r="H42" s="138"/>
      <c r="I42" s="146"/>
      <c r="J42" s="138"/>
      <c r="K42" s="147"/>
      <c r="L42" s="147"/>
      <c r="V42" s="148"/>
      <c r="W42" s="148"/>
      <c r="X42" s="149"/>
      <c r="Y42" s="149"/>
      <c r="Z42" s="150"/>
      <c r="AA42" s="150"/>
      <c r="AB42" s="150"/>
      <c r="AC42" s="150"/>
    </row>
    <row r="43" ht="24.75" customHeight="1" spans="1:29">
      <c r="C43" s="136"/>
      <c r="H43" s="151"/>
      <c r="I43" s="151"/>
      <c r="J43" s="151"/>
      <c r="K43" s="145"/>
      <c r="L43" s="139"/>
      <c r="N43" s="152" t="s">
        <v>24</v>
      </c>
      <c r="O43" s="153"/>
      <c r="P43" s="153"/>
      <c r="Q43" s="154"/>
      <c r="R43" s="155" t="e">
        <f>AVERAGE(T8:T31)</f>
        <v>#DIV/0!</v>
      </c>
      <c r="X43" s="156"/>
      <c r="Z43" s="157"/>
      <c r="AA43" s="157"/>
      <c r="AB43" s="157"/>
      <c r="AC43" s="157"/>
    </row>
    <row r="44" ht="19.5" spans="1:29">
      <c r="I44" s="158"/>
      <c r="K44" s="159"/>
      <c r="L44" s="159"/>
      <c r="Z44" s="160"/>
      <c r="AA44" s="160"/>
      <c r="AB44" s="160"/>
      <c r="AC44" s="160"/>
    </row>
    <row r="45" ht="24.75" customHeight="1" spans="1:29">
      <c r="D45" s="158"/>
      <c r="E45" s="158"/>
      <c r="F45" s="158"/>
      <c r="G45" s="158"/>
      <c r="H45" s="158"/>
      <c r="N45" s="126" t="s">
        <v>25</v>
      </c>
      <c r="O45" s="127"/>
      <c r="P45" s="127"/>
      <c r="Q45" s="128"/>
      <c r="R45" s="161">
        <f>SUM(M32-H32)/24</f>
        <v>-494.162083333328</v>
      </c>
      <c r="X45" s="162"/>
      <c r="Z45" s="163"/>
      <c r="AA45" s="163"/>
      <c r="AB45" s="163"/>
      <c r="AC45" s="163"/>
    </row>
    <row r="46" spans="1:29">
      <c r="Z46" s="164"/>
      <c r="AA46" s="164"/>
      <c r="AB46" s="164"/>
      <c r="AC46" s="164"/>
    </row>
    <row r="47" spans="1:29">
      <c r="Z47" s="139"/>
      <c r="AA47" s="139"/>
      <c r="AB47" s="139"/>
      <c r="AC47" s="139"/>
    </row>
    <row r="48" spans="1:29">
      <c r="Z48" s="139"/>
      <c r="AA48" s="139"/>
      <c r="AB48" s="139"/>
      <c r="AC48" s="139"/>
    </row>
    <row r="49" spans="11:29">
      <c r="Z49" s="157"/>
      <c r="AA49" s="157"/>
      <c r="AB49" s="157"/>
      <c r="AC49" s="157"/>
    </row>
    <row r="50" spans="11:29">
      <c r="Z50" s="157"/>
      <c r="AA50" s="157"/>
      <c r="AB50" s="157"/>
      <c r="AC50" s="157"/>
    </row>
    <row r="51" spans="11:29">
      <c r="K51" s="150"/>
      <c r="L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0"/>
      <c r="AC51" s="150"/>
    </row>
    <row r="52" spans="11:29">
      <c r="K52" s="150"/>
      <c r="L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  <c r="AB52" s="150"/>
      <c r="AC52" s="150"/>
    </row>
    <row r="53" spans="11:29">
      <c r="K53" s="150"/>
      <c r="L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50"/>
      <c r="AB53" s="150"/>
      <c r="AC53" s="150"/>
    </row>
    <row r="60" spans="11:29">
      <c r="O60" s="165"/>
      <c r="P60" s="165"/>
      <c r="Q60" s="165"/>
      <c r="R60" s="165"/>
      <c r="S60" s="165"/>
      <c r="T60" s="165"/>
    </row>
    <row r="61" spans="11:29">
      <c r="O61" s="165"/>
      <c r="P61" s="165"/>
      <c r="Q61" s="165"/>
      <c r="R61" s="165"/>
      <c r="S61" s="165"/>
      <c r="T61" s="165"/>
    </row>
    <row r="62" spans="11:29">
      <c r="O62" s="165"/>
      <c r="P62" s="165"/>
      <c r="Q62" s="165"/>
      <c r="R62" s="165"/>
      <c r="S62" s="165"/>
      <c r="T62" s="165"/>
    </row>
    <row r="63" spans="11:29">
      <c r="O63" s="165"/>
      <c r="P63" s="165"/>
      <c r="Q63" s="165"/>
      <c r="R63" s="165"/>
      <c r="S63" s="165"/>
      <c r="T63" s="165"/>
    </row>
    <row r="64" spans="11:29">
      <c r="O64" s="165"/>
      <c r="P64" s="165"/>
      <c r="Q64" s="165"/>
      <c r="R64" s="165"/>
      <c r="S64" s="165"/>
      <c r="T64" s="165"/>
    </row>
    <row r="65" spans="15:20">
      <c r="O65" s="165"/>
      <c r="P65" s="165"/>
      <c r="Q65" s="165"/>
      <c r="R65" s="165"/>
      <c r="S65" s="165"/>
      <c r="T65" s="165"/>
    </row>
    <row r="66" spans="15:20">
      <c r="O66" s="165"/>
      <c r="P66" s="165"/>
      <c r="Q66" s="165"/>
      <c r="R66" s="165"/>
      <c r="S66" s="165"/>
      <c r="T66" s="165"/>
    </row>
    <row r="67" spans="15:20">
      <c r="O67" s="165"/>
      <c r="P67" s="165"/>
      <c r="Q67" s="165"/>
      <c r="R67" s="165"/>
      <c r="S67" s="165"/>
      <c r="T67" s="165"/>
    </row>
    <row r="68" spans="15:20">
      <c r="O68" s="165"/>
      <c r="P68" s="165"/>
      <c r="Q68" s="165"/>
      <c r="R68" s="165"/>
      <c r="S68" s="165"/>
      <c r="T68" s="165"/>
    </row>
  </sheetData>
  <mergeCells count="116">
    <mergeCell ref="H4:K4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B29:C29"/>
    <mergeCell ref="D29:E29"/>
    <mergeCell ref="F29:G2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N34:Q34"/>
    <mergeCell ref="B35:C35"/>
    <mergeCell ref="D35:E35"/>
    <mergeCell ref="F35:G35"/>
    <mergeCell ref="N35:Q35"/>
    <mergeCell ref="N37:Q37"/>
    <mergeCell ref="A39:B39"/>
    <mergeCell ref="C39:D39"/>
    <mergeCell ref="H39:J39"/>
    <mergeCell ref="N39:Q39"/>
    <mergeCell ref="A41:B41"/>
    <mergeCell ref="C41:D41"/>
    <mergeCell ref="H41:J41"/>
    <mergeCell ref="N41:Q41"/>
    <mergeCell ref="H43:J43"/>
    <mergeCell ref="N43:Q43"/>
    <mergeCell ref="N45:Q45"/>
    <mergeCell ref="A6:A7"/>
    <mergeCell ref="A33:A34"/>
    <mergeCell ref="H6:H7"/>
    <mergeCell ref="H33:H34"/>
    <mergeCell ref="I6:I7"/>
    <mergeCell ref="I33:I34"/>
    <mergeCell ref="J6:J7"/>
    <mergeCell ref="K6:K7"/>
    <mergeCell ref="L6:L7"/>
    <mergeCell ref="M6:M7"/>
    <mergeCell ref="N6:N7"/>
    <mergeCell ref="O6:O7"/>
    <mergeCell ref="T6:T7"/>
    <mergeCell ref="U6:U7"/>
    <mergeCell ref="B33:C34"/>
    <mergeCell ref="D33:E34"/>
    <mergeCell ref="F33:G34"/>
  </mergeCells>
  <conditionalFormatting sqref="O8">
    <cfRule type="cellIs" dxfId="0" priority="10" operator="equal">
      <formula>"N/A"</formula>
    </cfRule>
  </conditionalFormatting>
  <conditionalFormatting sqref="A30">
    <cfRule type="cellIs" dxfId="1" priority="11" operator="equal">
      <formula>"STB"</formula>
    </cfRule>
    <cfRule type="cellIs" dxfId="0" priority="12" operator="equal">
      <formula>"BD"</formula>
    </cfRule>
  </conditionalFormatting>
  <conditionalFormatting sqref="B8:B31">
    <cfRule type="cellIs" dxfId="1" priority="1" operator="equal">
      <formula>"STB"</formula>
    </cfRule>
    <cfRule type="cellIs" dxfId="0" priority="2" operator="equal">
      <formula>"BD"</formula>
    </cfRule>
  </conditionalFormatting>
  <conditionalFormatting sqref="D8:D31">
    <cfRule type="cellIs" dxfId="1" priority="8" operator="equal">
      <formula>"STB"</formula>
    </cfRule>
    <cfRule type="cellIs" dxfId="0" priority="9" operator="equal">
      <formula>"BD"</formula>
    </cfRule>
  </conditionalFormatting>
  <conditionalFormatting sqref="F8:F31">
    <cfRule type="cellIs" dxfId="1" priority="3" operator="equal">
      <formula>"STB"</formula>
    </cfRule>
    <cfRule type="cellIs" dxfId="0" priority="4" operator="equal">
      <formula>"BD"</formula>
    </cfRule>
  </conditionalFormatting>
  <conditionalFormatting sqref="H8:H31">
    <cfRule type="top10" dxfId="2" priority="5" bottom="1" rank="1"/>
    <cfRule type="top10" dxfId="3" priority="6" rank="1"/>
    <cfRule type="cellIs" dxfId="4" priority="7" stopIfTrue="1" operator="equal">
      <formula>28000</formula>
    </cfRule>
  </conditionalFormatting>
  <conditionalFormatting sqref="H32:H33">
    <cfRule type="top10" dxfId="2" priority="14" bottom="1" rank="1"/>
    <cfRule type="top10" dxfId="3" priority="15" rank="1"/>
    <cfRule type="cellIs" dxfId="4" priority="17" stopIfTrue="1" operator="equal">
      <formula>28000</formula>
    </cfRule>
  </conditionalFormatting>
  <conditionalFormatting sqref="Y8:Y31">
    <cfRule type="containsText" dxfId="5" priority="13" operator="between" text="-">
      <formula>NOT(ISERROR(SEARCH("-",Y8)))</formula>
    </cfRule>
  </conditionalFormatting>
  <conditionalFormatting sqref="N8 N9:O31">
    <cfRule type="cellIs" dxfId="0" priority="16" operator="equal">
      <formula>"BD"</formula>
    </cfRule>
  </conditionalFormatting>
  <pageMargins left="0.7" right="0.7" top="0.75" bottom="0.75" header="0.3" footer="0.3"/>
  <pageSetup paperSize="1" orientation="portrait" verticalDpi="36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C68"/>
  <sheetViews>
    <sheetView zoomScale="80" zoomScaleNormal="80" workbookViewId="0">
      <pane ySplit="7" topLeftCell="A9" activePane="bottomLeft" state="frozen"/>
      <selection/>
      <selection pane="bottomLeft" activeCell="A3" sqref="$A3:$XFD3"/>
    </sheetView>
  </sheetViews>
  <sheetFormatPr defaultColWidth="8.81666666666667" defaultRowHeight="14.25"/>
  <cols>
    <col min="1" max="1" width="16.725" customWidth="1"/>
    <col min="2" max="2" width="8.725" customWidth="1"/>
    <col min="3" max="7" width="5.725" customWidth="1"/>
    <col min="8" max="8" width="14.2666666666667" customWidth="1"/>
    <col min="9" max="9" width="15.1833333333333" customWidth="1"/>
    <col min="10" max="10" width="15.5416666666667" customWidth="1"/>
    <col min="11" max="11" width="7" customWidth="1"/>
    <col min="12" max="12" width="8.54166666666667" customWidth="1"/>
    <col min="13" max="13" width="11.725" style="5" customWidth="1"/>
    <col min="14" max="14" width="17.1833333333333" customWidth="1"/>
    <col min="15" max="15" width="15.45" customWidth="1"/>
    <col min="16" max="16" width="7.45" customWidth="1"/>
    <col min="17" max="17" width="9.54166666666667" customWidth="1"/>
    <col min="18" max="18" width="10" customWidth="1"/>
    <col min="19" max="20" width="9.81666666666667" customWidth="1"/>
    <col min="21" max="21" width="6.725" customWidth="1"/>
    <col min="22" max="22" width="13.8166666666667" customWidth="1"/>
    <col min="23" max="23" width="11.2666666666667" customWidth="1"/>
    <col min="24" max="24" width="9.26666666666667" customWidth="1"/>
    <col min="25" max="25" width="3.725" customWidth="1"/>
    <col min="26" max="29" width="7.725" customWidth="1"/>
    <col min="30" max="30" width="6.725" customWidth="1"/>
  </cols>
  <sheetData>
    <row r="1" ht="3" customHeight="1"/>
    <row r="2" ht="6" customHeight="1" spans="1:2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="1" customFormat="1" ht="6.75" customHeight="1" spans="1:29">
      <c r="K3" s="7"/>
      <c r="L3" s="8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17.25" customHeight="1" spans="1:29">
      <c r="A4" s="1"/>
      <c r="B4" s="10"/>
      <c r="C4" s="10"/>
      <c r="D4" s="10"/>
      <c r="E4" s="11"/>
      <c r="F4" s="11"/>
      <c r="G4" s="11"/>
      <c r="H4" s="12">
        <f>'[4]Taniwel daily'!C4</f>
        <v>45295</v>
      </c>
      <c r="I4" s="13"/>
      <c r="J4" s="13"/>
      <c r="K4" s="14"/>
      <c r="L4" s="15"/>
      <c r="M4" s="16"/>
      <c r="N4" s="10"/>
      <c r="O4" s="10"/>
      <c r="P4" s="10"/>
      <c r="Q4" s="10"/>
      <c r="R4" s="10"/>
      <c r="S4" s="10"/>
      <c r="T4" s="10"/>
      <c r="U4" s="10"/>
      <c r="V4" s="7"/>
      <c r="W4" s="7"/>
      <c r="X4" s="7"/>
      <c r="Y4" s="7"/>
      <c r="Z4" s="7"/>
      <c r="AA4" s="7"/>
      <c r="AB4" s="7"/>
      <c r="AC4" s="7"/>
    </row>
    <row r="5" ht="7.5" customHeight="1" spans="1:29">
      <c r="A5" s="1"/>
      <c r="B5" s="17"/>
      <c r="C5" s="1"/>
      <c r="D5" s="1"/>
      <c r="E5" s="1"/>
      <c r="F5" s="1"/>
      <c r="G5" s="1"/>
      <c r="H5" s="1"/>
      <c r="I5" s="1"/>
      <c r="J5" s="1"/>
      <c r="K5" s="18"/>
      <c r="L5" s="7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ht="17.25" customHeight="1" spans="1:29">
      <c r="A6" s="19" t="s">
        <v>0</v>
      </c>
      <c r="B6" s="20" t="s">
        <v>1</v>
      </c>
      <c r="C6" s="21"/>
      <c r="D6" s="20" t="s">
        <v>2</v>
      </c>
      <c r="E6" s="21"/>
      <c r="F6" s="20" t="s">
        <v>3</v>
      </c>
      <c r="G6" s="21"/>
      <c r="H6" s="22" t="s">
        <v>4</v>
      </c>
      <c r="I6" s="22" t="s">
        <v>5</v>
      </c>
      <c r="J6" s="23" t="s">
        <v>6</v>
      </c>
      <c r="K6" s="19" t="s">
        <v>0</v>
      </c>
      <c r="L6" s="24" t="s">
        <v>7</v>
      </c>
      <c r="M6" s="25" t="s">
        <v>8</v>
      </c>
      <c r="N6" s="26" t="s">
        <v>9</v>
      </c>
      <c r="O6" s="25" t="s">
        <v>10</v>
      </c>
      <c r="P6" s="27"/>
      <c r="Q6" s="28"/>
      <c r="R6" s="28"/>
      <c r="S6" s="28"/>
      <c r="T6" s="28"/>
      <c r="U6" s="29"/>
    </row>
    <row r="7" ht="15.75" customHeight="1" spans="1:29">
      <c r="A7" s="30"/>
      <c r="B7" s="31">
        <v>1</v>
      </c>
      <c r="C7" s="32"/>
      <c r="D7" s="31">
        <v>2</v>
      </c>
      <c r="E7" s="32"/>
      <c r="F7" s="31">
        <v>3</v>
      </c>
      <c r="G7" s="32"/>
      <c r="H7" s="33"/>
      <c r="I7" s="33"/>
      <c r="J7" s="34"/>
      <c r="K7" s="30"/>
      <c r="L7" s="35"/>
      <c r="M7" s="36"/>
      <c r="N7" s="37"/>
      <c r="O7" s="38"/>
      <c r="P7" s="27"/>
      <c r="Q7" s="28"/>
      <c r="R7" s="28"/>
      <c r="S7" s="28"/>
      <c r="T7" s="28"/>
      <c r="U7" s="29"/>
      <c r="X7" s="39"/>
    </row>
    <row r="8" s="2" customFormat="1" ht="15" customHeight="1" spans="1:29">
      <c r="A8" s="40">
        <v>0.0416666666666666</v>
      </c>
      <c r="B8" s="41" t="s">
        <v>11</v>
      </c>
      <c r="C8" s="42"/>
      <c r="D8" s="41">
        <v>260</v>
      </c>
      <c r="E8" s="42"/>
      <c r="F8" s="41">
        <v>257</v>
      </c>
      <c r="G8" s="42"/>
      <c r="H8" s="43">
        <f t="shared" ref="H8:H31" si="0">IF(SUM(B8:G8)/1000=0,"0",SUM(B8:G8))</f>
        <v>517</v>
      </c>
      <c r="I8" s="44">
        <f t="shared" ref="I8:I31" si="1">IFERROR(AVERAGE(B8:G8),"0")</f>
        <v>258.5</v>
      </c>
      <c r="J8" s="45">
        <f t="shared" ref="J8:J31" si="2">COUNT(B8:G8)</f>
        <v>2</v>
      </c>
      <c r="K8" s="46">
        <v>0.0416666666666667</v>
      </c>
      <c r="L8" s="47">
        <v>4500</v>
      </c>
      <c r="M8" s="48">
        <v>157.11</v>
      </c>
      <c r="N8" s="49">
        <f>(M9-M8)*12000</f>
        <v>599.999999999795</v>
      </c>
      <c r="O8" s="50"/>
      <c r="P8" s="51"/>
      <c r="Q8" s="52"/>
      <c r="R8" s="52"/>
      <c r="S8" s="52"/>
      <c r="T8" s="52"/>
      <c r="U8" s="53"/>
    </row>
    <row r="9" s="3" customFormat="1" ht="15" customHeight="1" spans="1:29">
      <c r="A9" s="40">
        <v>0.0833333333333333</v>
      </c>
      <c r="B9" s="41" t="s">
        <v>11</v>
      </c>
      <c r="C9" s="42"/>
      <c r="D9" s="41">
        <v>255</v>
      </c>
      <c r="E9" s="42"/>
      <c r="F9" s="41">
        <v>260</v>
      </c>
      <c r="G9" s="42"/>
      <c r="H9" s="43">
        <f t="shared" si="0"/>
        <v>515</v>
      </c>
      <c r="I9" s="44">
        <f t="shared" si="1"/>
        <v>257.5</v>
      </c>
      <c r="J9" s="45">
        <f t="shared" si="2"/>
        <v>2</v>
      </c>
      <c r="K9" s="46">
        <v>0.0833333333333333</v>
      </c>
      <c r="L9" s="47">
        <v>4200</v>
      </c>
      <c r="M9" s="54">
        <v>157.16</v>
      </c>
      <c r="N9" s="49">
        <f t="shared" ref="N9:N30" si="3">(M10-M9)*12000</f>
        <v>600.000000000136</v>
      </c>
      <c r="O9" s="55"/>
      <c r="P9" s="51"/>
      <c r="Q9" s="52"/>
      <c r="R9" s="52"/>
      <c r="S9" s="52"/>
      <c r="T9" s="52"/>
      <c r="U9" s="53"/>
    </row>
    <row r="10" s="3" customFormat="1" ht="15" customHeight="1" spans="1:29">
      <c r="A10" s="40">
        <v>0.125</v>
      </c>
      <c r="B10" s="41" t="s">
        <v>11</v>
      </c>
      <c r="C10" s="42"/>
      <c r="D10" s="41">
        <v>249</v>
      </c>
      <c r="E10" s="42"/>
      <c r="F10" s="41">
        <v>262</v>
      </c>
      <c r="G10" s="42"/>
      <c r="H10" s="43">
        <f t="shared" si="0"/>
        <v>511</v>
      </c>
      <c r="I10" s="44">
        <f t="shared" si="1"/>
        <v>255.5</v>
      </c>
      <c r="J10" s="45">
        <f t="shared" si="2"/>
        <v>2</v>
      </c>
      <c r="K10" s="46">
        <v>0.125</v>
      </c>
      <c r="L10" s="47">
        <v>4200</v>
      </c>
      <c r="M10" s="54">
        <v>157.21</v>
      </c>
      <c r="N10" s="49">
        <f t="shared" si="3"/>
        <v>479.999999999905</v>
      </c>
      <c r="O10" s="56"/>
      <c r="P10" s="51"/>
      <c r="Q10" s="52"/>
      <c r="R10" s="52"/>
      <c r="S10" s="52"/>
      <c r="T10" s="52"/>
      <c r="U10" s="53"/>
    </row>
    <row r="11" s="3" customFormat="1" ht="15" customHeight="1" spans="1:29">
      <c r="A11" s="40">
        <v>0.166666666666667</v>
      </c>
      <c r="B11" s="41" t="s">
        <v>11</v>
      </c>
      <c r="C11" s="42"/>
      <c r="D11" s="41">
        <v>247</v>
      </c>
      <c r="E11" s="42"/>
      <c r="F11" s="41">
        <v>260</v>
      </c>
      <c r="G11" s="42"/>
      <c r="H11" s="43">
        <f t="shared" si="0"/>
        <v>507</v>
      </c>
      <c r="I11" s="44">
        <f t="shared" si="1"/>
        <v>253.5</v>
      </c>
      <c r="J11" s="45">
        <f t="shared" si="2"/>
        <v>2</v>
      </c>
      <c r="K11" s="46">
        <v>0.166666666666667</v>
      </c>
      <c r="L11" s="47">
        <v>4000</v>
      </c>
      <c r="M11" s="54">
        <v>157.25</v>
      </c>
      <c r="N11" s="49">
        <f t="shared" si="3"/>
        <v>600.000000000136</v>
      </c>
      <c r="O11" s="56"/>
      <c r="P11" s="51"/>
      <c r="Q11" s="52"/>
      <c r="R11" s="52"/>
      <c r="S11" s="52"/>
      <c r="T11" s="52"/>
      <c r="U11" s="53"/>
    </row>
    <row r="12" s="3" customFormat="1" ht="15" customHeight="1" spans="1:29">
      <c r="A12" s="40">
        <v>0.208333333333333</v>
      </c>
      <c r="B12" s="41" t="s">
        <v>11</v>
      </c>
      <c r="C12" s="42"/>
      <c r="D12" s="41">
        <v>252</v>
      </c>
      <c r="E12" s="42"/>
      <c r="F12" s="41">
        <v>250</v>
      </c>
      <c r="G12" s="42"/>
      <c r="H12" s="43">
        <f t="shared" si="0"/>
        <v>502</v>
      </c>
      <c r="I12" s="44">
        <f t="shared" si="1"/>
        <v>251</v>
      </c>
      <c r="J12" s="45">
        <f t="shared" si="2"/>
        <v>2</v>
      </c>
      <c r="K12" s="46">
        <v>0.208333333333333</v>
      </c>
      <c r="L12" s="47">
        <v>3900</v>
      </c>
      <c r="M12" s="54">
        <v>157.3</v>
      </c>
      <c r="N12" s="49">
        <f t="shared" si="3"/>
        <v>479.999999999905</v>
      </c>
      <c r="O12" s="56"/>
      <c r="P12" s="51"/>
      <c r="Q12" s="52"/>
      <c r="R12" s="52"/>
      <c r="S12" s="52"/>
      <c r="T12" s="52"/>
      <c r="U12" s="53"/>
    </row>
    <row r="13" s="3" customFormat="1" ht="15" customHeight="1" spans="1:29">
      <c r="A13" s="40">
        <v>0.25</v>
      </c>
      <c r="B13" s="41" t="s">
        <v>11</v>
      </c>
      <c r="C13" s="42"/>
      <c r="D13" s="41">
        <v>249</v>
      </c>
      <c r="E13" s="42"/>
      <c r="F13" s="41">
        <v>240</v>
      </c>
      <c r="G13" s="42"/>
      <c r="H13" s="43">
        <f t="shared" si="0"/>
        <v>489</v>
      </c>
      <c r="I13" s="44">
        <f t="shared" si="1"/>
        <v>244.5</v>
      </c>
      <c r="J13" s="45">
        <f t="shared" si="2"/>
        <v>2</v>
      </c>
      <c r="K13" s="46">
        <v>0.25</v>
      </c>
      <c r="L13" s="47">
        <v>3600</v>
      </c>
      <c r="M13" s="54">
        <v>157.34</v>
      </c>
      <c r="N13" s="49">
        <f t="shared" si="3"/>
        <v>599.999999999795</v>
      </c>
      <c r="O13" s="56"/>
      <c r="P13" s="51"/>
      <c r="Q13" s="52"/>
      <c r="R13" s="52"/>
      <c r="S13" s="52"/>
      <c r="T13" s="52"/>
      <c r="U13" s="53"/>
    </row>
    <row r="14" s="3" customFormat="1" ht="15" customHeight="1" spans="1:29">
      <c r="A14" s="40">
        <v>0.291666666666667</v>
      </c>
      <c r="B14" s="41" t="s">
        <v>11</v>
      </c>
      <c r="C14" s="42"/>
      <c r="D14" s="41">
        <v>259</v>
      </c>
      <c r="E14" s="42"/>
      <c r="F14" s="41">
        <v>235</v>
      </c>
      <c r="G14" s="42"/>
      <c r="H14" s="43">
        <f t="shared" si="0"/>
        <v>494</v>
      </c>
      <c r="I14" s="44">
        <f t="shared" si="1"/>
        <v>247</v>
      </c>
      <c r="J14" s="45">
        <f t="shared" si="2"/>
        <v>2</v>
      </c>
      <c r="K14" s="46">
        <v>0.291666666666667</v>
      </c>
      <c r="L14" s="47">
        <v>3600</v>
      </c>
      <c r="M14" s="54">
        <v>157.39</v>
      </c>
      <c r="N14" s="49">
        <f t="shared" si="3"/>
        <v>480.000000000246</v>
      </c>
      <c r="O14" s="56"/>
      <c r="P14" s="51"/>
      <c r="Q14" s="52"/>
      <c r="R14" s="52"/>
      <c r="S14" s="52"/>
      <c r="T14" s="52"/>
      <c r="U14" s="53"/>
    </row>
    <row r="15" s="3" customFormat="1" ht="15" customHeight="1" spans="1:29">
      <c r="A15" s="40">
        <v>0.333333333333333</v>
      </c>
      <c r="B15" s="41" t="s">
        <v>11</v>
      </c>
      <c r="C15" s="42"/>
      <c r="D15" s="41">
        <v>248</v>
      </c>
      <c r="E15" s="42"/>
      <c r="F15" s="41">
        <v>234</v>
      </c>
      <c r="G15" s="42"/>
      <c r="H15" s="43">
        <f t="shared" si="0"/>
        <v>482</v>
      </c>
      <c r="I15" s="44">
        <f t="shared" si="1"/>
        <v>241</v>
      </c>
      <c r="J15" s="45">
        <f t="shared" si="2"/>
        <v>2</v>
      </c>
      <c r="K15" s="46">
        <v>0.333333333333333</v>
      </c>
      <c r="L15" s="47">
        <v>3600</v>
      </c>
      <c r="M15" s="54">
        <v>157.43</v>
      </c>
      <c r="N15" s="49">
        <f t="shared" si="3"/>
        <v>599.999999999795</v>
      </c>
      <c r="O15" s="56"/>
      <c r="P15" s="51"/>
      <c r="Q15" s="52"/>
      <c r="R15" s="52"/>
      <c r="S15" s="52"/>
      <c r="T15" s="52"/>
      <c r="U15" s="53"/>
    </row>
    <row r="16" s="3" customFormat="1" ht="15" customHeight="1" spans="1:29">
      <c r="A16" s="40">
        <v>0.375</v>
      </c>
      <c r="B16" s="41" t="s">
        <v>11</v>
      </c>
      <c r="C16" s="42"/>
      <c r="D16" s="41">
        <v>232</v>
      </c>
      <c r="E16" s="42"/>
      <c r="F16" s="41">
        <v>240</v>
      </c>
      <c r="G16" s="42"/>
      <c r="H16" s="43">
        <f t="shared" si="0"/>
        <v>472</v>
      </c>
      <c r="I16" s="44">
        <f t="shared" si="1"/>
        <v>236</v>
      </c>
      <c r="J16" s="45">
        <f t="shared" si="2"/>
        <v>2</v>
      </c>
      <c r="K16" s="46">
        <v>0.375</v>
      </c>
      <c r="L16" s="47">
        <v>3600</v>
      </c>
      <c r="M16" s="54">
        <v>157.48</v>
      </c>
      <c r="N16" s="49">
        <f t="shared" si="3"/>
        <v>480.000000000246</v>
      </c>
      <c r="O16" s="56"/>
      <c r="P16" s="51"/>
      <c r="Q16" s="52"/>
      <c r="R16" s="52"/>
      <c r="S16" s="52"/>
      <c r="T16" s="52"/>
      <c r="U16" s="53"/>
    </row>
    <row r="17" s="3" customFormat="1" ht="15" customHeight="1" spans="1:21">
      <c r="A17" s="40">
        <v>0.416666666666667</v>
      </c>
      <c r="B17" s="41" t="s">
        <v>11</v>
      </c>
      <c r="C17" s="42"/>
      <c r="D17" s="41">
        <v>244</v>
      </c>
      <c r="E17" s="42"/>
      <c r="F17" s="41">
        <v>257</v>
      </c>
      <c r="G17" s="42"/>
      <c r="H17" s="43">
        <f t="shared" si="0"/>
        <v>501</v>
      </c>
      <c r="I17" s="44">
        <f t="shared" si="1"/>
        <v>250.5</v>
      </c>
      <c r="J17" s="45">
        <f t="shared" si="2"/>
        <v>2</v>
      </c>
      <c r="K17" s="46">
        <v>0.416666666666666</v>
      </c>
      <c r="L17" s="47">
        <v>3400</v>
      </c>
      <c r="M17" s="54">
        <v>157.52</v>
      </c>
      <c r="N17" s="49">
        <f t="shared" si="3"/>
        <v>599.999999999795</v>
      </c>
      <c r="O17" s="56"/>
      <c r="P17" s="51"/>
      <c r="Q17" s="52"/>
      <c r="R17" s="52"/>
      <c r="S17" s="52"/>
      <c r="T17" s="52"/>
      <c r="U17" s="53"/>
    </row>
    <row r="18" s="3" customFormat="1" ht="15" customHeight="1" spans="1:21">
      <c r="A18" s="40">
        <v>0.458333333333333</v>
      </c>
      <c r="B18" s="41" t="s">
        <v>11</v>
      </c>
      <c r="C18" s="42"/>
      <c r="D18" s="41">
        <v>247</v>
      </c>
      <c r="E18" s="42"/>
      <c r="F18" s="41">
        <v>253</v>
      </c>
      <c r="G18" s="42"/>
      <c r="H18" s="43">
        <f t="shared" si="0"/>
        <v>500</v>
      </c>
      <c r="I18" s="44">
        <f t="shared" si="1"/>
        <v>250</v>
      </c>
      <c r="J18" s="45">
        <f t="shared" si="2"/>
        <v>2</v>
      </c>
      <c r="K18" s="46">
        <v>0.458333333333333</v>
      </c>
      <c r="L18" s="47">
        <v>3300</v>
      </c>
      <c r="M18" s="54">
        <v>157.57</v>
      </c>
      <c r="N18" s="49">
        <f t="shared" si="3"/>
        <v>600.000000000136</v>
      </c>
      <c r="O18" s="56"/>
      <c r="P18" s="51"/>
      <c r="Q18" s="52"/>
      <c r="R18" s="52"/>
      <c r="S18" s="52"/>
      <c r="T18" s="52"/>
      <c r="U18" s="53"/>
    </row>
    <row r="19" s="3" customFormat="1" ht="15" customHeight="1" spans="1:21">
      <c r="A19" s="40">
        <v>0.5</v>
      </c>
      <c r="B19" s="41" t="s">
        <v>11</v>
      </c>
      <c r="C19" s="42"/>
      <c r="D19" s="41">
        <v>230</v>
      </c>
      <c r="E19" s="42"/>
      <c r="F19" s="41">
        <v>252</v>
      </c>
      <c r="G19" s="42"/>
      <c r="H19" s="43">
        <f t="shared" si="0"/>
        <v>482</v>
      </c>
      <c r="I19" s="44">
        <f t="shared" si="1"/>
        <v>241</v>
      </c>
      <c r="J19" s="45">
        <f t="shared" si="2"/>
        <v>2</v>
      </c>
      <c r="K19" s="46">
        <v>0.5</v>
      </c>
      <c r="L19" s="47">
        <v>3300</v>
      </c>
      <c r="M19" s="54">
        <v>157.62</v>
      </c>
      <c r="N19" s="49">
        <f t="shared" si="3"/>
        <v>479.999999999905</v>
      </c>
      <c r="O19" s="56"/>
      <c r="P19" s="51"/>
      <c r="Q19" s="52"/>
      <c r="R19" s="52"/>
      <c r="S19" s="52"/>
      <c r="T19" s="52"/>
      <c r="U19" s="53"/>
    </row>
    <row r="20" s="3" customFormat="1" ht="15" customHeight="1" spans="1:21">
      <c r="A20" s="40">
        <v>0.541666666666667</v>
      </c>
      <c r="B20" s="41" t="s">
        <v>11</v>
      </c>
      <c r="C20" s="42"/>
      <c r="D20" s="41">
        <v>219</v>
      </c>
      <c r="E20" s="42"/>
      <c r="F20" s="41">
        <v>229</v>
      </c>
      <c r="G20" s="42"/>
      <c r="H20" s="43">
        <f t="shared" si="0"/>
        <v>448</v>
      </c>
      <c r="I20" s="44">
        <f t="shared" si="1"/>
        <v>224</v>
      </c>
      <c r="J20" s="45">
        <f t="shared" si="2"/>
        <v>2</v>
      </c>
      <c r="K20" s="46">
        <v>0.541666666666667</v>
      </c>
      <c r="L20" s="47">
        <v>3000</v>
      </c>
      <c r="M20" s="54">
        <v>157.66</v>
      </c>
      <c r="N20" s="49">
        <f t="shared" si="3"/>
        <v>600.000000000136</v>
      </c>
      <c r="O20" s="56"/>
      <c r="P20" s="51"/>
      <c r="Q20" s="52"/>
      <c r="R20" s="52"/>
      <c r="S20" s="52"/>
      <c r="T20" s="52"/>
      <c r="U20" s="53"/>
    </row>
    <row r="21" s="3" customFormat="1" ht="15" customHeight="1" spans="1:21">
      <c r="A21" s="40">
        <v>0.583333333333333</v>
      </c>
      <c r="B21" s="41" t="s">
        <v>11</v>
      </c>
      <c r="C21" s="42"/>
      <c r="D21" s="41" t="s">
        <v>26</v>
      </c>
      <c r="E21" s="42"/>
      <c r="F21" s="41">
        <v>462</v>
      </c>
      <c r="G21" s="42"/>
      <c r="H21" s="43">
        <f t="shared" si="0"/>
        <v>462</v>
      </c>
      <c r="I21" s="44">
        <f t="shared" si="1"/>
        <v>462</v>
      </c>
      <c r="J21" s="45">
        <f t="shared" si="2"/>
        <v>1</v>
      </c>
      <c r="K21" s="46">
        <v>0.583333333333333</v>
      </c>
      <c r="L21" s="47">
        <v>3000</v>
      </c>
      <c r="M21" s="54">
        <v>157.71</v>
      </c>
      <c r="N21" s="49">
        <f t="shared" si="3"/>
        <v>599.999999999795</v>
      </c>
      <c r="O21" s="56"/>
      <c r="P21" s="51"/>
      <c r="Q21" s="52"/>
      <c r="R21" s="52"/>
      <c r="S21" s="52"/>
      <c r="T21" s="52"/>
      <c r="U21" s="53"/>
    </row>
    <row r="22" s="3" customFormat="1" ht="15" customHeight="1" spans="1:21">
      <c r="A22" s="40">
        <v>0.625</v>
      </c>
      <c r="B22" s="41" t="s">
        <v>11</v>
      </c>
      <c r="C22" s="42"/>
      <c r="D22" s="41" t="s">
        <v>26</v>
      </c>
      <c r="E22" s="42"/>
      <c r="F22" s="41">
        <v>448</v>
      </c>
      <c r="G22" s="42"/>
      <c r="H22" s="43">
        <f t="shared" si="0"/>
        <v>448</v>
      </c>
      <c r="I22" s="44">
        <f t="shared" si="1"/>
        <v>448</v>
      </c>
      <c r="J22" s="45">
        <f t="shared" si="2"/>
        <v>1</v>
      </c>
      <c r="K22" s="46">
        <v>0.625</v>
      </c>
      <c r="L22" s="47">
        <v>3000</v>
      </c>
      <c r="M22" s="54">
        <v>157.76</v>
      </c>
      <c r="N22" s="49">
        <f t="shared" si="3"/>
        <v>360.000000000014</v>
      </c>
      <c r="O22" s="56"/>
      <c r="P22" s="51"/>
      <c r="Q22" s="52"/>
      <c r="R22" s="52"/>
      <c r="S22" s="52"/>
      <c r="T22" s="52"/>
      <c r="U22" s="53"/>
    </row>
    <row r="23" s="3" customFormat="1" ht="15" customHeight="1" spans="1:21">
      <c r="A23" s="40">
        <v>0.666666666666667</v>
      </c>
      <c r="B23" s="41" t="s">
        <v>11</v>
      </c>
      <c r="C23" s="42"/>
      <c r="D23" s="41" t="s">
        <v>26</v>
      </c>
      <c r="E23" s="42"/>
      <c r="F23" s="41">
        <v>455</v>
      </c>
      <c r="G23" s="42"/>
      <c r="H23" s="43">
        <f t="shared" si="0"/>
        <v>455</v>
      </c>
      <c r="I23" s="44">
        <f t="shared" si="1"/>
        <v>455</v>
      </c>
      <c r="J23" s="45">
        <f t="shared" si="2"/>
        <v>1</v>
      </c>
      <c r="K23" s="46">
        <v>0.666666666666666</v>
      </c>
      <c r="L23" s="47">
        <v>3000</v>
      </c>
      <c r="M23" s="54">
        <v>157.79</v>
      </c>
      <c r="N23" s="49">
        <f t="shared" si="3"/>
        <v>600.000000000136</v>
      </c>
      <c r="O23" s="56"/>
      <c r="P23" s="51"/>
      <c r="Q23" s="52"/>
      <c r="R23" s="52"/>
      <c r="S23" s="52"/>
      <c r="T23" s="52"/>
      <c r="U23" s="53"/>
    </row>
    <row r="24" s="3" customFormat="1" ht="15" customHeight="1" spans="1:21">
      <c r="A24" s="40">
        <v>0.708333333333334</v>
      </c>
      <c r="B24" s="41" t="s">
        <v>11</v>
      </c>
      <c r="C24" s="42"/>
      <c r="D24" s="41">
        <v>233</v>
      </c>
      <c r="E24" s="42"/>
      <c r="F24" s="41">
        <v>232</v>
      </c>
      <c r="G24" s="42"/>
      <c r="H24" s="43">
        <f t="shared" si="0"/>
        <v>465</v>
      </c>
      <c r="I24" s="44">
        <f t="shared" si="1"/>
        <v>232.5</v>
      </c>
      <c r="J24" s="45">
        <f t="shared" si="2"/>
        <v>2</v>
      </c>
      <c r="K24" s="46">
        <v>0.708333333333333</v>
      </c>
      <c r="L24" s="47">
        <v>2700</v>
      </c>
      <c r="M24" s="54">
        <v>157.84</v>
      </c>
      <c r="N24" s="49">
        <f t="shared" si="3"/>
        <v>479.999999999905</v>
      </c>
      <c r="O24" s="56"/>
      <c r="P24" s="51"/>
      <c r="Q24" s="52"/>
      <c r="R24" s="52"/>
      <c r="S24" s="52"/>
      <c r="T24" s="52"/>
      <c r="U24" s="53"/>
    </row>
    <row r="25" s="3" customFormat="1" ht="15" customHeight="1" spans="1:21">
      <c r="A25" s="40">
        <v>0.75</v>
      </c>
      <c r="B25" s="41" t="s">
        <v>11</v>
      </c>
      <c r="C25" s="42"/>
      <c r="D25" s="41">
        <v>246</v>
      </c>
      <c r="E25" s="42"/>
      <c r="F25" s="41">
        <v>285</v>
      </c>
      <c r="G25" s="42"/>
      <c r="H25" s="43">
        <f t="shared" si="0"/>
        <v>531</v>
      </c>
      <c r="I25" s="44">
        <f t="shared" si="1"/>
        <v>265.5</v>
      </c>
      <c r="J25" s="45">
        <f t="shared" si="2"/>
        <v>2</v>
      </c>
      <c r="K25" s="46">
        <v>0.75</v>
      </c>
      <c r="L25" s="47">
        <v>2400</v>
      </c>
      <c r="M25" s="54">
        <v>157.88</v>
      </c>
      <c r="N25" s="49">
        <f t="shared" si="3"/>
        <v>720.000000000027</v>
      </c>
      <c r="O25" s="56"/>
      <c r="P25" s="51"/>
      <c r="Q25" s="52"/>
      <c r="R25" s="52"/>
      <c r="S25" s="52"/>
      <c r="T25" s="52"/>
      <c r="U25" s="53"/>
    </row>
    <row r="26" s="3" customFormat="1" ht="15" customHeight="1" spans="1:21">
      <c r="A26" s="40">
        <v>0.791666666666667</v>
      </c>
      <c r="B26" s="41" t="s">
        <v>11</v>
      </c>
      <c r="C26" s="42"/>
      <c r="D26" s="41">
        <v>363</v>
      </c>
      <c r="E26" s="42"/>
      <c r="F26" s="41">
        <v>336</v>
      </c>
      <c r="G26" s="42"/>
      <c r="H26" s="43">
        <f t="shared" si="0"/>
        <v>699</v>
      </c>
      <c r="I26" s="44">
        <f t="shared" si="1"/>
        <v>349.5</v>
      </c>
      <c r="J26" s="45">
        <f t="shared" si="2"/>
        <v>2</v>
      </c>
      <c r="K26" s="46">
        <v>0.791666666666666</v>
      </c>
      <c r="L26" s="47">
        <v>2100</v>
      </c>
      <c r="M26" s="54">
        <v>157.94</v>
      </c>
      <c r="N26" s="49">
        <f t="shared" si="3"/>
        <v>839.999999999918</v>
      </c>
      <c r="O26" s="56"/>
      <c r="P26" s="51"/>
      <c r="Q26" s="52"/>
      <c r="R26" s="52"/>
      <c r="S26" s="52"/>
      <c r="T26" s="52"/>
      <c r="U26" s="53"/>
    </row>
    <row r="27" s="3" customFormat="1" ht="15" customHeight="1" spans="1:21">
      <c r="A27" s="40">
        <v>0.833333333333334</v>
      </c>
      <c r="B27" s="41" t="s">
        <v>11</v>
      </c>
      <c r="C27" s="42"/>
      <c r="D27" s="41">
        <v>365</v>
      </c>
      <c r="E27" s="42"/>
      <c r="F27" s="41">
        <v>375</v>
      </c>
      <c r="G27" s="42"/>
      <c r="H27" s="43">
        <f t="shared" si="0"/>
        <v>740</v>
      </c>
      <c r="I27" s="44">
        <f t="shared" si="1"/>
        <v>370</v>
      </c>
      <c r="J27" s="45">
        <f t="shared" si="2"/>
        <v>2</v>
      </c>
      <c r="K27" s="46">
        <v>0.833333333333333</v>
      </c>
      <c r="L27" s="47">
        <v>2100</v>
      </c>
      <c r="M27" s="54">
        <v>158.01</v>
      </c>
      <c r="N27" s="49">
        <f t="shared" si="3"/>
        <v>720.000000000027</v>
      </c>
      <c r="O27" s="56"/>
      <c r="P27" s="51"/>
      <c r="Q27" s="52"/>
      <c r="R27" s="52"/>
      <c r="S27" s="52"/>
      <c r="T27" s="52"/>
      <c r="U27" s="53"/>
    </row>
    <row r="28" s="4" customFormat="1" ht="15" customHeight="1" spans="1:21">
      <c r="A28" s="40">
        <v>0.875</v>
      </c>
      <c r="B28" s="41" t="s">
        <v>11</v>
      </c>
      <c r="C28" s="42"/>
      <c r="D28" s="41">
        <v>335</v>
      </c>
      <c r="E28" s="42"/>
      <c r="F28" s="41">
        <v>331</v>
      </c>
      <c r="G28" s="42"/>
      <c r="H28" s="43">
        <f t="shared" si="0"/>
        <v>666</v>
      </c>
      <c r="I28" s="44">
        <f t="shared" si="1"/>
        <v>333</v>
      </c>
      <c r="J28" s="45">
        <f t="shared" si="2"/>
        <v>2</v>
      </c>
      <c r="K28" s="46">
        <v>0.875</v>
      </c>
      <c r="L28" s="47">
        <v>1800</v>
      </c>
      <c r="M28" s="54">
        <v>158.07</v>
      </c>
      <c r="N28" s="49">
        <f t="shared" si="3"/>
        <v>720.000000000027</v>
      </c>
      <c r="O28" s="56"/>
      <c r="P28" s="51"/>
      <c r="Q28" s="52"/>
      <c r="R28" s="52"/>
      <c r="S28" s="52"/>
      <c r="T28" s="52"/>
      <c r="U28" s="53"/>
    </row>
    <row r="29" s="3" customFormat="1" ht="15" customHeight="1" spans="1:21">
      <c r="A29" s="40">
        <v>0.916666666666667</v>
      </c>
      <c r="B29" s="41" t="s">
        <v>11</v>
      </c>
      <c r="C29" s="42"/>
      <c r="D29" s="41">
        <v>292</v>
      </c>
      <c r="E29" s="42"/>
      <c r="F29" s="41">
        <v>234</v>
      </c>
      <c r="G29" s="42"/>
      <c r="H29" s="43">
        <f t="shared" si="0"/>
        <v>526</v>
      </c>
      <c r="I29" s="44">
        <f t="shared" si="1"/>
        <v>263</v>
      </c>
      <c r="J29" s="45">
        <f t="shared" si="2"/>
        <v>2</v>
      </c>
      <c r="K29" s="46">
        <v>0.916666666666666</v>
      </c>
      <c r="L29" s="47">
        <v>1800</v>
      </c>
      <c r="M29" s="54">
        <v>158.13</v>
      </c>
      <c r="N29" s="49">
        <f t="shared" si="3"/>
        <v>720.000000000027</v>
      </c>
      <c r="O29" s="56"/>
      <c r="P29" s="51"/>
      <c r="Q29" s="52"/>
      <c r="R29" s="52"/>
      <c r="S29" s="52"/>
      <c r="T29" s="52"/>
      <c r="U29" s="53"/>
    </row>
    <row r="30" s="3" customFormat="1" ht="15" customHeight="1" spans="1:21">
      <c r="A30" s="40">
        <v>0.958333333333334</v>
      </c>
      <c r="B30" s="41" t="s">
        <v>11</v>
      </c>
      <c r="C30" s="42"/>
      <c r="D30" s="41">
        <v>274</v>
      </c>
      <c r="E30" s="42"/>
      <c r="F30" s="41">
        <v>295</v>
      </c>
      <c r="G30" s="42"/>
      <c r="H30" s="43">
        <f t="shared" si="0"/>
        <v>569</v>
      </c>
      <c r="I30" s="44">
        <f t="shared" si="1"/>
        <v>284.5</v>
      </c>
      <c r="J30" s="45">
        <f t="shared" si="2"/>
        <v>2</v>
      </c>
      <c r="K30" s="46">
        <v>0.958333333333333</v>
      </c>
      <c r="L30" s="47">
        <v>1800</v>
      </c>
      <c r="M30" s="54">
        <v>158.19</v>
      </c>
      <c r="N30" s="49">
        <f t="shared" si="3"/>
        <v>600.000000000136</v>
      </c>
      <c r="O30" s="56"/>
      <c r="P30" s="51"/>
      <c r="Q30" s="52"/>
      <c r="R30" s="52"/>
      <c r="S30" s="52"/>
      <c r="T30" s="52"/>
      <c r="U30" s="53"/>
    </row>
    <row r="31" s="2" customFormat="1" ht="15" customHeight="1" spans="1:21">
      <c r="A31" s="57">
        <v>1</v>
      </c>
      <c r="B31" s="41" t="s">
        <v>11</v>
      </c>
      <c r="C31" s="42"/>
      <c r="D31" s="41">
        <v>255</v>
      </c>
      <c r="E31" s="42"/>
      <c r="F31" s="41">
        <v>302</v>
      </c>
      <c r="G31" s="42"/>
      <c r="H31" s="43">
        <f t="shared" si="0"/>
        <v>557</v>
      </c>
      <c r="I31" s="58">
        <f t="shared" si="1"/>
        <v>278.5</v>
      </c>
      <c r="J31" s="59">
        <f t="shared" si="2"/>
        <v>2</v>
      </c>
      <c r="K31" s="60">
        <v>1</v>
      </c>
      <c r="L31" s="47">
        <v>4500</v>
      </c>
      <c r="M31" s="61">
        <v>158.24</v>
      </c>
      <c r="N31" s="49">
        <f>H31</f>
        <v>557</v>
      </c>
      <c r="O31" s="56"/>
      <c r="P31" s="51"/>
      <c r="Q31" s="52"/>
      <c r="R31" s="52"/>
      <c r="S31" s="52"/>
      <c r="T31" s="52"/>
      <c r="U31" s="53"/>
    </row>
    <row r="32" s="3" customFormat="1" ht="23.25" customHeight="1" spans="1:21">
      <c r="A32" s="62" t="s">
        <v>12</v>
      </c>
      <c r="B32" s="63">
        <f>SUM(B8:B31)/1000</f>
        <v>0</v>
      </c>
      <c r="C32" s="64"/>
      <c r="D32" s="63">
        <f>SUM(D8:D31)/1000</f>
        <v>5.554</v>
      </c>
      <c r="E32" s="64"/>
      <c r="F32" s="63">
        <f>SUM(F8:F31)/1000</f>
        <v>6.984</v>
      </c>
      <c r="G32" s="64"/>
      <c r="H32" s="65">
        <f>SUM(H8:H31)</f>
        <v>12538</v>
      </c>
      <c r="I32" s="66" t="s">
        <v>13</v>
      </c>
      <c r="J32" s="67"/>
      <c r="K32" s="68"/>
      <c r="L32" s="69"/>
      <c r="M32" s="70">
        <f>SUM(M31-M8+N8)</f>
        <v>601.129999999795</v>
      </c>
      <c r="N32" s="71">
        <f>SUM(N8:N31)</f>
        <v>14116.9999999999</v>
      </c>
      <c r="O32" s="72">
        <f>SUM(O8:O31)</f>
        <v>0</v>
      </c>
      <c r="P32" s="73"/>
      <c r="Q32" s="74"/>
      <c r="R32" s="74"/>
      <c r="S32" s="74"/>
      <c r="T32" s="74"/>
      <c r="U32" s="75"/>
    </row>
    <row r="33" ht="15" customHeight="1" spans="1:29">
      <c r="A33" s="76" t="s">
        <v>14</v>
      </c>
      <c r="B33" s="77" t="str">
        <f>IFERROR((AVERAGE(B8:B31)),"0")</f>
        <v>0</v>
      </c>
      <c r="C33" s="78"/>
      <c r="D33" s="79">
        <f>IFERROR((AVERAGE(D8:D31)),"0")</f>
        <v>264.47619047619</v>
      </c>
      <c r="E33" s="78"/>
      <c r="F33" s="79">
        <f>IFERROR((AVERAGE(F8:F31)),"0")</f>
        <v>291</v>
      </c>
      <c r="G33" s="80"/>
      <c r="H33" s="81">
        <f>H32*1000</f>
        <v>12538000</v>
      </c>
      <c r="I33" s="82" t="s">
        <v>15</v>
      </c>
      <c r="J33" s="83"/>
      <c r="K33" s="84"/>
      <c r="L33" s="85"/>
      <c r="M33" s="86"/>
      <c r="N33" s="85"/>
      <c r="O33" s="87"/>
      <c r="P33" s="87"/>
      <c r="Q33" s="88"/>
      <c r="R33" s="88"/>
      <c r="S33" s="89"/>
      <c r="T33" s="89"/>
      <c r="U33" s="89"/>
      <c r="V33" s="89"/>
    </row>
    <row r="34" ht="18.75" customHeight="1" spans="1:29">
      <c r="A34" s="90"/>
      <c r="B34" s="91"/>
      <c r="C34" s="92"/>
      <c r="D34" s="93"/>
      <c r="E34" s="92"/>
      <c r="F34" s="93"/>
      <c r="G34" s="94"/>
      <c r="H34" s="95"/>
      <c r="I34" s="96"/>
      <c r="J34" s="97"/>
      <c r="K34" s="98"/>
      <c r="L34" s="85"/>
      <c r="M34" s="86"/>
      <c r="N34" s="99"/>
      <c r="O34" s="99"/>
      <c r="P34" s="99"/>
      <c r="Q34" s="99"/>
      <c r="R34" s="88"/>
      <c r="S34" s="89"/>
      <c r="T34" s="89"/>
      <c r="U34" s="89"/>
      <c r="V34" s="89"/>
    </row>
    <row r="35" ht="22.5" customHeight="1" spans="1:29">
      <c r="A35" s="100" t="s">
        <v>16</v>
      </c>
      <c r="B35" s="101">
        <f>COUNT(B8:B31)</f>
        <v>0</v>
      </c>
      <c r="C35" s="102"/>
      <c r="D35" s="103">
        <f>COUNT(D8:D31)</f>
        <v>21</v>
      </c>
      <c r="E35" s="102"/>
      <c r="F35" s="103">
        <f>COUNT(F8:F31)</f>
        <v>24</v>
      </c>
      <c r="G35" s="104"/>
      <c r="H35" s="105"/>
      <c r="I35" s="106"/>
      <c r="J35" s="107"/>
      <c r="K35" s="107"/>
      <c r="L35" s="107"/>
      <c r="M35" s="107"/>
      <c r="N35" s="99"/>
      <c r="O35" s="99"/>
      <c r="P35" s="99"/>
      <c r="Q35" s="99"/>
      <c r="R35" s="108"/>
      <c r="S35" s="89"/>
      <c r="T35" s="89"/>
      <c r="U35" s="89"/>
      <c r="V35" s="89"/>
    </row>
    <row r="36" ht="9" customHeight="1" spans="1:29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10"/>
      <c r="N36" s="106"/>
      <c r="O36" s="107"/>
      <c r="P36" s="107"/>
      <c r="Q36" s="107"/>
      <c r="R36" s="107"/>
      <c r="S36" s="107"/>
      <c r="T36" s="107"/>
      <c r="U36" s="111"/>
      <c r="V36" s="112"/>
      <c r="W36" s="108"/>
      <c r="X36" s="108"/>
      <c r="Y36" s="108"/>
      <c r="Z36" s="89"/>
      <c r="AA36" s="89"/>
      <c r="AB36" s="89"/>
      <c r="AC36" s="89"/>
    </row>
    <row r="37" ht="24" customHeight="1" spans="1:29">
      <c r="D37" s="113"/>
      <c r="E37" s="113"/>
      <c r="F37" s="113"/>
      <c r="G37" s="113"/>
      <c r="H37" s="113"/>
      <c r="I37" s="113"/>
      <c r="J37" s="113"/>
      <c r="K37" s="114"/>
      <c r="L37" s="114"/>
      <c r="N37" s="115" t="s">
        <v>17</v>
      </c>
      <c r="O37" s="116"/>
      <c r="P37" s="116"/>
      <c r="Q37" s="117"/>
      <c r="R37" s="118">
        <f>SUM(B35:F35)</f>
        <v>45</v>
      </c>
      <c r="S37" s="69"/>
      <c r="T37" s="69"/>
      <c r="U37" s="69"/>
      <c r="V37" s="69"/>
      <c r="X37" s="119"/>
      <c r="Y37" s="119"/>
      <c r="Z37" s="119"/>
      <c r="AA37" s="119"/>
      <c r="AB37" s="119"/>
      <c r="AC37" s="114"/>
    </row>
    <row r="38" ht="15" spans="1:29">
      <c r="D38" s="113"/>
      <c r="E38" s="113"/>
      <c r="F38" s="113"/>
      <c r="G38" s="113"/>
      <c r="H38" s="113"/>
      <c r="I38" s="113"/>
      <c r="J38" s="113"/>
      <c r="K38" s="114"/>
      <c r="L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</row>
    <row r="39" ht="24.75" customHeight="1" spans="1:29">
      <c r="A39" s="120" t="s">
        <v>18</v>
      </c>
      <c r="B39" s="121"/>
      <c r="C39" s="122">
        <f>MAX(H8:H31)</f>
        <v>740</v>
      </c>
      <c r="D39" s="123"/>
      <c r="E39" s="124">
        <f>VLOOKUP(C39,H8:L31,4,FALSE)</f>
        <v>0.833333333333333</v>
      </c>
      <c r="F39" s="125"/>
      <c r="G39" s="125"/>
      <c r="H39" s="126" t="s">
        <v>19</v>
      </c>
      <c r="I39" s="127"/>
      <c r="J39" s="128"/>
      <c r="K39" s="129">
        <f>MAX(J8:J31)</f>
        <v>2</v>
      </c>
      <c r="L39" s="130"/>
      <c r="N39" s="131" t="s">
        <v>20</v>
      </c>
      <c r="O39" s="132"/>
      <c r="P39" s="132"/>
      <c r="Q39" s="133"/>
      <c r="R39" s="134">
        <f>AVERAGE(H8:H31)</f>
        <v>522.416666666667</v>
      </c>
      <c r="S39" s="135"/>
      <c r="T39" s="135"/>
    </row>
    <row r="40" ht="15" spans="1:29">
      <c r="C40" s="136"/>
      <c r="D40" s="137"/>
      <c r="E40" s="138"/>
      <c r="F40" s="138"/>
      <c r="G40" s="138"/>
      <c r="H40" s="138"/>
      <c r="I40" s="139"/>
      <c r="J40" s="106"/>
      <c r="K40" s="110"/>
      <c r="L40" s="110"/>
      <c r="N40" s="140"/>
      <c r="O40" s="140"/>
      <c r="P40" s="140"/>
      <c r="Q40" s="140"/>
      <c r="R40" s="140"/>
      <c r="X40" s="5"/>
      <c r="Y40" s="5"/>
      <c r="Z40" s="5"/>
      <c r="AA40" s="5"/>
      <c r="AB40" s="5"/>
      <c r="AC40" s="141"/>
    </row>
    <row r="41" ht="24.75" customHeight="1" spans="1:29">
      <c r="A41" s="120" t="s">
        <v>21</v>
      </c>
      <c r="B41" s="121"/>
      <c r="C41" s="122">
        <f>MIN(H8:H31)</f>
        <v>448</v>
      </c>
      <c r="D41" s="123"/>
      <c r="E41" s="124">
        <f>VLOOKUP(C41,H8:L31,4,FALSE)</f>
        <v>0.541666666666667</v>
      </c>
      <c r="F41" s="142"/>
      <c r="G41" s="125"/>
      <c r="H41" s="126" t="s">
        <v>22</v>
      </c>
      <c r="I41" s="127"/>
      <c r="J41" s="128"/>
      <c r="K41" s="129">
        <f>MIN(J8:J31)</f>
        <v>1</v>
      </c>
      <c r="L41" s="130"/>
      <c r="N41" s="126" t="s">
        <v>23</v>
      </c>
      <c r="O41" s="127"/>
      <c r="P41" s="127"/>
      <c r="Q41" s="128"/>
      <c r="R41" s="143">
        <f>AVERAGE(I8:I31)</f>
        <v>289.645833333333</v>
      </c>
      <c r="S41" s="144"/>
      <c r="T41" s="144"/>
      <c r="U41" s="144"/>
      <c r="V41" s="144"/>
      <c r="X41" s="145"/>
    </row>
    <row r="42" ht="15" spans="1:29">
      <c r="D42" s="138"/>
      <c r="E42" s="138"/>
      <c r="F42" s="138"/>
      <c r="G42" s="138"/>
      <c r="H42" s="138"/>
      <c r="I42" s="146"/>
      <c r="J42" s="138"/>
      <c r="K42" s="147"/>
      <c r="L42" s="147"/>
      <c r="V42" s="148"/>
      <c r="W42" s="148"/>
      <c r="X42" s="149"/>
      <c r="Y42" s="149"/>
      <c r="Z42" s="150"/>
      <c r="AA42" s="150"/>
      <c r="AB42" s="150"/>
      <c r="AC42" s="150"/>
    </row>
    <row r="43" ht="24.75" customHeight="1" spans="1:29">
      <c r="C43" s="136"/>
      <c r="H43" s="151"/>
      <c r="I43" s="151"/>
      <c r="J43" s="151"/>
      <c r="K43" s="145"/>
      <c r="L43" s="139"/>
      <c r="N43" s="152" t="s">
        <v>24</v>
      </c>
      <c r="O43" s="153"/>
      <c r="P43" s="153"/>
      <c r="Q43" s="154"/>
      <c r="R43" s="155" t="e">
        <f>AVERAGE(T8:T31)</f>
        <v>#DIV/0!</v>
      </c>
      <c r="X43" s="156"/>
      <c r="Z43" s="157"/>
      <c r="AA43" s="157"/>
      <c r="AB43" s="157"/>
      <c r="AC43" s="157"/>
    </row>
    <row r="44" ht="19.5" spans="1:29">
      <c r="I44" s="158"/>
      <c r="K44" s="159"/>
      <c r="L44" s="159"/>
      <c r="Z44" s="160"/>
      <c r="AA44" s="160"/>
      <c r="AB44" s="160"/>
      <c r="AC44" s="160"/>
    </row>
    <row r="45" ht="24.75" customHeight="1" spans="1:29">
      <c r="D45" s="158"/>
      <c r="E45" s="158"/>
      <c r="F45" s="158"/>
      <c r="G45" s="158"/>
      <c r="H45" s="158"/>
      <c r="N45" s="126" t="s">
        <v>25</v>
      </c>
      <c r="O45" s="127"/>
      <c r="P45" s="127"/>
      <c r="Q45" s="128"/>
      <c r="R45" s="161">
        <f>SUM(M32-H32)/24</f>
        <v>-497.369583333342</v>
      </c>
      <c r="X45" s="162"/>
      <c r="Z45" s="163"/>
      <c r="AA45" s="163"/>
      <c r="AB45" s="163"/>
      <c r="AC45" s="163"/>
    </row>
    <row r="46" spans="1:29">
      <c r="Z46" s="164"/>
      <c r="AA46" s="164"/>
      <c r="AB46" s="164"/>
      <c r="AC46" s="164"/>
    </row>
    <row r="47" spans="1:29">
      <c r="Z47" s="139"/>
      <c r="AA47" s="139"/>
      <c r="AB47" s="139"/>
      <c r="AC47" s="139"/>
    </row>
    <row r="48" spans="1:29">
      <c r="Z48" s="139"/>
      <c r="AA48" s="139"/>
      <c r="AB48" s="139"/>
      <c r="AC48" s="139"/>
    </row>
    <row r="49" spans="11:29">
      <c r="Z49" s="157"/>
      <c r="AA49" s="157"/>
      <c r="AB49" s="157"/>
      <c r="AC49" s="157"/>
    </row>
    <row r="50" spans="11:29">
      <c r="Z50" s="157"/>
      <c r="AA50" s="157"/>
      <c r="AB50" s="157"/>
      <c r="AC50" s="157"/>
    </row>
    <row r="51" spans="11:29">
      <c r="K51" s="150"/>
      <c r="L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0"/>
      <c r="AC51" s="150"/>
    </row>
    <row r="52" spans="11:29">
      <c r="K52" s="150"/>
      <c r="L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  <c r="AB52" s="150"/>
      <c r="AC52" s="150"/>
    </row>
    <row r="53" spans="11:29">
      <c r="K53" s="150"/>
      <c r="L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50"/>
      <c r="AB53" s="150"/>
      <c r="AC53" s="150"/>
    </row>
    <row r="60" spans="11:29">
      <c r="O60" s="165"/>
      <c r="P60" s="165"/>
      <c r="Q60" s="165"/>
      <c r="R60" s="165"/>
      <c r="S60" s="165"/>
      <c r="T60" s="165"/>
    </row>
    <row r="61" spans="11:29">
      <c r="O61" s="165"/>
      <c r="P61" s="165"/>
      <c r="Q61" s="165"/>
      <c r="R61" s="165"/>
      <c r="S61" s="165"/>
      <c r="T61" s="165"/>
    </row>
    <row r="62" spans="11:29">
      <c r="O62" s="165"/>
      <c r="P62" s="165"/>
      <c r="Q62" s="165"/>
      <c r="R62" s="165"/>
      <c r="S62" s="165"/>
      <c r="T62" s="165"/>
    </row>
    <row r="63" spans="11:29">
      <c r="O63" s="165"/>
      <c r="P63" s="165"/>
      <c r="Q63" s="165"/>
      <c r="R63" s="165"/>
      <c r="S63" s="165"/>
      <c r="T63" s="165"/>
    </row>
    <row r="64" spans="11:29">
      <c r="O64" s="165"/>
      <c r="P64" s="165"/>
      <c r="Q64" s="165"/>
      <c r="R64" s="165"/>
      <c r="S64" s="165"/>
      <c r="T64" s="165"/>
    </row>
    <row r="65" spans="15:20">
      <c r="O65" s="165"/>
      <c r="P65" s="165"/>
      <c r="Q65" s="165"/>
      <c r="R65" s="165"/>
      <c r="S65" s="165"/>
      <c r="T65" s="165"/>
    </row>
    <row r="66" spans="15:20">
      <c r="O66" s="165"/>
      <c r="P66" s="165"/>
      <c r="Q66" s="165"/>
      <c r="R66" s="165"/>
      <c r="S66" s="165"/>
      <c r="T66" s="165"/>
    </row>
    <row r="67" spans="15:20">
      <c r="O67" s="165"/>
      <c r="P67" s="165"/>
      <c r="Q67" s="165"/>
      <c r="R67" s="165"/>
      <c r="S67" s="165"/>
      <c r="T67" s="165"/>
    </row>
    <row r="68" spans="15:20">
      <c r="O68" s="165"/>
      <c r="P68" s="165"/>
      <c r="Q68" s="165"/>
      <c r="R68" s="165"/>
      <c r="S68" s="165"/>
      <c r="T68" s="165"/>
    </row>
  </sheetData>
  <mergeCells count="116">
    <mergeCell ref="H4:K4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B29:C29"/>
    <mergeCell ref="D29:E29"/>
    <mergeCell ref="F29:G2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N34:Q34"/>
    <mergeCell ref="B35:C35"/>
    <mergeCell ref="D35:E35"/>
    <mergeCell ref="F35:G35"/>
    <mergeCell ref="N35:Q35"/>
    <mergeCell ref="N37:Q37"/>
    <mergeCell ref="A39:B39"/>
    <mergeCell ref="C39:D39"/>
    <mergeCell ref="H39:J39"/>
    <mergeCell ref="N39:Q39"/>
    <mergeCell ref="A41:B41"/>
    <mergeCell ref="C41:D41"/>
    <mergeCell ref="H41:J41"/>
    <mergeCell ref="N41:Q41"/>
    <mergeCell ref="H43:J43"/>
    <mergeCell ref="N43:Q43"/>
    <mergeCell ref="N45:Q45"/>
    <mergeCell ref="A6:A7"/>
    <mergeCell ref="A33:A34"/>
    <mergeCell ref="H6:H7"/>
    <mergeCell ref="H33:H34"/>
    <mergeCell ref="I6:I7"/>
    <mergeCell ref="I33:I34"/>
    <mergeCell ref="J6:J7"/>
    <mergeCell ref="K6:K7"/>
    <mergeCell ref="L6:L7"/>
    <mergeCell ref="M6:M7"/>
    <mergeCell ref="N6:N7"/>
    <mergeCell ref="O6:O7"/>
    <mergeCell ref="T6:T7"/>
    <mergeCell ref="U6:U7"/>
    <mergeCell ref="B33:C34"/>
    <mergeCell ref="D33:E34"/>
    <mergeCell ref="F33:G34"/>
  </mergeCells>
  <conditionalFormatting sqref="O8">
    <cfRule type="cellIs" dxfId="0" priority="10" operator="equal">
      <formula>"N/A"</formula>
    </cfRule>
  </conditionalFormatting>
  <conditionalFormatting sqref="A30">
    <cfRule type="cellIs" dxfId="1" priority="11" operator="equal">
      <formula>"STB"</formula>
    </cfRule>
    <cfRule type="cellIs" dxfId="0" priority="12" operator="equal">
      <formula>"BD"</formula>
    </cfRule>
  </conditionalFormatting>
  <conditionalFormatting sqref="B8:B31">
    <cfRule type="cellIs" dxfId="1" priority="1" operator="equal">
      <formula>"STB"</formula>
    </cfRule>
    <cfRule type="cellIs" dxfId="0" priority="2" operator="equal">
      <formula>"BD"</formula>
    </cfRule>
  </conditionalFormatting>
  <conditionalFormatting sqref="D8:D31">
    <cfRule type="cellIs" dxfId="1" priority="8" operator="equal">
      <formula>"STB"</formula>
    </cfRule>
    <cfRule type="cellIs" dxfId="0" priority="9" operator="equal">
      <formula>"BD"</formula>
    </cfRule>
  </conditionalFormatting>
  <conditionalFormatting sqref="F8:F31">
    <cfRule type="cellIs" dxfId="1" priority="3" operator="equal">
      <formula>"STB"</formula>
    </cfRule>
    <cfRule type="cellIs" dxfId="0" priority="4" operator="equal">
      <formula>"BD"</formula>
    </cfRule>
  </conditionalFormatting>
  <conditionalFormatting sqref="H8:H31">
    <cfRule type="top10" dxfId="2" priority="5" bottom="1" rank="1"/>
    <cfRule type="top10" dxfId="3" priority="6" rank="1"/>
    <cfRule type="cellIs" dxfId="4" priority="7" stopIfTrue="1" operator="equal">
      <formula>28000</formula>
    </cfRule>
  </conditionalFormatting>
  <conditionalFormatting sqref="H32:H33">
    <cfRule type="top10" dxfId="2" priority="14" bottom="1" rank="1"/>
    <cfRule type="top10" dxfId="3" priority="15" rank="1"/>
    <cfRule type="cellIs" dxfId="4" priority="17" stopIfTrue="1" operator="equal">
      <formula>28000</formula>
    </cfRule>
  </conditionalFormatting>
  <conditionalFormatting sqref="Y8:Y31">
    <cfRule type="containsText" dxfId="5" priority="13" operator="between" text="-">
      <formula>NOT(ISERROR(SEARCH("-",Y8)))</formula>
    </cfRule>
  </conditionalFormatting>
  <conditionalFormatting sqref="N8 N9:O31">
    <cfRule type="cellIs" dxfId="0" priority="16" operator="equal">
      <formula>"BD"</formula>
    </cfRule>
  </conditionalFormatting>
  <pageMargins left="0.7" right="0.7" top="0.75" bottom="0.75" header="0.3" footer="0.3"/>
  <pageSetup paperSize="1" orientation="portrait" verticalDpi="36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C68"/>
  <sheetViews>
    <sheetView zoomScale="80" zoomScaleNormal="80" workbookViewId="0">
      <pane ySplit="7" topLeftCell="A9" activePane="bottomLeft" state="frozen"/>
      <selection/>
      <selection pane="bottomLeft" activeCell="A3" sqref="$A3:$XFD3"/>
    </sheetView>
  </sheetViews>
  <sheetFormatPr defaultColWidth="8.81666666666667" defaultRowHeight="14.25"/>
  <cols>
    <col min="1" max="1" width="16.725" customWidth="1"/>
    <col min="2" max="2" width="8.725" customWidth="1"/>
    <col min="3" max="7" width="5.725" customWidth="1"/>
    <col min="8" max="8" width="14.2666666666667" customWidth="1"/>
    <col min="9" max="9" width="15.1833333333333" customWidth="1"/>
    <col min="10" max="10" width="15.5416666666667" customWidth="1"/>
    <col min="11" max="11" width="7" customWidth="1"/>
    <col min="12" max="12" width="8.54166666666667" customWidth="1"/>
    <col min="13" max="13" width="11.725" style="5" customWidth="1"/>
    <col min="14" max="14" width="17.1833333333333" customWidth="1"/>
    <col min="15" max="15" width="15.45" customWidth="1"/>
    <col min="16" max="16" width="7.45" customWidth="1"/>
    <col min="17" max="17" width="9.54166666666667" customWidth="1"/>
    <col min="18" max="18" width="10" customWidth="1"/>
    <col min="19" max="20" width="9.81666666666667" customWidth="1"/>
    <col min="21" max="21" width="6.725" customWidth="1"/>
    <col min="22" max="22" width="13.8166666666667" customWidth="1"/>
    <col min="23" max="23" width="11.2666666666667" customWidth="1"/>
    <col min="24" max="24" width="9.26666666666667" customWidth="1"/>
    <col min="25" max="25" width="3.725" customWidth="1"/>
    <col min="26" max="29" width="7.725" customWidth="1"/>
    <col min="30" max="30" width="6.725" customWidth="1"/>
  </cols>
  <sheetData>
    <row r="1" ht="3" customHeight="1"/>
    <row r="2" ht="6" customHeight="1" spans="1:2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="1" customFormat="1" ht="6.75" customHeight="1" spans="1:29">
      <c r="K3" s="7"/>
      <c r="L3" s="8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17.25" customHeight="1" spans="1:29">
      <c r="A4" s="1"/>
      <c r="B4" s="10"/>
      <c r="C4" s="10"/>
      <c r="D4" s="10"/>
      <c r="E4" s="11"/>
      <c r="F4" s="11"/>
      <c r="G4" s="11"/>
      <c r="H4" s="12">
        <f>'[5]Taniwel daily'!C4</f>
        <v>45296</v>
      </c>
      <c r="I4" s="13"/>
      <c r="J4" s="13"/>
      <c r="K4" s="14"/>
      <c r="L4" s="15"/>
      <c r="M4" s="16"/>
      <c r="N4" s="10"/>
      <c r="O4" s="10"/>
      <c r="P4" s="10"/>
      <c r="Q4" s="10"/>
      <c r="R4" s="10"/>
      <c r="S4" s="10"/>
      <c r="T4" s="10"/>
      <c r="U4" s="10"/>
      <c r="V4" s="7"/>
      <c r="W4" s="7"/>
      <c r="X4" s="7"/>
      <c r="Y4" s="7"/>
      <c r="Z4" s="7"/>
      <c r="AA4" s="7"/>
      <c r="AB4" s="7"/>
      <c r="AC4" s="7"/>
    </row>
    <row r="5" ht="7.5" customHeight="1" spans="1:29">
      <c r="A5" s="1"/>
      <c r="B5" s="17"/>
      <c r="C5" s="1"/>
      <c r="D5" s="1"/>
      <c r="E5" s="1"/>
      <c r="F5" s="1"/>
      <c r="G5" s="1"/>
      <c r="H5" s="1"/>
      <c r="I5" s="1"/>
      <c r="J5" s="1"/>
      <c r="K5" s="18"/>
      <c r="L5" s="7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ht="17.25" customHeight="1" spans="1:29">
      <c r="A6" s="19" t="s">
        <v>0</v>
      </c>
      <c r="B6" s="20" t="s">
        <v>1</v>
      </c>
      <c r="C6" s="21"/>
      <c r="D6" s="20" t="s">
        <v>2</v>
      </c>
      <c r="E6" s="21"/>
      <c r="F6" s="20" t="s">
        <v>3</v>
      </c>
      <c r="G6" s="21"/>
      <c r="H6" s="22" t="s">
        <v>4</v>
      </c>
      <c r="I6" s="22" t="s">
        <v>5</v>
      </c>
      <c r="J6" s="23" t="s">
        <v>6</v>
      </c>
      <c r="K6" s="19" t="s">
        <v>0</v>
      </c>
      <c r="L6" s="24" t="s">
        <v>7</v>
      </c>
      <c r="M6" s="25" t="s">
        <v>8</v>
      </c>
      <c r="N6" s="26" t="s">
        <v>9</v>
      </c>
      <c r="O6" s="25" t="s">
        <v>10</v>
      </c>
      <c r="P6" s="27"/>
      <c r="Q6" s="28"/>
      <c r="R6" s="28"/>
      <c r="S6" s="28"/>
      <c r="T6" s="28"/>
      <c r="U6" s="29"/>
    </row>
    <row r="7" ht="15.75" customHeight="1" spans="1:29">
      <c r="A7" s="30"/>
      <c r="B7" s="31">
        <v>1</v>
      </c>
      <c r="C7" s="32"/>
      <c r="D7" s="31">
        <v>2</v>
      </c>
      <c r="E7" s="32"/>
      <c r="F7" s="31">
        <v>3</v>
      </c>
      <c r="G7" s="32"/>
      <c r="H7" s="33"/>
      <c r="I7" s="33"/>
      <c r="J7" s="34"/>
      <c r="K7" s="30"/>
      <c r="L7" s="35"/>
      <c r="M7" s="36"/>
      <c r="N7" s="37"/>
      <c r="O7" s="38"/>
      <c r="P7" s="27"/>
      <c r="Q7" s="28"/>
      <c r="R7" s="28"/>
      <c r="S7" s="28"/>
      <c r="T7" s="28"/>
      <c r="U7" s="29"/>
      <c r="X7" s="39"/>
    </row>
    <row r="8" s="2" customFormat="1" ht="15" customHeight="1" spans="1:29">
      <c r="A8" s="40">
        <v>0.0416666666666666</v>
      </c>
      <c r="B8" s="41" t="s">
        <v>11</v>
      </c>
      <c r="C8" s="42"/>
      <c r="D8" s="41">
        <v>261</v>
      </c>
      <c r="E8" s="42"/>
      <c r="F8" s="41">
        <v>275</v>
      </c>
      <c r="G8" s="42"/>
      <c r="H8" s="43">
        <f t="shared" ref="H8:H31" si="0">IF(SUM(B8:G8)/1000=0,"0",SUM(B8:G8))</f>
        <v>536</v>
      </c>
      <c r="I8" s="44">
        <f t="shared" ref="I8:I31" si="1">IFERROR(AVERAGE(B8:G8),"0")</f>
        <v>268</v>
      </c>
      <c r="J8" s="45">
        <f t="shared" ref="J8:J31" si="2">COUNT(B8:G8)</f>
        <v>2</v>
      </c>
      <c r="K8" s="46">
        <v>0.0416666666666667</v>
      </c>
      <c r="L8" s="47">
        <v>4500</v>
      </c>
      <c r="M8" s="48">
        <v>158.29</v>
      </c>
      <c r="N8" s="49">
        <f>(M9-M8)*12000</f>
        <v>600.000000000136</v>
      </c>
      <c r="O8" s="50"/>
      <c r="P8" s="51"/>
      <c r="Q8" s="52"/>
      <c r="R8" s="52"/>
      <c r="S8" s="52"/>
      <c r="T8" s="52"/>
      <c r="U8" s="53"/>
    </row>
    <row r="9" s="3" customFormat="1" ht="15" customHeight="1" spans="1:29">
      <c r="A9" s="40">
        <v>0.0833333333333333</v>
      </c>
      <c r="B9" s="41" t="s">
        <v>11</v>
      </c>
      <c r="C9" s="42"/>
      <c r="D9" s="41">
        <v>264</v>
      </c>
      <c r="E9" s="42"/>
      <c r="F9" s="41">
        <v>247</v>
      </c>
      <c r="G9" s="42"/>
      <c r="H9" s="43">
        <f t="shared" si="0"/>
        <v>511</v>
      </c>
      <c r="I9" s="44">
        <f t="shared" si="1"/>
        <v>255.5</v>
      </c>
      <c r="J9" s="45">
        <f t="shared" si="2"/>
        <v>2</v>
      </c>
      <c r="K9" s="46">
        <v>0.0833333333333333</v>
      </c>
      <c r="L9" s="47">
        <v>4200</v>
      </c>
      <c r="M9" s="54">
        <v>158.34</v>
      </c>
      <c r="N9" s="49">
        <f t="shared" ref="N9:N30" si="3">(M10-M9)*12000</f>
        <v>599.999999999795</v>
      </c>
      <c r="O9" s="55"/>
      <c r="P9" s="51"/>
      <c r="Q9" s="52"/>
      <c r="R9" s="52"/>
      <c r="S9" s="52"/>
      <c r="T9" s="52"/>
      <c r="U9" s="53"/>
    </row>
    <row r="10" s="3" customFormat="1" ht="15" customHeight="1" spans="1:29">
      <c r="A10" s="40">
        <v>0.125</v>
      </c>
      <c r="B10" s="41" t="s">
        <v>11</v>
      </c>
      <c r="C10" s="42"/>
      <c r="D10" s="41">
        <v>254</v>
      </c>
      <c r="E10" s="42"/>
      <c r="F10" s="41">
        <v>262</v>
      </c>
      <c r="G10" s="42"/>
      <c r="H10" s="43">
        <f t="shared" si="0"/>
        <v>516</v>
      </c>
      <c r="I10" s="44">
        <f t="shared" si="1"/>
        <v>258</v>
      </c>
      <c r="J10" s="45">
        <f t="shared" si="2"/>
        <v>2</v>
      </c>
      <c r="K10" s="46">
        <v>0.125</v>
      </c>
      <c r="L10" s="47">
        <v>4200</v>
      </c>
      <c r="M10" s="54">
        <v>158.39</v>
      </c>
      <c r="N10" s="49">
        <f t="shared" si="3"/>
        <v>480.000000000246</v>
      </c>
      <c r="O10" s="56"/>
      <c r="P10" s="51"/>
      <c r="Q10" s="52"/>
      <c r="R10" s="52"/>
      <c r="S10" s="52"/>
      <c r="T10" s="52"/>
      <c r="U10" s="53"/>
    </row>
    <row r="11" s="3" customFormat="1" ht="15" customHeight="1" spans="1:29">
      <c r="A11" s="40">
        <v>0.166666666666667</v>
      </c>
      <c r="B11" s="41" t="s">
        <v>11</v>
      </c>
      <c r="C11" s="42"/>
      <c r="D11" s="41">
        <v>234</v>
      </c>
      <c r="E11" s="42"/>
      <c r="F11" s="41">
        <v>258</v>
      </c>
      <c r="G11" s="42"/>
      <c r="H11" s="43">
        <f t="shared" si="0"/>
        <v>492</v>
      </c>
      <c r="I11" s="44">
        <f t="shared" si="1"/>
        <v>246</v>
      </c>
      <c r="J11" s="45">
        <f t="shared" si="2"/>
        <v>2</v>
      </c>
      <c r="K11" s="46">
        <v>0.166666666666667</v>
      </c>
      <c r="L11" s="47">
        <v>4000</v>
      </c>
      <c r="M11" s="54">
        <v>158.43</v>
      </c>
      <c r="N11" s="49">
        <f t="shared" si="3"/>
        <v>599.999999999795</v>
      </c>
      <c r="O11" s="56"/>
      <c r="P11" s="51"/>
      <c r="Q11" s="52"/>
      <c r="R11" s="52"/>
      <c r="S11" s="52"/>
      <c r="T11" s="52"/>
      <c r="U11" s="53"/>
    </row>
    <row r="12" s="3" customFormat="1" ht="15" customHeight="1" spans="1:29">
      <c r="A12" s="40">
        <v>0.208333333333333</v>
      </c>
      <c r="B12" s="41" t="s">
        <v>11</v>
      </c>
      <c r="C12" s="42"/>
      <c r="D12" s="41">
        <v>251</v>
      </c>
      <c r="E12" s="42"/>
      <c r="F12" s="41">
        <v>253</v>
      </c>
      <c r="G12" s="42"/>
      <c r="H12" s="43">
        <f t="shared" si="0"/>
        <v>504</v>
      </c>
      <c r="I12" s="44">
        <f t="shared" si="1"/>
        <v>252</v>
      </c>
      <c r="J12" s="45">
        <f t="shared" si="2"/>
        <v>2</v>
      </c>
      <c r="K12" s="46">
        <v>0.208333333333333</v>
      </c>
      <c r="L12" s="47">
        <v>3900</v>
      </c>
      <c r="M12" s="54">
        <v>158.48</v>
      </c>
      <c r="N12" s="49">
        <f t="shared" si="3"/>
        <v>600.000000000136</v>
      </c>
      <c r="O12" s="56"/>
      <c r="P12" s="51"/>
      <c r="Q12" s="52"/>
      <c r="R12" s="52"/>
      <c r="S12" s="52"/>
      <c r="T12" s="52"/>
      <c r="U12" s="53"/>
    </row>
    <row r="13" s="3" customFormat="1" ht="15" customHeight="1" spans="1:29">
      <c r="A13" s="40">
        <v>0.25</v>
      </c>
      <c r="B13" s="41" t="s">
        <v>11</v>
      </c>
      <c r="C13" s="42"/>
      <c r="D13" s="41">
        <v>274</v>
      </c>
      <c r="E13" s="42"/>
      <c r="F13" s="41">
        <v>262</v>
      </c>
      <c r="G13" s="42"/>
      <c r="H13" s="43">
        <f t="shared" si="0"/>
        <v>536</v>
      </c>
      <c r="I13" s="44">
        <f t="shared" si="1"/>
        <v>268</v>
      </c>
      <c r="J13" s="45">
        <f t="shared" si="2"/>
        <v>2</v>
      </c>
      <c r="K13" s="46">
        <v>0.25</v>
      </c>
      <c r="L13" s="47">
        <v>3600</v>
      </c>
      <c r="M13" s="54">
        <v>158.53</v>
      </c>
      <c r="N13" s="49">
        <f t="shared" si="3"/>
        <v>600.000000000136</v>
      </c>
      <c r="O13" s="56"/>
      <c r="P13" s="51"/>
      <c r="Q13" s="52"/>
      <c r="R13" s="52"/>
      <c r="S13" s="52"/>
      <c r="T13" s="52"/>
      <c r="U13" s="53"/>
    </row>
    <row r="14" s="3" customFormat="1" ht="15" customHeight="1" spans="1:29">
      <c r="A14" s="40">
        <v>0.291666666666667</v>
      </c>
      <c r="B14" s="41" t="s">
        <v>11</v>
      </c>
      <c r="C14" s="42"/>
      <c r="D14" s="41">
        <v>269</v>
      </c>
      <c r="E14" s="42"/>
      <c r="F14" s="41">
        <v>277</v>
      </c>
      <c r="G14" s="42"/>
      <c r="H14" s="43">
        <f t="shared" si="0"/>
        <v>546</v>
      </c>
      <c r="I14" s="44">
        <f t="shared" si="1"/>
        <v>273</v>
      </c>
      <c r="J14" s="45">
        <f t="shared" si="2"/>
        <v>2</v>
      </c>
      <c r="K14" s="46">
        <v>0.291666666666667</v>
      </c>
      <c r="L14" s="47">
        <v>3600</v>
      </c>
      <c r="M14" s="54">
        <v>158.58</v>
      </c>
      <c r="N14" s="49">
        <f t="shared" si="3"/>
        <v>599.999999999795</v>
      </c>
      <c r="O14" s="56"/>
      <c r="P14" s="51"/>
      <c r="Q14" s="52"/>
      <c r="R14" s="52"/>
      <c r="S14" s="52"/>
      <c r="T14" s="52"/>
      <c r="U14" s="53"/>
    </row>
    <row r="15" s="3" customFormat="1" ht="15" customHeight="1" spans="1:29">
      <c r="A15" s="40">
        <v>0.333333333333333</v>
      </c>
      <c r="B15" s="41" t="s">
        <v>11</v>
      </c>
      <c r="C15" s="42"/>
      <c r="D15" s="41">
        <v>254</v>
      </c>
      <c r="E15" s="42"/>
      <c r="F15" s="41">
        <v>261</v>
      </c>
      <c r="G15" s="42"/>
      <c r="H15" s="43">
        <f t="shared" si="0"/>
        <v>515</v>
      </c>
      <c r="I15" s="44">
        <f t="shared" si="1"/>
        <v>257.5</v>
      </c>
      <c r="J15" s="45">
        <f t="shared" si="2"/>
        <v>2</v>
      </c>
      <c r="K15" s="46">
        <v>0.333333333333333</v>
      </c>
      <c r="L15" s="47">
        <v>3600</v>
      </c>
      <c r="M15" s="54">
        <v>158.63</v>
      </c>
      <c r="N15" s="49">
        <f t="shared" si="3"/>
        <v>600.000000000136</v>
      </c>
      <c r="O15" s="56"/>
      <c r="P15" s="51"/>
      <c r="Q15" s="52"/>
      <c r="R15" s="52"/>
      <c r="S15" s="52"/>
      <c r="T15" s="52"/>
      <c r="U15" s="53"/>
    </row>
    <row r="16" s="3" customFormat="1" ht="15" customHeight="1" spans="1:29">
      <c r="A16" s="40">
        <v>0.375</v>
      </c>
      <c r="B16" s="41" t="s">
        <v>11</v>
      </c>
      <c r="C16" s="42"/>
      <c r="D16" s="41">
        <v>250</v>
      </c>
      <c r="E16" s="42"/>
      <c r="F16" s="41">
        <v>253</v>
      </c>
      <c r="G16" s="42"/>
      <c r="H16" s="43">
        <f t="shared" si="0"/>
        <v>503</v>
      </c>
      <c r="I16" s="44">
        <f t="shared" si="1"/>
        <v>251.5</v>
      </c>
      <c r="J16" s="45">
        <f t="shared" si="2"/>
        <v>2</v>
      </c>
      <c r="K16" s="46">
        <v>0.375</v>
      </c>
      <c r="L16" s="47">
        <v>3600</v>
      </c>
      <c r="M16" s="54">
        <v>158.68</v>
      </c>
      <c r="N16" s="49">
        <f t="shared" si="3"/>
        <v>599.999999999795</v>
      </c>
      <c r="O16" s="56"/>
      <c r="P16" s="51"/>
      <c r="Q16" s="52"/>
      <c r="R16" s="52"/>
      <c r="S16" s="52"/>
      <c r="T16" s="52"/>
      <c r="U16" s="53"/>
    </row>
    <row r="17" s="3" customFormat="1" ht="15" customHeight="1" spans="1:21">
      <c r="A17" s="40">
        <v>0.416666666666667</v>
      </c>
      <c r="B17" s="41" t="s">
        <v>11</v>
      </c>
      <c r="C17" s="42"/>
      <c r="D17" s="41">
        <v>231</v>
      </c>
      <c r="E17" s="42"/>
      <c r="F17" s="41">
        <v>250</v>
      </c>
      <c r="G17" s="42"/>
      <c r="H17" s="43">
        <f t="shared" si="0"/>
        <v>481</v>
      </c>
      <c r="I17" s="44">
        <f t="shared" si="1"/>
        <v>240.5</v>
      </c>
      <c r="J17" s="45">
        <f t="shared" si="2"/>
        <v>2</v>
      </c>
      <c r="K17" s="46">
        <v>0.416666666666666</v>
      </c>
      <c r="L17" s="47">
        <v>3400</v>
      </c>
      <c r="M17" s="54">
        <v>158.73</v>
      </c>
      <c r="N17" s="49">
        <f t="shared" si="3"/>
        <v>600.000000000136</v>
      </c>
      <c r="O17" s="56"/>
      <c r="P17" s="51"/>
      <c r="Q17" s="52"/>
      <c r="R17" s="52"/>
      <c r="S17" s="52"/>
      <c r="T17" s="52"/>
      <c r="U17" s="53"/>
    </row>
    <row r="18" s="3" customFormat="1" ht="15" customHeight="1" spans="1:21">
      <c r="A18" s="40">
        <v>0.458333333333333</v>
      </c>
      <c r="B18" s="41" t="s">
        <v>11</v>
      </c>
      <c r="C18" s="42"/>
      <c r="D18" s="41">
        <v>247</v>
      </c>
      <c r="E18" s="42"/>
      <c r="F18" s="41">
        <v>249</v>
      </c>
      <c r="G18" s="42"/>
      <c r="H18" s="43">
        <f t="shared" si="0"/>
        <v>496</v>
      </c>
      <c r="I18" s="44">
        <f t="shared" si="1"/>
        <v>248</v>
      </c>
      <c r="J18" s="45">
        <f t="shared" si="2"/>
        <v>2</v>
      </c>
      <c r="K18" s="46">
        <v>0.458333333333333</v>
      </c>
      <c r="L18" s="47">
        <v>3300</v>
      </c>
      <c r="M18" s="54">
        <v>158.78</v>
      </c>
      <c r="N18" s="49">
        <f t="shared" si="3"/>
        <v>600.000000000136</v>
      </c>
      <c r="O18" s="56"/>
      <c r="P18" s="51"/>
      <c r="Q18" s="52"/>
      <c r="R18" s="52"/>
      <c r="S18" s="52"/>
      <c r="T18" s="52"/>
      <c r="U18" s="53"/>
    </row>
    <row r="19" s="3" customFormat="1" ht="15" customHeight="1" spans="1:21">
      <c r="A19" s="40">
        <v>0.5</v>
      </c>
      <c r="B19" s="41" t="s">
        <v>11</v>
      </c>
      <c r="C19" s="42"/>
      <c r="D19" s="41">
        <v>235</v>
      </c>
      <c r="E19" s="42"/>
      <c r="F19" s="41">
        <v>250</v>
      </c>
      <c r="G19" s="42"/>
      <c r="H19" s="43">
        <f t="shared" si="0"/>
        <v>485</v>
      </c>
      <c r="I19" s="44">
        <f t="shared" si="1"/>
        <v>242.5</v>
      </c>
      <c r="J19" s="45">
        <f t="shared" si="2"/>
        <v>2</v>
      </c>
      <c r="K19" s="46">
        <v>0.5</v>
      </c>
      <c r="L19" s="47">
        <v>3300</v>
      </c>
      <c r="M19" s="54">
        <v>158.83</v>
      </c>
      <c r="N19" s="49">
        <f t="shared" si="3"/>
        <v>479.999999999905</v>
      </c>
      <c r="O19" s="56"/>
      <c r="P19" s="51"/>
      <c r="Q19" s="52"/>
      <c r="R19" s="52"/>
      <c r="S19" s="52"/>
      <c r="T19" s="52"/>
      <c r="U19" s="53"/>
    </row>
    <row r="20" s="3" customFormat="1" ht="15" customHeight="1" spans="1:21">
      <c r="A20" s="40">
        <v>0.541666666666667</v>
      </c>
      <c r="B20" s="41" t="s">
        <v>11</v>
      </c>
      <c r="C20" s="42"/>
      <c r="D20" s="41">
        <v>232</v>
      </c>
      <c r="E20" s="42"/>
      <c r="F20" s="41">
        <v>350</v>
      </c>
      <c r="G20" s="42"/>
      <c r="H20" s="43">
        <f t="shared" si="0"/>
        <v>582</v>
      </c>
      <c r="I20" s="44">
        <f t="shared" si="1"/>
        <v>291</v>
      </c>
      <c r="J20" s="45">
        <f t="shared" si="2"/>
        <v>2</v>
      </c>
      <c r="K20" s="46">
        <v>0.541666666666667</v>
      </c>
      <c r="L20" s="47">
        <v>3000</v>
      </c>
      <c r="M20" s="54">
        <v>158.87</v>
      </c>
      <c r="N20" s="49">
        <f t="shared" si="3"/>
        <v>479.999999999905</v>
      </c>
      <c r="O20" s="56"/>
      <c r="P20" s="51"/>
      <c r="Q20" s="52"/>
      <c r="R20" s="52"/>
      <c r="S20" s="52"/>
      <c r="T20" s="52"/>
      <c r="U20" s="53"/>
    </row>
    <row r="21" s="3" customFormat="1" ht="15" customHeight="1" spans="1:21">
      <c r="A21" s="40">
        <v>0.583333333333333</v>
      </c>
      <c r="B21" s="41" t="s">
        <v>11</v>
      </c>
      <c r="C21" s="42"/>
      <c r="D21" s="41">
        <v>463</v>
      </c>
      <c r="E21" s="42"/>
      <c r="F21" s="41" t="s">
        <v>26</v>
      </c>
      <c r="G21" s="42"/>
      <c r="H21" s="43">
        <f t="shared" si="0"/>
        <v>463</v>
      </c>
      <c r="I21" s="44">
        <f t="shared" si="1"/>
        <v>463</v>
      </c>
      <c r="J21" s="45">
        <f t="shared" si="2"/>
        <v>1</v>
      </c>
      <c r="K21" s="46">
        <v>0.583333333333333</v>
      </c>
      <c r="L21" s="47">
        <v>3000</v>
      </c>
      <c r="M21" s="54">
        <v>158.91</v>
      </c>
      <c r="N21" s="49">
        <f t="shared" si="3"/>
        <v>600.000000000136</v>
      </c>
      <c r="O21" s="56"/>
      <c r="P21" s="51"/>
      <c r="Q21" s="52"/>
      <c r="R21" s="52"/>
      <c r="S21" s="52"/>
      <c r="T21" s="52"/>
      <c r="U21" s="53"/>
    </row>
    <row r="22" s="3" customFormat="1" ht="15" customHeight="1" spans="1:21">
      <c r="A22" s="40">
        <v>0.625</v>
      </c>
      <c r="B22" s="41" t="s">
        <v>11</v>
      </c>
      <c r="C22" s="42"/>
      <c r="D22" s="41">
        <v>455</v>
      </c>
      <c r="E22" s="42"/>
      <c r="F22" s="41" t="s">
        <v>26</v>
      </c>
      <c r="G22" s="42"/>
      <c r="H22" s="43">
        <f t="shared" si="0"/>
        <v>455</v>
      </c>
      <c r="I22" s="44">
        <f t="shared" si="1"/>
        <v>455</v>
      </c>
      <c r="J22" s="45">
        <f t="shared" si="2"/>
        <v>1</v>
      </c>
      <c r="K22" s="46">
        <v>0.625</v>
      </c>
      <c r="L22" s="47">
        <v>3000</v>
      </c>
      <c r="M22" s="54">
        <v>158.96</v>
      </c>
      <c r="N22" s="49">
        <f t="shared" si="3"/>
        <v>479.999999999905</v>
      </c>
      <c r="O22" s="56"/>
      <c r="P22" s="51"/>
      <c r="Q22" s="52"/>
      <c r="R22" s="52"/>
      <c r="S22" s="52"/>
      <c r="T22" s="52"/>
      <c r="U22" s="53"/>
    </row>
    <row r="23" s="3" customFormat="1" ht="15" customHeight="1" spans="1:21">
      <c r="A23" s="40">
        <v>0.666666666666667</v>
      </c>
      <c r="B23" s="41" t="s">
        <v>11</v>
      </c>
      <c r="C23" s="42"/>
      <c r="D23" s="41" t="s">
        <v>26</v>
      </c>
      <c r="E23" s="42"/>
      <c r="F23" s="41">
        <v>445</v>
      </c>
      <c r="G23" s="42"/>
      <c r="H23" s="43">
        <f t="shared" si="0"/>
        <v>445</v>
      </c>
      <c r="I23" s="44">
        <f t="shared" si="1"/>
        <v>445</v>
      </c>
      <c r="J23" s="45">
        <f t="shared" si="2"/>
        <v>1</v>
      </c>
      <c r="K23" s="46">
        <v>0.666666666666666</v>
      </c>
      <c r="L23" s="47">
        <v>3000</v>
      </c>
      <c r="M23" s="54">
        <v>159</v>
      </c>
      <c r="N23" s="49">
        <f t="shared" si="3"/>
        <v>479.999999999905</v>
      </c>
      <c r="O23" s="56"/>
      <c r="P23" s="51"/>
      <c r="Q23" s="52"/>
      <c r="R23" s="52"/>
      <c r="S23" s="52"/>
      <c r="T23" s="52"/>
      <c r="U23" s="53"/>
    </row>
    <row r="24" s="3" customFormat="1" ht="15" customHeight="1" spans="1:21">
      <c r="A24" s="40">
        <v>0.708333333333334</v>
      </c>
      <c r="B24" s="41" t="s">
        <v>11</v>
      </c>
      <c r="C24" s="42"/>
      <c r="D24" s="41" t="s">
        <v>26</v>
      </c>
      <c r="E24" s="42"/>
      <c r="F24" s="41">
        <v>470</v>
      </c>
      <c r="G24" s="42"/>
      <c r="H24" s="43">
        <f t="shared" si="0"/>
        <v>470</v>
      </c>
      <c r="I24" s="44">
        <f t="shared" si="1"/>
        <v>470</v>
      </c>
      <c r="J24" s="45">
        <f t="shared" si="2"/>
        <v>1</v>
      </c>
      <c r="K24" s="46">
        <v>0.708333333333333</v>
      </c>
      <c r="L24" s="47">
        <v>2700</v>
      </c>
      <c r="M24" s="54">
        <v>159.04</v>
      </c>
      <c r="N24" s="49">
        <f t="shared" si="3"/>
        <v>600.000000000136</v>
      </c>
      <c r="O24" s="56"/>
      <c r="P24" s="51"/>
      <c r="Q24" s="52"/>
      <c r="R24" s="52"/>
      <c r="S24" s="52"/>
      <c r="T24" s="52"/>
      <c r="U24" s="53"/>
    </row>
    <row r="25" s="3" customFormat="1" ht="15" customHeight="1" spans="1:21">
      <c r="A25" s="40">
        <v>0.75</v>
      </c>
      <c r="B25" s="41" t="s">
        <v>11</v>
      </c>
      <c r="C25" s="42"/>
      <c r="D25" s="41">
        <v>260</v>
      </c>
      <c r="E25" s="42"/>
      <c r="F25" s="41">
        <v>246</v>
      </c>
      <c r="G25" s="42"/>
      <c r="H25" s="43">
        <f t="shared" si="0"/>
        <v>506</v>
      </c>
      <c r="I25" s="44">
        <f t="shared" si="1"/>
        <v>253</v>
      </c>
      <c r="J25" s="45">
        <f t="shared" si="2"/>
        <v>2</v>
      </c>
      <c r="K25" s="46">
        <v>0.75</v>
      </c>
      <c r="L25" s="47">
        <v>2400</v>
      </c>
      <c r="M25" s="54">
        <v>159.09</v>
      </c>
      <c r="N25" s="49">
        <f t="shared" si="3"/>
        <v>720.000000000027</v>
      </c>
      <c r="O25" s="56"/>
      <c r="P25" s="51"/>
      <c r="Q25" s="52"/>
      <c r="R25" s="52"/>
      <c r="S25" s="52"/>
      <c r="T25" s="52"/>
      <c r="U25" s="53"/>
    </row>
    <row r="26" s="3" customFormat="1" ht="15" customHeight="1" spans="1:21">
      <c r="A26" s="40">
        <v>0.791666666666667</v>
      </c>
      <c r="B26" s="41" t="s">
        <v>11</v>
      </c>
      <c r="C26" s="42"/>
      <c r="D26" s="41">
        <v>315</v>
      </c>
      <c r="E26" s="42"/>
      <c r="F26" s="41">
        <v>339</v>
      </c>
      <c r="G26" s="42"/>
      <c r="H26" s="43">
        <f t="shared" si="0"/>
        <v>654</v>
      </c>
      <c r="I26" s="44">
        <f t="shared" si="1"/>
        <v>327</v>
      </c>
      <c r="J26" s="45">
        <f t="shared" si="2"/>
        <v>2</v>
      </c>
      <c r="K26" s="46">
        <v>0.791666666666666</v>
      </c>
      <c r="L26" s="47">
        <v>2100</v>
      </c>
      <c r="M26" s="54">
        <v>159.15</v>
      </c>
      <c r="N26" s="49">
        <f t="shared" si="3"/>
        <v>720.000000000027</v>
      </c>
      <c r="O26" s="56"/>
      <c r="P26" s="51"/>
      <c r="Q26" s="52"/>
      <c r="R26" s="52"/>
      <c r="S26" s="52"/>
      <c r="T26" s="52"/>
      <c r="U26" s="53"/>
    </row>
    <row r="27" s="3" customFormat="1" ht="15" customHeight="1" spans="1:21">
      <c r="A27" s="40">
        <v>0.833333333333334</v>
      </c>
      <c r="B27" s="41" t="s">
        <v>11</v>
      </c>
      <c r="C27" s="42"/>
      <c r="D27" s="41">
        <v>347</v>
      </c>
      <c r="E27" s="42"/>
      <c r="F27" s="41">
        <v>351</v>
      </c>
      <c r="G27" s="42"/>
      <c r="H27" s="43">
        <f t="shared" si="0"/>
        <v>698</v>
      </c>
      <c r="I27" s="44">
        <f t="shared" si="1"/>
        <v>349</v>
      </c>
      <c r="J27" s="45">
        <f t="shared" si="2"/>
        <v>2</v>
      </c>
      <c r="K27" s="46">
        <v>0.833333333333333</v>
      </c>
      <c r="L27" s="47">
        <v>2100</v>
      </c>
      <c r="M27" s="54">
        <v>159.21</v>
      </c>
      <c r="N27" s="49">
        <f t="shared" si="3"/>
        <v>720.000000000027</v>
      </c>
      <c r="O27" s="56"/>
      <c r="P27" s="51"/>
      <c r="Q27" s="52"/>
      <c r="R27" s="52"/>
      <c r="S27" s="52"/>
      <c r="T27" s="52"/>
      <c r="U27" s="53"/>
    </row>
    <row r="28" s="4" customFormat="1" ht="15" customHeight="1" spans="1:21">
      <c r="A28" s="40">
        <v>0.875</v>
      </c>
      <c r="B28" s="41" t="s">
        <v>11</v>
      </c>
      <c r="C28" s="42"/>
      <c r="D28" s="41">
        <v>275</v>
      </c>
      <c r="E28" s="42"/>
      <c r="F28" s="41">
        <v>295</v>
      </c>
      <c r="G28" s="42"/>
      <c r="H28" s="43">
        <f t="shared" si="0"/>
        <v>570</v>
      </c>
      <c r="I28" s="44">
        <f t="shared" si="1"/>
        <v>285</v>
      </c>
      <c r="J28" s="45">
        <f t="shared" si="2"/>
        <v>2</v>
      </c>
      <c r="K28" s="46">
        <v>0.875</v>
      </c>
      <c r="L28" s="47">
        <v>1800</v>
      </c>
      <c r="M28" s="54">
        <v>159.27</v>
      </c>
      <c r="N28" s="49">
        <f t="shared" si="3"/>
        <v>599.999999999795</v>
      </c>
      <c r="O28" s="56"/>
      <c r="P28" s="51"/>
      <c r="Q28" s="52"/>
      <c r="R28" s="52"/>
      <c r="S28" s="52"/>
      <c r="T28" s="52"/>
      <c r="U28" s="53"/>
    </row>
    <row r="29" s="3" customFormat="1" ht="15" customHeight="1" spans="1:21">
      <c r="A29" s="40">
        <v>0.916666666666667</v>
      </c>
      <c r="B29" s="41" t="s">
        <v>11</v>
      </c>
      <c r="C29" s="42"/>
      <c r="D29" s="41">
        <v>283</v>
      </c>
      <c r="E29" s="42"/>
      <c r="F29" s="41">
        <v>269</v>
      </c>
      <c r="G29" s="42"/>
      <c r="H29" s="43">
        <f t="shared" si="0"/>
        <v>552</v>
      </c>
      <c r="I29" s="44">
        <f t="shared" si="1"/>
        <v>276</v>
      </c>
      <c r="J29" s="45">
        <f t="shared" si="2"/>
        <v>2</v>
      </c>
      <c r="K29" s="46">
        <v>0.916666666666666</v>
      </c>
      <c r="L29" s="47">
        <v>1800</v>
      </c>
      <c r="M29" s="54">
        <v>159.32</v>
      </c>
      <c r="N29" s="49">
        <f t="shared" si="3"/>
        <v>600.000000000136</v>
      </c>
      <c r="O29" s="56"/>
      <c r="P29" s="51"/>
      <c r="Q29" s="52"/>
      <c r="R29" s="52"/>
      <c r="S29" s="52"/>
      <c r="T29" s="52"/>
      <c r="U29" s="53"/>
    </row>
    <row r="30" s="3" customFormat="1" ht="15" customHeight="1" spans="1:21">
      <c r="A30" s="40">
        <v>0.958333333333334</v>
      </c>
      <c r="B30" s="41" t="s">
        <v>11</v>
      </c>
      <c r="C30" s="42"/>
      <c r="D30" s="41">
        <v>249</v>
      </c>
      <c r="E30" s="42"/>
      <c r="F30" s="41">
        <v>253</v>
      </c>
      <c r="G30" s="42"/>
      <c r="H30" s="43">
        <f t="shared" si="0"/>
        <v>502</v>
      </c>
      <c r="I30" s="44">
        <f t="shared" si="1"/>
        <v>251</v>
      </c>
      <c r="J30" s="45">
        <f t="shared" si="2"/>
        <v>2</v>
      </c>
      <c r="K30" s="46">
        <v>0.958333333333333</v>
      </c>
      <c r="L30" s="47">
        <v>1800</v>
      </c>
      <c r="M30" s="54">
        <v>159.37</v>
      </c>
      <c r="N30" s="49">
        <f t="shared" si="3"/>
        <v>599.999999999795</v>
      </c>
      <c r="O30" s="56"/>
      <c r="P30" s="51"/>
      <c r="Q30" s="52"/>
      <c r="R30" s="52"/>
      <c r="S30" s="52"/>
      <c r="T30" s="52"/>
      <c r="U30" s="53"/>
    </row>
    <row r="31" s="2" customFormat="1" ht="15" customHeight="1" spans="1:21">
      <c r="A31" s="57">
        <v>1</v>
      </c>
      <c r="B31" s="41" t="s">
        <v>11</v>
      </c>
      <c r="C31" s="42"/>
      <c r="D31" s="41">
        <v>240</v>
      </c>
      <c r="E31" s="42"/>
      <c r="F31" s="41">
        <v>234</v>
      </c>
      <c r="G31" s="42"/>
      <c r="H31" s="43">
        <f t="shared" si="0"/>
        <v>474</v>
      </c>
      <c r="I31" s="58">
        <f t="shared" si="1"/>
        <v>237</v>
      </c>
      <c r="J31" s="59">
        <f t="shared" si="2"/>
        <v>2</v>
      </c>
      <c r="K31" s="60">
        <v>1</v>
      </c>
      <c r="L31" s="47">
        <v>4500</v>
      </c>
      <c r="M31" s="61">
        <v>159.42</v>
      </c>
      <c r="N31" s="49">
        <f>H31</f>
        <v>474</v>
      </c>
      <c r="O31" s="56"/>
      <c r="P31" s="51"/>
      <c r="Q31" s="52"/>
      <c r="R31" s="52"/>
      <c r="S31" s="52"/>
      <c r="T31" s="52"/>
      <c r="U31" s="53"/>
    </row>
    <row r="32" s="3" customFormat="1" ht="23.25" customHeight="1" spans="1:21">
      <c r="A32" s="62" t="s">
        <v>12</v>
      </c>
      <c r="B32" s="63">
        <f>SUM(B8:B31)/1000</f>
        <v>0</v>
      </c>
      <c r="C32" s="64"/>
      <c r="D32" s="63">
        <f>SUM(D8:D31)/1000</f>
        <v>6.143</v>
      </c>
      <c r="E32" s="64"/>
      <c r="F32" s="63">
        <f>SUM(F8:F31)/1000</f>
        <v>6.349</v>
      </c>
      <c r="G32" s="64"/>
      <c r="H32" s="65">
        <f>SUM(H8:H31)</f>
        <v>12492</v>
      </c>
      <c r="I32" s="66" t="s">
        <v>13</v>
      </c>
      <c r="J32" s="67"/>
      <c r="K32" s="68"/>
      <c r="L32" s="69"/>
      <c r="M32" s="70">
        <f>SUM(M31-M8+N8)</f>
        <v>601.130000000136</v>
      </c>
      <c r="N32" s="71">
        <f>SUM(N8:N31)</f>
        <v>14033.9999999999</v>
      </c>
      <c r="O32" s="72">
        <f>SUM(O8:O31)</f>
        <v>0</v>
      </c>
      <c r="P32" s="73"/>
      <c r="Q32" s="74"/>
      <c r="R32" s="74"/>
      <c r="S32" s="74"/>
      <c r="T32" s="74"/>
      <c r="U32" s="75"/>
    </row>
    <row r="33" ht="15" customHeight="1" spans="1:29">
      <c r="A33" s="76" t="s">
        <v>14</v>
      </c>
      <c r="B33" s="77" t="str">
        <f>IFERROR((AVERAGE(B8:B31)),"0")</f>
        <v>0</v>
      </c>
      <c r="C33" s="78"/>
      <c r="D33" s="79">
        <f>IFERROR((AVERAGE(D8:D31)),"0")</f>
        <v>279.227272727273</v>
      </c>
      <c r="E33" s="78"/>
      <c r="F33" s="79">
        <f>IFERROR((AVERAGE(F8:F31)),"0")</f>
        <v>288.590909090909</v>
      </c>
      <c r="G33" s="80"/>
      <c r="H33" s="81">
        <f>H32*1000</f>
        <v>12492000</v>
      </c>
      <c r="I33" s="82" t="s">
        <v>15</v>
      </c>
      <c r="J33" s="83"/>
      <c r="K33" s="84"/>
      <c r="L33" s="85"/>
      <c r="M33" s="86"/>
      <c r="N33" s="85"/>
      <c r="O33" s="87"/>
      <c r="P33" s="87"/>
      <c r="Q33" s="88"/>
      <c r="R33" s="88"/>
      <c r="S33" s="89"/>
      <c r="T33" s="89"/>
      <c r="U33" s="89"/>
      <c r="V33" s="89"/>
    </row>
    <row r="34" ht="18.75" customHeight="1" spans="1:29">
      <c r="A34" s="90"/>
      <c r="B34" s="91"/>
      <c r="C34" s="92"/>
      <c r="D34" s="93"/>
      <c r="E34" s="92"/>
      <c r="F34" s="93"/>
      <c r="G34" s="94"/>
      <c r="H34" s="95"/>
      <c r="I34" s="96"/>
      <c r="J34" s="97"/>
      <c r="K34" s="98"/>
      <c r="L34" s="85"/>
      <c r="M34" s="86"/>
      <c r="N34" s="99"/>
      <c r="O34" s="99"/>
      <c r="P34" s="99"/>
      <c r="Q34" s="99"/>
      <c r="R34" s="88"/>
      <c r="S34" s="89"/>
      <c r="T34" s="89"/>
      <c r="U34" s="89"/>
      <c r="V34" s="89"/>
    </row>
    <row r="35" ht="22.5" customHeight="1" spans="1:29">
      <c r="A35" s="100" t="s">
        <v>16</v>
      </c>
      <c r="B35" s="101">
        <f>COUNT(B8:B31)</f>
        <v>0</v>
      </c>
      <c r="C35" s="102"/>
      <c r="D35" s="103">
        <f>COUNT(D8:D31)</f>
        <v>22</v>
      </c>
      <c r="E35" s="102"/>
      <c r="F35" s="103">
        <f>COUNT(F8:F31)</f>
        <v>22</v>
      </c>
      <c r="G35" s="104"/>
      <c r="H35" s="105"/>
      <c r="I35" s="106"/>
      <c r="J35" s="107"/>
      <c r="K35" s="107"/>
      <c r="L35" s="107"/>
      <c r="M35" s="107"/>
      <c r="N35" s="99"/>
      <c r="O35" s="99"/>
      <c r="P35" s="99"/>
      <c r="Q35" s="99"/>
      <c r="R35" s="108"/>
      <c r="S35" s="89"/>
      <c r="T35" s="89"/>
      <c r="U35" s="89"/>
      <c r="V35" s="89"/>
    </row>
    <row r="36" ht="9" customHeight="1" spans="1:29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10"/>
      <c r="N36" s="106"/>
      <c r="O36" s="107"/>
      <c r="P36" s="107"/>
      <c r="Q36" s="107"/>
      <c r="R36" s="107"/>
      <c r="S36" s="107"/>
      <c r="T36" s="107"/>
      <c r="U36" s="111"/>
      <c r="V36" s="112"/>
      <c r="W36" s="108"/>
      <c r="X36" s="108"/>
      <c r="Y36" s="108"/>
      <c r="Z36" s="89"/>
      <c r="AA36" s="89"/>
      <c r="AB36" s="89"/>
      <c r="AC36" s="89"/>
    </row>
    <row r="37" ht="24" customHeight="1" spans="1:29">
      <c r="D37" s="113"/>
      <c r="E37" s="113"/>
      <c r="F37" s="113"/>
      <c r="G37" s="113"/>
      <c r="H37" s="113"/>
      <c r="I37" s="113"/>
      <c r="J37" s="113"/>
      <c r="K37" s="114"/>
      <c r="L37" s="114"/>
      <c r="N37" s="115" t="s">
        <v>17</v>
      </c>
      <c r="O37" s="116"/>
      <c r="P37" s="116"/>
      <c r="Q37" s="117"/>
      <c r="R37" s="118">
        <f>SUM(B35:F35)</f>
        <v>44</v>
      </c>
      <c r="S37" s="69"/>
      <c r="T37" s="69"/>
      <c r="U37" s="69"/>
      <c r="V37" s="69"/>
      <c r="X37" s="119"/>
      <c r="Y37" s="119"/>
      <c r="Z37" s="119"/>
      <c r="AA37" s="119"/>
      <c r="AB37" s="119"/>
      <c r="AC37" s="114"/>
    </row>
    <row r="38" ht="15" spans="1:29">
      <c r="D38" s="113"/>
      <c r="E38" s="113"/>
      <c r="F38" s="113"/>
      <c r="G38" s="113"/>
      <c r="H38" s="113"/>
      <c r="I38" s="113"/>
      <c r="J38" s="113"/>
      <c r="K38" s="114"/>
      <c r="L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</row>
    <row r="39" ht="24.75" customHeight="1" spans="1:29">
      <c r="A39" s="120" t="s">
        <v>18</v>
      </c>
      <c r="B39" s="121"/>
      <c r="C39" s="122">
        <f>MAX(H8:H31)</f>
        <v>698</v>
      </c>
      <c r="D39" s="123"/>
      <c r="E39" s="124">
        <f>VLOOKUP(C39,H8:L31,4,FALSE)</f>
        <v>0.833333333333333</v>
      </c>
      <c r="F39" s="125"/>
      <c r="G39" s="125"/>
      <c r="H39" s="126" t="s">
        <v>19</v>
      </c>
      <c r="I39" s="127"/>
      <c r="J39" s="128"/>
      <c r="K39" s="129">
        <f>MAX(J8:J31)</f>
        <v>2</v>
      </c>
      <c r="L39" s="130"/>
      <c r="N39" s="131" t="s">
        <v>20</v>
      </c>
      <c r="O39" s="132"/>
      <c r="P39" s="132"/>
      <c r="Q39" s="133"/>
      <c r="R39" s="134">
        <f>AVERAGE(H8:H31)</f>
        <v>520.5</v>
      </c>
      <c r="S39" s="135"/>
      <c r="T39" s="135"/>
    </row>
    <row r="40" ht="15" spans="1:29">
      <c r="C40" s="136"/>
      <c r="D40" s="137"/>
      <c r="E40" s="138"/>
      <c r="F40" s="138"/>
      <c r="G40" s="138"/>
      <c r="H40" s="138"/>
      <c r="I40" s="139"/>
      <c r="J40" s="106"/>
      <c r="K40" s="110"/>
      <c r="L40" s="110"/>
      <c r="N40" s="140"/>
      <c r="O40" s="140"/>
      <c r="P40" s="140"/>
      <c r="Q40" s="140"/>
      <c r="R40" s="140"/>
      <c r="X40" s="5"/>
      <c r="Y40" s="5"/>
      <c r="Z40" s="5"/>
      <c r="AA40" s="5"/>
      <c r="AB40" s="5"/>
      <c r="AC40" s="141"/>
    </row>
    <row r="41" ht="24.75" customHeight="1" spans="1:29">
      <c r="A41" s="120" t="s">
        <v>21</v>
      </c>
      <c r="B41" s="121"/>
      <c r="C41" s="122">
        <f>MIN(H8:H31)</f>
        <v>445</v>
      </c>
      <c r="D41" s="123"/>
      <c r="E41" s="124">
        <f>VLOOKUP(C41,H8:L31,4,FALSE)</f>
        <v>0.666666666666666</v>
      </c>
      <c r="F41" s="142"/>
      <c r="G41" s="125"/>
      <c r="H41" s="126" t="s">
        <v>22</v>
      </c>
      <c r="I41" s="127"/>
      <c r="J41" s="128"/>
      <c r="K41" s="129">
        <f>MIN(J8:J31)</f>
        <v>1</v>
      </c>
      <c r="L41" s="130"/>
      <c r="N41" s="126" t="s">
        <v>23</v>
      </c>
      <c r="O41" s="127"/>
      <c r="P41" s="127"/>
      <c r="Q41" s="128"/>
      <c r="R41" s="143">
        <f>AVERAGE(I8:I31)</f>
        <v>298.4375</v>
      </c>
      <c r="S41" s="144"/>
      <c r="T41" s="144"/>
      <c r="U41" s="144"/>
      <c r="V41" s="144"/>
      <c r="X41" s="145"/>
    </row>
    <row r="42" ht="15" spans="1:29">
      <c r="D42" s="138"/>
      <c r="E42" s="138"/>
      <c r="F42" s="138"/>
      <c r="G42" s="138"/>
      <c r="H42" s="138"/>
      <c r="I42" s="146"/>
      <c r="J42" s="138"/>
      <c r="K42" s="147"/>
      <c r="L42" s="147"/>
      <c r="V42" s="148"/>
      <c r="W42" s="148"/>
      <c r="X42" s="149"/>
      <c r="Y42" s="149"/>
      <c r="Z42" s="150"/>
      <c r="AA42" s="150"/>
      <c r="AB42" s="150"/>
      <c r="AC42" s="150"/>
    </row>
    <row r="43" ht="24.75" customHeight="1" spans="1:29">
      <c r="C43" s="136"/>
      <c r="H43" s="151"/>
      <c r="I43" s="151"/>
      <c r="J43" s="151"/>
      <c r="K43" s="145"/>
      <c r="L43" s="139"/>
      <c r="N43" s="152" t="s">
        <v>24</v>
      </c>
      <c r="O43" s="153"/>
      <c r="P43" s="153"/>
      <c r="Q43" s="154"/>
      <c r="R43" s="155" t="e">
        <f>AVERAGE(T8:T31)</f>
        <v>#DIV/0!</v>
      </c>
      <c r="X43" s="156"/>
      <c r="Z43" s="157"/>
      <c r="AA43" s="157"/>
      <c r="AB43" s="157"/>
      <c r="AC43" s="157"/>
    </row>
    <row r="44" ht="19.5" spans="1:29">
      <c r="I44" s="158"/>
      <c r="K44" s="159"/>
      <c r="L44" s="159"/>
      <c r="Z44" s="160"/>
      <c r="AA44" s="160"/>
      <c r="AB44" s="160"/>
      <c r="AC44" s="160"/>
    </row>
    <row r="45" ht="24.75" customHeight="1" spans="1:29">
      <c r="D45" s="158"/>
      <c r="E45" s="158"/>
      <c r="F45" s="158"/>
      <c r="G45" s="158"/>
      <c r="H45" s="158"/>
      <c r="N45" s="126" t="s">
        <v>25</v>
      </c>
      <c r="O45" s="127"/>
      <c r="P45" s="127"/>
      <c r="Q45" s="128"/>
      <c r="R45" s="161">
        <f>SUM(M32-H32)/24</f>
        <v>-495.452916666661</v>
      </c>
      <c r="X45" s="162"/>
      <c r="Z45" s="163"/>
      <c r="AA45" s="163"/>
      <c r="AB45" s="163"/>
      <c r="AC45" s="163"/>
    </row>
    <row r="46" spans="1:29">
      <c r="Z46" s="164"/>
      <c r="AA46" s="164"/>
      <c r="AB46" s="164"/>
      <c r="AC46" s="164"/>
    </row>
    <row r="47" spans="1:29">
      <c r="Z47" s="139"/>
      <c r="AA47" s="139"/>
      <c r="AB47" s="139"/>
      <c r="AC47" s="139"/>
    </row>
    <row r="48" spans="1:29">
      <c r="Z48" s="139"/>
      <c r="AA48" s="139"/>
      <c r="AB48" s="139"/>
      <c r="AC48" s="139"/>
    </row>
    <row r="49" spans="11:29">
      <c r="Z49" s="157"/>
      <c r="AA49" s="157"/>
      <c r="AB49" s="157"/>
      <c r="AC49" s="157"/>
    </row>
    <row r="50" spans="11:29">
      <c r="Z50" s="157"/>
      <c r="AA50" s="157"/>
      <c r="AB50" s="157"/>
      <c r="AC50" s="157"/>
    </row>
    <row r="51" spans="11:29">
      <c r="K51" s="150"/>
      <c r="L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0"/>
      <c r="AC51" s="150"/>
    </row>
    <row r="52" spans="11:29">
      <c r="K52" s="150"/>
      <c r="L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  <c r="AB52" s="150"/>
      <c r="AC52" s="150"/>
    </row>
    <row r="53" spans="11:29">
      <c r="K53" s="150"/>
      <c r="L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50"/>
      <c r="AB53" s="150"/>
      <c r="AC53" s="150"/>
    </row>
    <row r="60" spans="11:29">
      <c r="O60" s="165"/>
      <c r="P60" s="165"/>
      <c r="Q60" s="165"/>
      <c r="R60" s="165"/>
      <c r="S60" s="165"/>
      <c r="T60" s="165"/>
    </row>
    <row r="61" spans="11:29">
      <c r="O61" s="165"/>
      <c r="P61" s="165"/>
      <c r="Q61" s="165"/>
      <c r="R61" s="165"/>
      <c r="S61" s="165"/>
      <c r="T61" s="165"/>
    </row>
    <row r="62" spans="11:29">
      <c r="O62" s="165"/>
      <c r="P62" s="165"/>
      <c r="Q62" s="165"/>
      <c r="R62" s="165"/>
      <c r="S62" s="165"/>
      <c r="T62" s="165"/>
    </row>
    <row r="63" spans="11:29">
      <c r="O63" s="165"/>
      <c r="P63" s="165"/>
      <c r="Q63" s="165"/>
      <c r="R63" s="165"/>
      <c r="S63" s="165"/>
      <c r="T63" s="165"/>
    </row>
    <row r="64" spans="11:29">
      <c r="O64" s="165"/>
      <c r="P64" s="165"/>
      <c r="Q64" s="165"/>
      <c r="R64" s="165"/>
      <c r="S64" s="165"/>
      <c r="T64" s="165"/>
    </row>
    <row r="65" spans="15:20">
      <c r="O65" s="165"/>
      <c r="P65" s="165"/>
      <c r="Q65" s="165"/>
      <c r="R65" s="165"/>
      <c r="S65" s="165"/>
      <c r="T65" s="165"/>
    </row>
    <row r="66" spans="15:20">
      <c r="O66" s="165"/>
      <c r="P66" s="165"/>
      <c r="Q66" s="165"/>
      <c r="R66" s="165"/>
      <c r="S66" s="165"/>
      <c r="T66" s="165"/>
    </row>
    <row r="67" spans="15:20">
      <c r="O67" s="165"/>
      <c r="P67" s="165"/>
      <c r="Q67" s="165"/>
      <c r="R67" s="165"/>
      <c r="S67" s="165"/>
      <c r="T67" s="165"/>
    </row>
    <row r="68" spans="15:20">
      <c r="O68" s="165"/>
      <c r="P68" s="165"/>
      <c r="Q68" s="165"/>
      <c r="R68" s="165"/>
      <c r="S68" s="165"/>
      <c r="T68" s="165"/>
    </row>
  </sheetData>
  <mergeCells count="116">
    <mergeCell ref="H4:K4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B29:C29"/>
    <mergeCell ref="D29:E29"/>
    <mergeCell ref="F29:G2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N34:Q34"/>
    <mergeCell ref="B35:C35"/>
    <mergeCell ref="D35:E35"/>
    <mergeCell ref="F35:G35"/>
    <mergeCell ref="N35:Q35"/>
    <mergeCell ref="N37:Q37"/>
    <mergeCell ref="A39:B39"/>
    <mergeCell ref="C39:D39"/>
    <mergeCell ref="H39:J39"/>
    <mergeCell ref="N39:Q39"/>
    <mergeCell ref="A41:B41"/>
    <mergeCell ref="C41:D41"/>
    <mergeCell ref="H41:J41"/>
    <mergeCell ref="N41:Q41"/>
    <mergeCell ref="H43:J43"/>
    <mergeCell ref="N43:Q43"/>
    <mergeCell ref="N45:Q45"/>
    <mergeCell ref="A6:A7"/>
    <mergeCell ref="A33:A34"/>
    <mergeCell ref="H6:H7"/>
    <mergeCell ref="H33:H34"/>
    <mergeCell ref="I6:I7"/>
    <mergeCell ref="I33:I34"/>
    <mergeCell ref="J6:J7"/>
    <mergeCell ref="K6:K7"/>
    <mergeCell ref="L6:L7"/>
    <mergeCell ref="M6:M7"/>
    <mergeCell ref="N6:N7"/>
    <mergeCell ref="O6:O7"/>
    <mergeCell ref="T6:T7"/>
    <mergeCell ref="U6:U7"/>
    <mergeCell ref="B33:C34"/>
    <mergeCell ref="D33:E34"/>
    <mergeCell ref="F33:G34"/>
  </mergeCells>
  <conditionalFormatting sqref="O8">
    <cfRule type="cellIs" dxfId="0" priority="10" operator="equal">
      <formula>"N/A"</formula>
    </cfRule>
  </conditionalFormatting>
  <conditionalFormatting sqref="A30">
    <cfRule type="cellIs" dxfId="1" priority="11" operator="equal">
      <formula>"STB"</formula>
    </cfRule>
    <cfRule type="cellIs" dxfId="0" priority="12" operator="equal">
      <formula>"BD"</formula>
    </cfRule>
  </conditionalFormatting>
  <conditionalFormatting sqref="B8:B31">
    <cfRule type="cellIs" dxfId="1" priority="1" operator="equal">
      <formula>"STB"</formula>
    </cfRule>
    <cfRule type="cellIs" dxfId="0" priority="2" operator="equal">
      <formula>"BD"</formula>
    </cfRule>
  </conditionalFormatting>
  <conditionalFormatting sqref="D8:D31">
    <cfRule type="cellIs" dxfId="1" priority="8" operator="equal">
      <formula>"STB"</formula>
    </cfRule>
    <cfRule type="cellIs" dxfId="0" priority="9" operator="equal">
      <formula>"BD"</formula>
    </cfRule>
  </conditionalFormatting>
  <conditionalFormatting sqref="F8:F31">
    <cfRule type="cellIs" dxfId="1" priority="3" operator="equal">
      <formula>"STB"</formula>
    </cfRule>
    <cfRule type="cellIs" dxfId="0" priority="4" operator="equal">
      <formula>"BD"</formula>
    </cfRule>
  </conditionalFormatting>
  <conditionalFormatting sqref="H8:H31">
    <cfRule type="top10" dxfId="2" priority="5" bottom="1" rank="1"/>
    <cfRule type="top10" dxfId="3" priority="6" rank="1"/>
    <cfRule type="cellIs" dxfId="4" priority="7" stopIfTrue="1" operator="equal">
      <formula>28000</formula>
    </cfRule>
  </conditionalFormatting>
  <conditionalFormatting sqref="H32:H33">
    <cfRule type="top10" dxfId="2" priority="14" bottom="1" rank="1"/>
    <cfRule type="top10" dxfId="3" priority="15" rank="1"/>
    <cfRule type="cellIs" dxfId="4" priority="17" stopIfTrue="1" operator="equal">
      <formula>28000</formula>
    </cfRule>
  </conditionalFormatting>
  <conditionalFormatting sqref="Y8:Y31">
    <cfRule type="containsText" dxfId="5" priority="13" operator="between" text="-">
      <formula>NOT(ISERROR(SEARCH("-",Y8)))</formula>
    </cfRule>
  </conditionalFormatting>
  <conditionalFormatting sqref="N8 N9:O31">
    <cfRule type="cellIs" dxfId="0" priority="16" operator="equal">
      <formula>"BD"</formula>
    </cfRule>
  </conditionalFormatting>
  <pageMargins left="0.7" right="0.7" top="0.75" bottom="0.75" header="0.3" footer="0.3"/>
  <pageSetup paperSize="1" orientation="portrait" verticalDpi="36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C68"/>
  <sheetViews>
    <sheetView zoomScale="80" zoomScaleNormal="80" workbookViewId="0">
      <pane ySplit="7" topLeftCell="A9" activePane="bottomLeft" state="frozen"/>
      <selection/>
      <selection pane="bottomLeft" activeCell="A3" sqref="$A3:$XFD3"/>
    </sheetView>
  </sheetViews>
  <sheetFormatPr defaultColWidth="8.81666666666667" defaultRowHeight="14.25"/>
  <cols>
    <col min="1" max="1" width="16.725" customWidth="1"/>
    <col min="2" max="2" width="8.725" customWidth="1"/>
    <col min="3" max="7" width="5.725" customWidth="1"/>
    <col min="8" max="8" width="14.2666666666667" customWidth="1"/>
    <col min="9" max="9" width="15.1833333333333" customWidth="1"/>
    <col min="10" max="10" width="15.5416666666667" customWidth="1"/>
    <col min="11" max="11" width="7" customWidth="1"/>
    <col min="12" max="12" width="8.54166666666667" customWidth="1"/>
    <col min="13" max="13" width="11.725" style="5" customWidth="1"/>
    <col min="14" max="14" width="17.1833333333333" customWidth="1"/>
    <col min="15" max="15" width="15.45" customWidth="1"/>
    <col min="16" max="16" width="7.45" customWidth="1"/>
    <col min="17" max="17" width="9.54166666666667" customWidth="1"/>
    <col min="18" max="18" width="10" customWidth="1"/>
    <col min="19" max="20" width="9.81666666666667" customWidth="1"/>
    <col min="21" max="21" width="6.725" customWidth="1"/>
    <col min="22" max="22" width="13.8166666666667" customWidth="1"/>
    <col min="23" max="23" width="11.2666666666667" customWidth="1"/>
    <col min="24" max="24" width="9.26666666666667" customWidth="1"/>
    <col min="25" max="25" width="3.725" customWidth="1"/>
    <col min="26" max="29" width="7.725" customWidth="1"/>
    <col min="30" max="30" width="6.725" customWidth="1"/>
  </cols>
  <sheetData>
    <row r="1" ht="3" customHeight="1"/>
    <row r="2" ht="6" customHeight="1" spans="1:2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="1" customFormat="1" ht="6.75" customHeight="1" spans="1:29">
      <c r="K3" s="7"/>
      <c r="L3" s="8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17.25" customHeight="1" spans="1:29">
      <c r="A4" s="1"/>
      <c r="B4" s="10"/>
      <c r="C4" s="10"/>
      <c r="D4" s="10"/>
      <c r="E4" s="11"/>
      <c r="F4" s="11"/>
      <c r="G4" s="11"/>
      <c r="H4" s="12">
        <f>'[6]Taniwel daily'!C4</f>
        <v>45297</v>
      </c>
      <c r="I4" s="13"/>
      <c r="J4" s="13"/>
      <c r="K4" s="14"/>
      <c r="L4" s="15"/>
      <c r="M4" s="16"/>
      <c r="N4" s="10"/>
      <c r="O4" s="10"/>
      <c r="P4" s="10"/>
      <c r="Q4" s="10"/>
      <c r="R4" s="10"/>
      <c r="S4" s="10"/>
      <c r="T4" s="10"/>
      <c r="U4" s="10"/>
      <c r="V4" s="7"/>
      <c r="W4" s="7"/>
      <c r="X4" s="7"/>
      <c r="Y4" s="7"/>
      <c r="Z4" s="7"/>
      <c r="AA4" s="7"/>
      <c r="AB4" s="7"/>
      <c r="AC4" s="7"/>
    </row>
    <row r="5" ht="7.5" customHeight="1" spans="1:29">
      <c r="A5" s="1"/>
      <c r="B5" s="17"/>
      <c r="C5" s="1"/>
      <c r="D5" s="1"/>
      <c r="E5" s="1"/>
      <c r="F5" s="1"/>
      <c r="G5" s="1"/>
      <c r="H5" s="1"/>
      <c r="I5" s="1"/>
      <c r="J5" s="1"/>
      <c r="K5" s="18"/>
      <c r="L5" s="7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ht="17.25" customHeight="1" spans="1:29">
      <c r="A6" s="19" t="s">
        <v>0</v>
      </c>
      <c r="B6" s="20" t="s">
        <v>1</v>
      </c>
      <c r="C6" s="21"/>
      <c r="D6" s="20" t="s">
        <v>2</v>
      </c>
      <c r="E6" s="21"/>
      <c r="F6" s="20" t="s">
        <v>3</v>
      </c>
      <c r="G6" s="21"/>
      <c r="H6" s="22" t="s">
        <v>4</v>
      </c>
      <c r="I6" s="22" t="s">
        <v>5</v>
      </c>
      <c r="J6" s="23" t="s">
        <v>6</v>
      </c>
      <c r="K6" s="19" t="s">
        <v>0</v>
      </c>
      <c r="L6" s="24" t="s">
        <v>7</v>
      </c>
      <c r="M6" s="25" t="s">
        <v>8</v>
      </c>
      <c r="N6" s="26" t="s">
        <v>9</v>
      </c>
      <c r="O6" s="25" t="s">
        <v>10</v>
      </c>
      <c r="P6" s="27"/>
      <c r="Q6" s="28"/>
      <c r="R6" s="28"/>
      <c r="S6" s="28"/>
      <c r="T6" s="28"/>
      <c r="U6" s="29"/>
    </row>
    <row r="7" ht="15.75" customHeight="1" spans="1:29">
      <c r="A7" s="30"/>
      <c r="B7" s="31">
        <v>1</v>
      </c>
      <c r="C7" s="32"/>
      <c r="D7" s="31">
        <v>2</v>
      </c>
      <c r="E7" s="32"/>
      <c r="F7" s="31">
        <v>3</v>
      </c>
      <c r="G7" s="32"/>
      <c r="H7" s="33"/>
      <c r="I7" s="33"/>
      <c r="J7" s="34"/>
      <c r="K7" s="30"/>
      <c r="L7" s="35"/>
      <c r="M7" s="36"/>
      <c r="N7" s="37"/>
      <c r="O7" s="38"/>
      <c r="P7" s="27"/>
      <c r="Q7" s="28"/>
      <c r="R7" s="28"/>
      <c r="S7" s="28"/>
      <c r="T7" s="28"/>
      <c r="U7" s="29"/>
      <c r="X7" s="39"/>
    </row>
    <row r="8" s="2" customFormat="1" ht="15" customHeight="1" spans="1:29">
      <c r="A8" s="40">
        <v>0.0416666666666666</v>
      </c>
      <c r="B8" s="41" t="s">
        <v>11</v>
      </c>
      <c r="C8" s="42"/>
      <c r="D8" s="41">
        <v>226</v>
      </c>
      <c r="E8" s="42"/>
      <c r="F8" s="41">
        <v>234</v>
      </c>
      <c r="G8" s="42"/>
      <c r="H8" s="43">
        <f t="shared" ref="H8:H31" si="0">IF(SUM(B8:G8)/1000=0,"0",SUM(B8:G8))</f>
        <v>460</v>
      </c>
      <c r="I8" s="44">
        <f t="shared" ref="I8:I31" si="1">IFERROR(AVERAGE(B8:G8),"0")</f>
        <v>230</v>
      </c>
      <c r="J8" s="45">
        <f t="shared" ref="J8:J31" si="2">COUNT(B8:G8)</f>
        <v>2</v>
      </c>
      <c r="K8" s="46">
        <v>0.0416666666666667</v>
      </c>
      <c r="L8" s="47">
        <v>4500</v>
      </c>
      <c r="M8" s="48">
        <v>159.46</v>
      </c>
      <c r="N8" s="49">
        <f>(M9-M8)*12000</f>
        <v>479.999999999905</v>
      </c>
      <c r="O8" s="50"/>
      <c r="P8" s="51"/>
      <c r="Q8" s="52"/>
      <c r="R8" s="52"/>
      <c r="S8" s="52"/>
      <c r="T8" s="52"/>
      <c r="U8" s="53"/>
    </row>
    <row r="9" s="3" customFormat="1" ht="15" customHeight="1" spans="1:29">
      <c r="A9" s="40">
        <v>0.0833333333333333</v>
      </c>
      <c r="B9" s="41" t="s">
        <v>11</v>
      </c>
      <c r="C9" s="42"/>
      <c r="D9" s="41" t="s">
        <v>26</v>
      </c>
      <c r="E9" s="42"/>
      <c r="F9" s="41">
        <v>442</v>
      </c>
      <c r="G9" s="42"/>
      <c r="H9" s="43">
        <f t="shared" si="0"/>
        <v>442</v>
      </c>
      <c r="I9" s="44">
        <f t="shared" si="1"/>
        <v>442</v>
      </c>
      <c r="J9" s="45">
        <f t="shared" si="2"/>
        <v>1</v>
      </c>
      <c r="K9" s="46">
        <v>0.0833333333333333</v>
      </c>
      <c r="L9" s="47">
        <v>4200</v>
      </c>
      <c r="M9" s="54">
        <v>159.5</v>
      </c>
      <c r="N9" s="49">
        <f t="shared" ref="N9:N30" si="3">(M10-M9)*12000</f>
        <v>479.999999999905</v>
      </c>
      <c r="O9" s="55"/>
      <c r="P9" s="51"/>
      <c r="Q9" s="52"/>
      <c r="R9" s="52"/>
      <c r="S9" s="52"/>
      <c r="T9" s="52"/>
      <c r="U9" s="53"/>
    </row>
    <row r="10" s="3" customFormat="1" ht="15" customHeight="1" spans="1:29">
      <c r="A10" s="40">
        <v>0.125</v>
      </c>
      <c r="B10" s="41" t="s">
        <v>11</v>
      </c>
      <c r="C10" s="42"/>
      <c r="D10" s="41" t="s">
        <v>26</v>
      </c>
      <c r="E10" s="42"/>
      <c r="F10" s="41">
        <v>438</v>
      </c>
      <c r="G10" s="42"/>
      <c r="H10" s="43">
        <f t="shared" si="0"/>
        <v>438</v>
      </c>
      <c r="I10" s="44">
        <f t="shared" si="1"/>
        <v>438</v>
      </c>
      <c r="J10" s="45">
        <f t="shared" si="2"/>
        <v>1</v>
      </c>
      <c r="K10" s="46">
        <v>0.125</v>
      </c>
      <c r="L10" s="47">
        <v>4200</v>
      </c>
      <c r="M10" s="54">
        <v>159.54</v>
      </c>
      <c r="N10" s="49">
        <f t="shared" si="3"/>
        <v>480.000000000246</v>
      </c>
      <c r="O10" s="56"/>
      <c r="P10" s="51"/>
      <c r="Q10" s="52"/>
      <c r="R10" s="52"/>
      <c r="S10" s="52"/>
      <c r="T10" s="52"/>
      <c r="U10" s="53"/>
    </row>
    <row r="11" s="3" customFormat="1" ht="15" customHeight="1" spans="1:29">
      <c r="A11" s="40">
        <v>0.166666666666667</v>
      </c>
      <c r="B11" s="41" t="s">
        <v>11</v>
      </c>
      <c r="C11" s="42"/>
      <c r="D11" s="41" t="s">
        <v>26</v>
      </c>
      <c r="E11" s="42"/>
      <c r="F11" s="41">
        <v>433</v>
      </c>
      <c r="G11" s="42"/>
      <c r="H11" s="43">
        <f t="shared" si="0"/>
        <v>433</v>
      </c>
      <c r="I11" s="44">
        <f t="shared" si="1"/>
        <v>433</v>
      </c>
      <c r="J11" s="45">
        <f t="shared" si="2"/>
        <v>1</v>
      </c>
      <c r="K11" s="46">
        <v>0.166666666666667</v>
      </c>
      <c r="L11" s="47">
        <v>4000</v>
      </c>
      <c r="M11" s="54">
        <v>159.58</v>
      </c>
      <c r="N11" s="49">
        <f t="shared" si="3"/>
        <v>479.999999999905</v>
      </c>
      <c r="O11" s="56"/>
      <c r="P11" s="51"/>
      <c r="Q11" s="52"/>
      <c r="R11" s="52"/>
      <c r="S11" s="52"/>
      <c r="T11" s="52"/>
      <c r="U11" s="53"/>
    </row>
    <row r="12" s="3" customFormat="1" ht="15" customHeight="1" spans="1:29">
      <c r="A12" s="40">
        <v>0.208333333333333</v>
      </c>
      <c r="B12" s="41" t="s">
        <v>11</v>
      </c>
      <c r="C12" s="42"/>
      <c r="D12" s="41" t="s">
        <v>26</v>
      </c>
      <c r="E12" s="42"/>
      <c r="F12" s="41">
        <v>436</v>
      </c>
      <c r="G12" s="42"/>
      <c r="H12" s="43">
        <f t="shared" si="0"/>
        <v>436</v>
      </c>
      <c r="I12" s="44">
        <f t="shared" si="1"/>
        <v>436</v>
      </c>
      <c r="J12" s="45">
        <f t="shared" si="2"/>
        <v>1</v>
      </c>
      <c r="K12" s="46">
        <v>0.208333333333333</v>
      </c>
      <c r="L12" s="47">
        <v>3900</v>
      </c>
      <c r="M12" s="54">
        <v>159.62</v>
      </c>
      <c r="N12" s="49">
        <f t="shared" si="3"/>
        <v>479.999999999905</v>
      </c>
      <c r="O12" s="56"/>
      <c r="P12" s="51"/>
      <c r="Q12" s="52"/>
      <c r="R12" s="52"/>
      <c r="S12" s="52"/>
      <c r="T12" s="52"/>
      <c r="U12" s="53"/>
    </row>
    <row r="13" s="3" customFormat="1" ht="15" customHeight="1" spans="1:29">
      <c r="A13" s="40">
        <v>0.25</v>
      </c>
      <c r="B13" s="41" t="s">
        <v>11</v>
      </c>
      <c r="C13" s="42"/>
      <c r="D13" s="41" t="s">
        <v>26</v>
      </c>
      <c r="E13" s="42"/>
      <c r="F13" s="41">
        <v>406</v>
      </c>
      <c r="G13" s="42"/>
      <c r="H13" s="43">
        <f t="shared" si="0"/>
        <v>406</v>
      </c>
      <c r="I13" s="44">
        <f t="shared" si="1"/>
        <v>406</v>
      </c>
      <c r="J13" s="45">
        <f t="shared" si="2"/>
        <v>1</v>
      </c>
      <c r="K13" s="46">
        <v>0.25</v>
      </c>
      <c r="L13" s="47">
        <v>3600</v>
      </c>
      <c r="M13" s="54">
        <v>159.66</v>
      </c>
      <c r="N13" s="49">
        <f t="shared" si="3"/>
        <v>479.999999999905</v>
      </c>
      <c r="O13" s="56"/>
      <c r="P13" s="51"/>
      <c r="Q13" s="52"/>
      <c r="R13" s="52"/>
      <c r="S13" s="52"/>
      <c r="T13" s="52"/>
      <c r="U13" s="53"/>
    </row>
    <row r="14" s="3" customFormat="1" ht="15" customHeight="1" spans="1:29">
      <c r="A14" s="40">
        <v>0.291666666666667</v>
      </c>
      <c r="B14" s="41" t="s">
        <v>11</v>
      </c>
      <c r="C14" s="42"/>
      <c r="D14" s="41" t="s">
        <v>26</v>
      </c>
      <c r="E14" s="42"/>
      <c r="F14" s="41">
        <v>433</v>
      </c>
      <c r="G14" s="42"/>
      <c r="H14" s="43">
        <f t="shared" si="0"/>
        <v>433</v>
      </c>
      <c r="I14" s="44">
        <f t="shared" si="1"/>
        <v>433</v>
      </c>
      <c r="J14" s="45">
        <f t="shared" si="2"/>
        <v>1</v>
      </c>
      <c r="K14" s="46">
        <v>0.291666666666667</v>
      </c>
      <c r="L14" s="47">
        <v>3600</v>
      </c>
      <c r="M14" s="54">
        <v>159.7</v>
      </c>
      <c r="N14" s="49">
        <f t="shared" si="3"/>
        <v>480.000000000246</v>
      </c>
      <c r="O14" s="56"/>
      <c r="P14" s="51"/>
      <c r="Q14" s="52"/>
      <c r="R14" s="52"/>
      <c r="S14" s="52"/>
      <c r="T14" s="52"/>
      <c r="U14" s="53"/>
    </row>
    <row r="15" s="3" customFormat="1" ht="15" customHeight="1" spans="1:29">
      <c r="A15" s="40">
        <v>0.333333333333333</v>
      </c>
      <c r="B15" s="41" t="s">
        <v>11</v>
      </c>
      <c r="C15" s="42"/>
      <c r="D15" s="41" t="s">
        <v>26</v>
      </c>
      <c r="E15" s="42"/>
      <c r="F15" s="41">
        <v>430</v>
      </c>
      <c r="G15" s="42"/>
      <c r="H15" s="43">
        <f t="shared" si="0"/>
        <v>430</v>
      </c>
      <c r="I15" s="44">
        <f t="shared" si="1"/>
        <v>430</v>
      </c>
      <c r="J15" s="45">
        <f t="shared" si="2"/>
        <v>1</v>
      </c>
      <c r="K15" s="46">
        <v>0.333333333333333</v>
      </c>
      <c r="L15" s="47">
        <v>3600</v>
      </c>
      <c r="M15" s="54">
        <v>159.74</v>
      </c>
      <c r="N15" s="49">
        <f t="shared" si="3"/>
        <v>599.999999999795</v>
      </c>
      <c r="O15" s="56"/>
      <c r="P15" s="51"/>
      <c r="Q15" s="52"/>
      <c r="R15" s="52"/>
      <c r="S15" s="52"/>
      <c r="T15" s="52"/>
      <c r="U15" s="53"/>
    </row>
    <row r="16" s="3" customFormat="1" ht="15" customHeight="1" spans="1:29">
      <c r="A16" s="40">
        <v>0.375</v>
      </c>
      <c r="B16" s="41" t="s">
        <v>11</v>
      </c>
      <c r="C16" s="42"/>
      <c r="D16" s="41">
        <v>418</v>
      </c>
      <c r="E16" s="42"/>
      <c r="F16" s="41" t="s">
        <v>26</v>
      </c>
      <c r="G16" s="42"/>
      <c r="H16" s="43">
        <f t="shared" si="0"/>
        <v>418</v>
      </c>
      <c r="I16" s="44">
        <f t="shared" si="1"/>
        <v>418</v>
      </c>
      <c r="J16" s="45">
        <f t="shared" si="2"/>
        <v>1</v>
      </c>
      <c r="K16" s="46">
        <v>0.375</v>
      </c>
      <c r="L16" s="47">
        <v>3600</v>
      </c>
      <c r="M16" s="54">
        <v>159.79</v>
      </c>
      <c r="N16" s="49">
        <f t="shared" si="3"/>
        <v>480.000000000246</v>
      </c>
      <c r="O16" s="56"/>
      <c r="P16" s="51"/>
      <c r="Q16" s="52"/>
      <c r="R16" s="52"/>
      <c r="S16" s="52"/>
      <c r="T16" s="52"/>
      <c r="U16" s="53"/>
    </row>
    <row r="17" s="3" customFormat="1" ht="15" customHeight="1" spans="1:21">
      <c r="A17" s="40">
        <v>0.416666666666667</v>
      </c>
      <c r="B17" s="41" t="s">
        <v>11</v>
      </c>
      <c r="C17" s="42"/>
      <c r="D17" s="41">
        <v>415</v>
      </c>
      <c r="E17" s="42"/>
      <c r="F17" s="41" t="s">
        <v>26</v>
      </c>
      <c r="G17" s="42"/>
      <c r="H17" s="43">
        <f t="shared" si="0"/>
        <v>415</v>
      </c>
      <c r="I17" s="44">
        <f t="shared" si="1"/>
        <v>415</v>
      </c>
      <c r="J17" s="45">
        <f t="shared" si="2"/>
        <v>1</v>
      </c>
      <c r="K17" s="46">
        <v>0.416666666666666</v>
      </c>
      <c r="L17" s="47">
        <v>3400</v>
      </c>
      <c r="M17" s="54">
        <v>159.83</v>
      </c>
      <c r="N17" s="49">
        <f t="shared" si="3"/>
        <v>360.000000000014</v>
      </c>
      <c r="O17" s="56"/>
      <c r="P17" s="51"/>
      <c r="Q17" s="52"/>
      <c r="R17" s="52"/>
      <c r="S17" s="52"/>
      <c r="T17" s="52"/>
      <c r="U17" s="53"/>
    </row>
    <row r="18" s="3" customFormat="1" ht="15" customHeight="1" spans="1:21">
      <c r="A18" s="40">
        <v>0.458333333333333</v>
      </c>
      <c r="B18" s="41" t="s">
        <v>11</v>
      </c>
      <c r="C18" s="42"/>
      <c r="D18" s="41">
        <v>394</v>
      </c>
      <c r="E18" s="42"/>
      <c r="F18" s="41" t="s">
        <v>26</v>
      </c>
      <c r="G18" s="42"/>
      <c r="H18" s="43">
        <f t="shared" si="0"/>
        <v>394</v>
      </c>
      <c r="I18" s="44">
        <f t="shared" si="1"/>
        <v>394</v>
      </c>
      <c r="J18" s="45">
        <f t="shared" si="2"/>
        <v>1</v>
      </c>
      <c r="K18" s="46">
        <v>0.458333333333333</v>
      </c>
      <c r="L18" s="47">
        <v>3300</v>
      </c>
      <c r="M18" s="54">
        <v>159.86</v>
      </c>
      <c r="N18" s="49">
        <f t="shared" si="3"/>
        <v>479.999999999905</v>
      </c>
      <c r="O18" s="56"/>
      <c r="P18" s="51"/>
      <c r="Q18" s="52"/>
      <c r="R18" s="52"/>
      <c r="S18" s="52"/>
      <c r="T18" s="52"/>
      <c r="U18" s="53"/>
    </row>
    <row r="19" s="3" customFormat="1" ht="15" customHeight="1" spans="1:21">
      <c r="A19" s="40">
        <v>0.5</v>
      </c>
      <c r="B19" s="41" t="s">
        <v>11</v>
      </c>
      <c r="C19" s="42"/>
      <c r="D19" s="41">
        <v>235</v>
      </c>
      <c r="E19" s="42"/>
      <c r="F19" s="41">
        <v>200</v>
      </c>
      <c r="G19" s="42"/>
      <c r="H19" s="43">
        <f t="shared" si="0"/>
        <v>435</v>
      </c>
      <c r="I19" s="44">
        <f t="shared" si="1"/>
        <v>217.5</v>
      </c>
      <c r="J19" s="45">
        <f t="shared" si="2"/>
        <v>2</v>
      </c>
      <c r="K19" s="46">
        <v>0.5</v>
      </c>
      <c r="L19" s="47">
        <v>3300</v>
      </c>
      <c r="M19" s="54">
        <v>159.9</v>
      </c>
      <c r="N19" s="49">
        <f t="shared" si="3"/>
        <v>479.999999999905</v>
      </c>
      <c r="O19" s="56"/>
      <c r="P19" s="51"/>
      <c r="Q19" s="52"/>
      <c r="R19" s="52"/>
      <c r="S19" s="52"/>
      <c r="T19" s="52"/>
      <c r="U19" s="53"/>
    </row>
    <row r="20" s="3" customFormat="1" ht="15" customHeight="1" spans="1:21">
      <c r="A20" s="40">
        <v>0.541666666666667</v>
      </c>
      <c r="B20" s="41" t="s">
        <v>11</v>
      </c>
      <c r="C20" s="42"/>
      <c r="D20" s="41">
        <v>445</v>
      </c>
      <c r="E20" s="42"/>
      <c r="F20" s="41" t="s">
        <v>26</v>
      </c>
      <c r="G20" s="42"/>
      <c r="H20" s="43">
        <f t="shared" si="0"/>
        <v>445</v>
      </c>
      <c r="I20" s="44">
        <f t="shared" si="1"/>
        <v>445</v>
      </c>
      <c r="J20" s="45">
        <f t="shared" si="2"/>
        <v>1</v>
      </c>
      <c r="K20" s="46">
        <v>0.541666666666667</v>
      </c>
      <c r="L20" s="47">
        <v>3000</v>
      </c>
      <c r="M20" s="54">
        <v>159.94</v>
      </c>
      <c r="N20" s="49">
        <f t="shared" si="3"/>
        <v>479.999999999905</v>
      </c>
      <c r="O20" s="56"/>
      <c r="P20" s="51"/>
      <c r="Q20" s="52"/>
      <c r="R20" s="52"/>
      <c r="S20" s="52"/>
      <c r="T20" s="52"/>
      <c r="U20" s="53"/>
    </row>
    <row r="21" s="3" customFormat="1" ht="15" customHeight="1" spans="1:21">
      <c r="A21" s="40">
        <v>0.583333333333333</v>
      </c>
      <c r="B21" s="41" t="s">
        <v>11</v>
      </c>
      <c r="C21" s="42"/>
      <c r="D21" s="41">
        <v>422</v>
      </c>
      <c r="E21" s="42"/>
      <c r="F21" s="41" t="s">
        <v>26</v>
      </c>
      <c r="G21" s="42"/>
      <c r="H21" s="43">
        <f t="shared" si="0"/>
        <v>422</v>
      </c>
      <c r="I21" s="44">
        <f t="shared" si="1"/>
        <v>422</v>
      </c>
      <c r="J21" s="45">
        <f t="shared" si="2"/>
        <v>1</v>
      </c>
      <c r="K21" s="46">
        <v>0.583333333333333</v>
      </c>
      <c r="L21" s="47">
        <v>3000</v>
      </c>
      <c r="M21" s="54">
        <v>159.98</v>
      </c>
      <c r="N21" s="49">
        <f t="shared" si="3"/>
        <v>480.000000000246</v>
      </c>
      <c r="O21" s="56"/>
      <c r="P21" s="51"/>
      <c r="Q21" s="52"/>
      <c r="R21" s="52"/>
      <c r="S21" s="52"/>
      <c r="T21" s="52"/>
      <c r="U21" s="53"/>
    </row>
    <row r="22" s="3" customFormat="1" ht="15" customHeight="1" spans="1:21">
      <c r="A22" s="40">
        <v>0.625</v>
      </c>
      <c r="B22" s="41" t="s">
        <v>11</v>
      </c>
      <c r="C22" s="42"/>
      <c r="D22" s="41">
        <v>417</v>
      </c>
      <c r="E22" s="42"/>
      <c r="F22" s="41" t="s">
        <v>26</v>
      </c>
      <c r="G22" s="42"/>
      <c r="H22" s="43">
        <f t="shared" si="0"/>
        <v>417</v>
      </c>
      <c r="I22" s="44">
        <f t="shared" si="1"/>
        <v>417</v>
      </c>
      <c r="J22" s="45">
        <f t="shared" si="2"/>
        <v>1</v>
      </c>
      <c r="K22" s="46">
        <v>0.625</v>
      </c>
      <c r="L22" s="47">
        <v>3000</v>
      </c>
      <c r="M22" s="54">
        <v>160.02</v>
      </c>
      <c r="N22" s="49">
        <f t="shared" si="3"/>
        <v>479.999999999905</v>
      </c>
      <c r="O22" s="56"/>
      <c r="P22" s="51"/>
      <c r="Q22" s="52"/>
      <c r="R22" s="52"/>
      <c r="S22" s="52"/>
      <c r="T22" s="52"/>
      <c r="U22" s="53"/>
    </row>
    <row r="23" s="3" customFormat="1" ht="15" customHeight="1" spans="1:21">
      <c r="A23" s="40">
        <v>0.666666666666667</v>
      </c>
      <c r="B23" s="41" t="s">
        <v>11</v>
      </c>
      <c r="C23" s="42"/>
      <c r="D23" s="41">
        <v>409</v>
      </c>
      <c r="E23" s="42"/>
      <c r="F23" s="41" t="s">
        <v>26</v>
      </c>
      <c r="G23" s="42"/>
      <c r="H23" s="43">
        <f t="shared" si="0"/>
        <v>409</v>
      </c>
      <c r="I23" s="44">
        <f t="shared" si="1"/>
        <v>409</v>
      </c>
      <c r="J23" s="45">
        <f t="shared" si="2"/>
        <v>1</v>
      </c>
      <c r="K23" s="46">
        <v>0.666666666666666</v>
      </c>
      <c r="L23" s="47">
        <v>3000</v>
      </c>
      <c r="M23" s="54">
        <v>160.06</v>
      </c>
      <c r="N23" s="49">
        <f t="shared" si="3"/>
        <v>479.999999999905</v>
      </c>
      <c r="O23" s="56"/>
      <c r="P23" s="51"/>
      <c r="Q23" s="52"/>
      <c r="R23" s="52"/>
      <c r="S23" s="52"/>
      <c r="T23" s="52"/>
      <c r="U23" s="53"/>
    </row>
    <row r="24" s="3" customFormat="1" ht="15" customHeight="1" spans="1:21">
      <c r="A24" s="40">
        <v>0.708333333333334</v>
      </c>
      <c r="B24" s="41" t="s">
        <v>11</v>
      </c>
      <c r="C24" s="42"/>
      <c r="D24" s="41">
        <v>469</v>
      </c>
      <c r="E24" s="42"/>
      <c r="F24" s="41" t="s">
        <v>26</v>
      </c>
      <c r="G24" s="42"/>
      <c r="H24" s="43">
        <f t="shared" si="0"/>
        <v>469</v>
      </c>
      <c r="I24" s="44">
        <f t="shared" si="1"/>
        <v>469</v>
      </c>
      <c r="J24" s="45">
        <f t="shared" si="2"/>
        <v>1</v>
      </c>
      <c r="K24" s="46">
        <v>0.708333333333333</v>
      </c>
      <c r="L24" s="47">
        <v>2700</v>
      </c>
      <c r="M24" s="54">
        <v>160.1</v>
      </c>
      <c r="N24" s="49">
        <f t="shared" si="3"/>
        <v>600.000000000136</v>
      </c>
      <c r="O24" s="56"/>
      <c r="P24" s="51"/>
      <c r="Q24" s="52"/>
      <c r="R24" s="52"/>
      <c r="S24" s="52"/>
      <c r="T24" s="52"/>
      <c r="U24" s="53"/>
    </row>
    <row r="25" s="3" customFormat="1" ht="15" customHeight="1" spans="1:21">
      <c r="A25" s="40">
        <v>0.75</v>
      </c>
      <c r="B25" s="41" t="s">
        <v>11</v>
      </c>
      <c r="C25" s="42"/>
      <c r="D25" s="41">
        <v>247</v>
      </c>
      <c r="E25" s="42"/>
      <c r="F25" s="41">
        <v>239</v>
      </c>
      <c r="G25" s="42"/>
      <c r="H25" s="43">
        <f t="shared" si="0"/>
        <v>486</v>
      </c>
      <c r="I25" s="44">
        <f t="shared" si="1"/>
        <v>243</v>
      </c>
      <c r="J25" s="45">
        <f t="shared" si="2"/>
        <v>2</v>
      </c>
      <c r="K25" s="46">
        <v>0.75</v>
      </c>
      <c r="L25" s="47">
        <v>2400</v>
      </c>
      <c r="M25" s="54">
        <v>160.15</v>
      </c>
      <c r="N25" s="49">
        <f t="shared" si="3"/>
        <v>599.999999999795</v>
      </c>
      <c r="O25" s="56"/>
      <c r="P25" s="51"/>
      <c r="Q25" s="52"/>
      <c r="R25" s="52"/>
      <c r="S25" s="52"/>
      <c r="T25" s="52"/>
      <c r="U25" s="53"/>
    </row>
    <row r="26" s="3" customFormat="1" ht="15" customHeight="1" spans="1:21">
      <c r="A26" s="40">
        <v>0.791666666666667</v>
      </c>
      <c r="B26" s="41" t="s">
        <v>11</v>
      </c>
      <c r="C26" s="42"/>
      <c r="D26" s="41">
        <v>330</v>
      </c>
      <c r="E26" s="42"/>
      <c r="F26" s="41">
        <v>339</v>
      </c>
      <c r="G26" s="42"/>
      <c r="H26" s="43">
        <f t="shared" si="0"/>
        <v>669</v>
      </c>
      <c r="I26" s="44">
        <f t="shared" si="1"/>
        <v>334.5</v>
      </c>
      <c r="J26" s="45">
        <f t="shared" si="2"/>
        <v>2</v>
      </c>
      <c r="K26" s="46">
        <v>0.791666666666666</v>
      </c>
      <c r="L26" s="47">
        <v>2100</v>
      </c>
      <c r="M26" s="54">
        <v>160.2</v>
      </c>
      <c r="N26" s="49">
        <f t="shared" si="3"/>
        <v>840.000000000259</v>
      </c>
      <c r="O26" s="56"/>
      <c r="P26" s="51"/>
      <c r="Q26" s="52"/>
      <c r="R26" s="52"/>
      <c r="S26" s="52"/>
      <c r="T26" s="52"/>
      <c r="U26" s="53"/>
    </row>
    <row r="27" s="3" customFormat="1" ht="15" customHeight="1" spans="1:21">
      <c r="A27" s="40">
        <v>0.833333333333334</v>
      </c>
      <c r="B27" s="41" t="s">
        <v>11</v>
      </c>
      <c r="C27" s="42"/>
      <c r="D27" s="41">
        <v>366</v>
      </c>
      <c r="E27" s="42"/>
      <c r="F27" s="41">
        <v>330</v>
      </c>
      <c r="G27" s="42"/>
      <c r="H27" s="43">
        <f t="shared" si="0"/>
        <v>696</v>
      </c>
      <c r="I27" s="44">
        <f t="shared" si="1"/>
        <v>348</v>
      </c>
      <c r="J27" s="45">
        <f t="shared" si="2"/>
        <v>2</v>
      </c>
      <c r="K27" s="46">
        <v>0.833333333333333</v>
      </c>
      <c r="L27" s="47">
        <v>2100</v>
      </c>
      <c r="M27" s="54">
        <v>160.27</v>
      </c>
      <c r="N27" s="49">
        <f t="shared" si="3"/>
        <v>839.999999999918</v>
      </c>
      <c r="O27" s="56"/>
      <c r="P27" s="51"/>
      <c r="Q27" s="52"/>
      <c r="R27" s="52"/>
      <c r="S27" s="52"/>
      <c r="T27" s="52"/>
      <c r="U27" s="53"/>
    </row>
    <row r="28" s="4" customFormat="1" ht="15" customHeight="1" spans="1:21">
      <c r="A28" s="40">
        <v>0.875</v>
      </c>
      <c r="B28" s="41" t="s">
        <v>11</v>
      </c>
      <c r="C28" s="42"/>
      <c r="D28" s="41">
        <v>338</v>
      </c>
      <c r="E28" s="42"/>
      <c r="F28" s="41">
        <v>330</v>
      </c>
      <c r="G28" s="42"/>
      <c r="H28" s="43">
        <f t="shared" si="0"/>
        <v>668</v>
      </c>
      <c r="I28" s="44">
        <f t="shared" si="1"/>
        <v>334</v>
      </c>
      <c r="J28" s="45">
        <f t="shared" si="2"/>
        <v>2</v>
      </c>
      <c r="K28" s="46">
        <v>0.875</v>
      </c>
      <c r="L28" s="47">
        <v>1800</v>
      </c>
      <c r="M28" s="54">
        <v>160.34</v>
      </c>
      <c r="N28" s="49">
        <f t="shared" si="3"/>
        <v>720.000000000027</v>
      </c>
      <c r="O28" s="56"/>
      <c r="P28" s="51"/>
      <c r="Q28" s="52"/>
      <c r="R28" s="52"/>
      <c r="S28" s="52"/>
      <c r="T28" s="52"/>
      <c r="U28" s="53"/>
    </row>
    <row r="29" s="3" customFormat="1" ht="15" customHeight="1" spans="1:21">
      <c r="A29" s="40">
        <v>0.916666666666667</v>
      </c>
      <c r="B29" s="41" t="s">
        <v>11</v>
      </c>
      <c r="C29" s="42"/>
      <c r="D29" s="41">
        <v>309</v>
      </c>
      <c r="E29" s="42"/>
      <c r="F29" s="41">
        <v>296</v>
      </c>
      <c r="G29" s="42"/>
      <c r="H29" s="43">
        <f t="shared" si="0"/>
        <v>605</v>
      </c>
      <c r="I29" s="44">
        <f t="shared" si="1"/>
        <v>302.5</v>
      </c>
      <c r="J29" s="45">
        <f t="shared" si="2"/>
        <v>2</v>
      </c>
      <c r="K29" s="46">
        <v>0.916666666666666</v>
      </c>
      <c r="L29" s="47">
        <v>1800</v>
      </c>
      <c r="M29" s="54">
        <v>160.4</v>
      </c>
      <c r="N29" s="49">
        <f t="shared" si="3"/>
        <v>599.999999999795</v>
      </c>
      <c r="O29" s="56"/>
      <c r="P29" s="51"/>
      <c r="Q29" s="52"/>
      <c r="R29" s="52"/>
      <c r="S29" s="52"/>
      <c r="T29" s="52"/>
      <c r="U29" s="53"/>
    </row>
    <row r="30" s="3" customFormat="1" ht="15" customHeight="1" spans="1:21">
      <c r="A30" s="40">
        <v>0.958333333333334</v>
      </c>
      <c r="B30" s="41" t="s">
        <v>11</v>
      </c>
      <c r="C30" s="42"/>
      <c r="D30" s="41">
        <v>284</v>
      </c>
      <c r="E30" s="42"/>
      <c r="F30" s="41">
        <v>273</v>
      </c>
      <c r="G30" s="42"/>
      <c r="H30" s="43">
        <f t="shared" si="0"/>
        <v>557</v>
      </c>
      <c r="I30" s="44">
        <f t="shared" si="1"/>
        <v>278.5</v>
      </c>
      <c r="J30" s="45">
        <f t="shared" si="2"/>
        <v>2</v>
      </c>
      <c r="K30" s="46">
        <v>0.958333333333333</v>
      </c>
      <c r="L30" s="47">
        <v>1800</v>
      </c>
      <c r="M30" s="54">
        <v>160.45</v>
      </c>
      <c r="N30" s="49">
        <f t="shared" si="3"/>
        <v>600.000000000136</v>
      </c>
      <c r="O30" s="56"/>
      <c r="P30" s="51"/>
      <c r="Q30" s="52"/>
      <c r="R30" s="52"/>
      <c r="S30" s="52"/>
      <c r="T30" s="52"/>
      <c r="U30" s="53"/>
    </row>
    <row r="31" s="2" customFormat="1" ht="15" customHeight="1" spans="1:21">
      <c r="A31" s="57">
        <v>1</v>
      </c>
      <c r="B31" s="41" t="s">
        <v>11</v>
      </c>
      <c r="C31" s="42"/>
      <c r="D31" s="41">
        <v>276</v>
      </c>
      <c r="E31" s="42"/>
      <c r="F31" s="41">
        <v>263</v>
      </c>
      <c r="G31" s="42"/>
      <c r="H31" s="43">
        <f t="shared" si="0"/>
        <v>539</v>
      </c>
      <c r="I31" s="58">
        <f t="shared" si="1"/>
        <v>269.5</v>
      </c>
      <c r="J31" s="59">
        <f t="shared" si="2"/>
        <v>2</v>
      </c>
      <c r="K31" s="60">
        <v>1</v>
      </c>
      <c r="L31" s="47">
        <v>4500</v>
      </c>
      <c r="M31" s="61">
        <v>160.5</v>
      </c>
      <c r="N31" s="49">
        <f>H31</f>
        <v>539</v>
      </c>
      <c r="O31" s="56"/>
      <c r="P31" s="51"/>
      <c r="Q31" s="52"/>
      <c r="R31" s="52"/>
      <c r="S31" s="52"/>
      <c r="T31" s="52"/>
      <c r="U31" s="53"/>
    </row>
    <row r="32" s="3" customFormat="1" ht="23.25" customHeight="1" spans="1:21">
      <c r="A32" s="62" t="s">
        <v>12</v>
      </c>
      <c r="B32" s="63">
        <f>SUM(B8:B31)/1000</f>
        <v>0</v>
      </c>
      <c r="C32" s="64"/>
      <c r="D32" s="63">
        <f>SUM(D8:D31)/1000</f>
        <v>6</v>
      </c>
      <c r="E32" s="64"/>
      <c r="F32" s="63">
        <f>SUM(F8:F31)/1000</f>
        <v>5.522</v>
      </c>
      <c r="G32" s="64"/>
      <c r="H32" s="65">
        <f>SUM(H8:H31)</f>
        <v>11522</v>
      </c>
      <c r="I32" s="66" t="s">
        <v>13</v>
      </c>
      <c r="J32" s="67"/>
      <c r="K32" s="68"/>
      <c r="L32" s="69"/>
      <c r="M32" s="70">
        <f>SUM(M31-M8+N8)</f>
        <v>481.039999999904</v>
      </c>
      <c r="N32" s="71">
        <f>SUM(N8:N31)</f>
        <v>13018.9999999999</v>
      </c>
      <c r="O32" s="72">
        <f>SUM(O8:O31)</f>
        <v>0</v>
      </c>
      <c r="P32" s="73"/>
      <c r="Q32" s="74"/>
      <c r="R32" s="74"/>
      <c r="S32" s="74"/>
      <c r="T32" s="74"/>
      <c r="U32" s="75"/>
    </row>
    <row r="33" ht="15" customHeight="1" spans="1:29">
      <c r="A33" s="76" t="s">
        <v>14</v>
      </c>
      <c r="B33" s="77" t="str">
        <f>IFERROR((AVERAGE(B8:B31)),"0")</f>
        <v>0</v>
      </c>
      <c r="C33" s="78"/>
      <c r="D33" s="79">
        <f>IFERROR((AVERAGE(D8:D31)),"0")</f>
        <v>352.941176470588</v>
      </c>
      <c r="E33" s="78"/>
      <c r="F33" s="79">
        <f>IFERROR((AVERAGE(F8:F31)),"0")</f>
        <v>345.125</v>
      </c>
      <c r="G33" s="80"/>
      <c r="H33" s="81">
        <f>H32*1000</f>
        <v>11522000</v>
      </c>
      <c r="I33" s="82" t="s">
        <v>15</v>
      </c>
      <c r="J33" s="83"/>
      <c r="K33" s="84"/>
      <c r="L33" s="85"/>
      <c r="M33" s="86"/>
      <c r="N33" s="85"/>
      <c r="O33" s="87"/>
      <c r="P33" s="87"/>
      <c r="Q33" s="88"/>
      <c r="R33" s="88"/>
      <c r="S33" s="89"/>
      <c r="T33" s="89"/>
      <c r="U33" s="89"/>
      <c r="V33" s="89"/>
    </row>
    <row r="34" ht="18.75" customHeight="1" spans="1:29">
      <c r="A34" s="90"/>
      <c r="B34" s="91"/>
      <c r="C34" s="92"/>
      <c r="D34" s="93"/>
      <c r="E34" s="92"/>
      <c r="F34" s="93"/>
      <c r="G34" s="94"/>
      <c r="H34" s="95"/>
      <c r="I34" s="96"/>
      <c r="J34" s="97"/>
      <c r="K34" s="98"/>
      <c r="L34" s="85"/>
      <c r="M34" s="86"/>
      <c r="N34" s="99"/>
      <c r="O34" s="99"/>
      <c r="P34" s="99"/>
      <c r="Q34" s="99"/>
      <c r="R34" s="88"/>
      <c r="S34" s="89"/>
      <c r="T34" s="89"/>
      <c r="U34" s="89"/>
      <c r="V34" s="89"/>
    </row>
    <row r="35" ht="22.5" customHeight="1" spans="1:29">
      <c r="A35" s="100" t="s">
        <v>16</v>
      </c>
      <c r="B35" s="101">
        <f>COUNT(B8:B31)</f>
        <v>0</v>
      </c>
      <c r="C35" s="102"/>
      <c r="D35" s="103">
        <f>COUNT(D8:D31)</f>
        <v>17</v>
      </c>
      <c r="E35" s="102"/>
      <c r="F35" s="103">
        <f>COUNT(F8:F31)</f>
        <v>16</v>
      </c>
      <c r="G35" s="104"/>
      <c r="H35" s="105"/>
      <c r="I35" s="106"/>
      <c r="J35" s="107"/>
      <c r="K35" s="107"/>
      <c r="L35" s="107"/>
      <c r="M35" s="107"/>
      <c r="N35" s="99"/>
      <c r="O35" s="99"/>
      <c r="P35" s="99"/>
      <c r="Q35" s="99"/>
      <c r="R35" s="108"/>
      <c r="S35" s="89"/>
      <c r="T35" s="89"/>
      <c r="U35" s="89"/>
      <c r="V35" s="89"/>
    </row>
    <row r="36" ht="9" customHeight="1" spans="1:29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10"/>
      <c r="N36" s="106"/>
      <c r="O36" s="107"/>
      <c r="P36" s="107"/>
      <c r="Q36" s="107"/>
      <c r="R36" s="107"/>
      <c r="S36" s="107"/>
      <c r="T36" s="107"/>
      <c r="U36" s="111"/>
      <c r="V36" s="112"/>
      <c r="W36" s="108"/>
      <c r="X36" s="108"/>
      <c r="Y36" s="108"/>
      <c r="Z36" s="89"/>
      <c r="AA36" s="89"/>
      <c r="AB36" s="89"/>
      <c r="AC36" s="89"/>
    </row>
    <row r="37" ht="24" customHeight="1" spans="1:29">
      <c r="D37" s="113"/>
      <c r="E37" s="113"/>
      <c r="F37" s="113"/>
      <c r="G37" s="113"/>
      <c r="H37" s="113"/>
      <c r="I37" s="113"/>
      <c r="J37" s="113"/>
      <c r="K37" s="114"/>
      <c r="L37" s="114"/>
      <c r="N37" s="115" t="s">
        <v>17</v>
      </c>
      <c r="O37" s="116"/>
      <c r="P37" s="116"/>
      <c r="Q37" s="117"/>
      <c r="R37" s="118">
        <f>SUM(B35:F35)</f>
        <v>33</v>
      </c>
      <c r="S37" s="69"/>
      <c r="T37" s="69"/>
      <c r="U37" s="69"/>
      <c r="V37" s="69"/>
      <c r="X37" s="119"/>
      <c r="Y37" s="119"/>
      <c r="Z37" s="119"/>
      <c r="AA37" s="119"/>
      <c r="AB37" s="119"/>
      <c r="AC37" s="114"/>
    </row>
    <row r="38" ht="15" spans="1:29">
      <c r="D38" s="113"/>
      <c r="E38" s="113"/>
      <c r="F38" s="113"/>
      <c r="G38" s="113"/>
      <c r="H38" s="113"/>
      <c r="I38" s="113"/>
      <c r="J38" s="113"/>
      <c r="K38" s="114"/>
      <c r="L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</row>
    <row r="39" ht="24.75" customHeight="1" spans="1:29">
      <c r="A39" s="120" t="s">
        <v>18</v>
      </c>
      <c r="B39" s="121"/>
      <c r="C39" s="122">
        <f>MAX(H8:H31)</f>
        <v>696</v>
      </c>
      <c r="D39" s="123"/>
      <c r="E39" s="124">
        <f>VLOOKUP(C39,H8:L31,4,FALSE)</f>
        <v>0.833333333333333</v>
      </c>
      <c r="F39" s="125"/>
      <c r="G39" s="125"/>
      <c r="H39" s="126" t="s">
        <v>19</v>
      </c>
      <c r="I39" s="127"/>
      <c r="J39" s="128"/>
      <c r="K39" s="129">
        <f>MAX(J8:J31)</f>
        <v>2</v>
      </c>
      <c r="L39" s="130"/>
      <c r="N39" s="131" t="s">
        <v>20</v>
      </c>
      <c r="O39" s="132"/>
      <c r="P39" s="132"/>
      <c r="Q39" s="133"/>
      <c r="R39" s="134">
        <f>AVERAGE(H8:H31)</f>
        <v>480.083333333333</v>
      </c>
      <c r="S39" s="135"/>
      <c r="T39" s="135"/>
    </row>
    <row r="40" ht="15" spans="1:29">
      <c r="C40" s="136"/>
      <c r="D40" s="137"/>
      <c r="E40" s="138"/>
      <c r="F40" s="138"/>
      <c r="G40" s="138"/>
      <c r="H40" s="138"/>
      <c r="I40" s="139"/>
      <c r="J40" s="106"/>
      <c r="K40" s="110"/>
      <c r="L40" s="110"/>
      <c r="N40" s="140"/>
      <c r="O40" s="140"/>
      <c r="P40" s="140"/>
      <c r="Q40" s="140"/>
      <c r="R40" s="140"/>
      <c r="X40" s="5"/>
      <c r="Y40" s="5"/>
      <c r="Z40" s="5"/>
      <c r="AA40" s="5"/>
      <c r="AB40" s="5"/>
      <c r="AC40" s="141"/>
    </row>
    <row r="41" ht="24.75" customHeight="1" spans="1:29">
      <c r="A41" s="120" t="s">
        <v>21</v>
      </c>
      <c r="B41" s="121"/>
      <c r="C41" s="122">
        <f>MIN(H8:H31)</f>
        <v>394</v>
      </c>
      <c r="D41" s="123"/>
      <c r="E41" s="124">
        <f>VLOOKUP(C41,H8:L31,4,FALSE)</f>
        <v>0.458333333333333</v>
      </c>
      <c r="F41" s="142"/>
      <c r="G41" s="125"/>
      <c r="H41" s="126" t="s">
        <v>22</v>
      </c>
      <c r="I41" s="127"/>
      <c r="J41" s="128"/>
      <c r="K41" s="129">
        <f>MIN(J8:J31)</f>
        <v>1</v>
      </c>
      <c r="L41" s="130"/>
      <c r="N41" s="126" t="s">
        <v>23</v>
      </c>
      <c r="O41" s="127"/>
      <c r="P41" s="127"/>
      <c r="Q41" s="128"/>
      <c r="R41" s="143">
        <f>AVERAGE(I8:I31)</f>
        <v>373.520833333333</v>
      </c>
      <c r="S41" s="144"/>
      <c r="T41" s="144"/>
      <c r="U41" s="144"/>
      <c r="V41" s="144"/>
      <c r="X41" s="145"/>
    </row>
    <row r="42" ht="15" spans="1:29">
      <c r="D42" s="138"/>
      <c r="E42" s="138"/>
      <c r="F42" s="138"/>
      <c r="G42" s="138"/>
      <c r="H42" s="138"/>
      <c r="I42" s="146"/>
      <c r="J42" s="138"/>
      <c r="K42" s="147"/>
      <c r="L42" s="147"/>
      <c r="V42" s="148"/>
      <c r="W42" s="148"/>
      <c r="X42" s="149"/>
      <c r="Y42" s="149"/>
      <c r="Z42" s="150"/>
      <c r="AA42" s="150"/>
      <c r="AB42" s="150"/>
      <c r="AC42" s="150"/>
    </row>
    <row r="43" ht="24.75" customHeight="1" spans="1:29">
      <c r="C43" s="136"/>
      <c r="H43" s="151"/>
      <c r="I43" s="151"/>
      <c r="J43" s="151"/>
      <c r="K43" s="145"/>
      <c r="L43" s="139"/>
      <c r="N43" s="152" t="s">
        <v>24</v>
      </c>
      <c r="O43" s="153"/>
      <c r="P43" s="153"/>
      <c r="Q43" s="154"/>
      <c r="R43" s="155" t="e">
        <f>AVERAGE(T8:T31)</f>
        <v>#DIV/0!</v>
      </c>
      <c r="X43" s="156"/>
      <c r="Z43" s="157"/>
      <c r="AA43" s="157"/>
      <c r="AB43" s="157"/>
      <c r="AC43" s="157"/>
    </row>
    <row r="44" ht="19.5" spans="1:29">
      <c r="I44" s="158"/>
      <c r="K44" s="159"/>
      <c r="L44" s="159"/>
      <c r="Z44" s="160"/>
      <c r="AA44" s="160"/>
      <c r="AB44" s="160"/>
      <c r="AC44" s="160"/>
    </row>
    <row r="45" ht="24.75" customHeight="1" spans="1:29">
      <c r="D45" s="158"/>
      <c r="E45" s="158"/>
      <c r="F45" s="158"/>
      <c r="G45" s="158"/>
      <c r="H45" s="158"/>
      <c r="N45" s="126" t="s">
        <v>25</v>
      </c>
      <c r="O45" s="127"/>
      <c r="P45" s="127"/>
      <c r="Q45" s="128"/>
      <c r="R45" s="161">
        <f>SUM(M32-H32)/24</f>
        <v>-460.040000000004</v>
      </c>
      <c r="X45" s="162"/>
      <c r="Z45" s="163"/>
      <c r="AA45" s="163"/>
      <c r="AB45" s="163"/>
      <c r="AC45" s="163"/>
    </row>
    <row r="46" spans="1:29">
      <c r="Z46" s="164"/>
      <c r="AA46" s="164"/>
      <c r="AB46" s="164"/>
      <c r="AC46" s="164"/>
    </row>
    <row r="47" spans="1:29">
      <c r="Z47" s="139"/>
      <c r="AA47" s="139"/>
      <c r="AB47" s="139"/>
      <c r="AC47" s="139"/>
    </row>
    <row r="48" spans="1:29">
      <c r="Z48" s="139"/>
      <c r="AA48" s="139"/>
      <c r="AB48" s="139"/>
      <c r="AC48" s="139"/>
    </row>
    <row r="49" spans="11:29">
      <c r="Z49" s="157"/>
      <c r="AA49" s="157"/>
      <c r="AB49" s="157"/>
      <c r="AC49" s="157"/>
    </row>
    <row r="50" spans="11:29">
      <c r="Z50" s="157"/>
      <c r="AA50" s="157"/>
      <c r="AB50" s="157"/>
      <c r="AC50" s="157"/>
    </row>
    <row r="51" spans="11:29">
      <c r="K51" s="150"/>
      <c r="L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0"/>
      <c r="AC51" s="150"/>
    </row>
    <row r="52" spans="11:29">
      <c r="K52" s="150"/>
      <c r="L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  <c r="AB52" s="150"/>
      <c r="AC52" s="150"/>
    </row>
    <row r="53" spans="11:29">
      <c r="K53" s="150"/>
      <c r="L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50"/>
      <c r="AB53" s="150"/>
      <c r="AC53" s="150"/>
    </row>
    <row r="60" spans="11:29">
      <c r="O60" s="165"/>
      <c r="P60" s="165"/>
      <c r="Q60" s="165"/>
      <c r="R60" s="165"/>
      <c r="S60" s="165"/>
      <c r="T60" s="165"/>
    </row>
    <row r="61" spans="11:29">
      <c r="O61" s="165"/>
      <c r="P61" s="165"/>
      <c r="Q61" s="165"/>
      <c r="R61" s="165"/>
      <c r="S61" s="165"/>
      <c r="T61" s="165"/>
    </row>
    <row r="62" spans="11:29">
      <c r="O62" s="165"/>
      <c r="P62" s="165"/>
      <c r="Q62" s="165"/>
      <c r="R62" s="165"/>
      <c r="S62" s="165"/>
      <c r="T62" s="165"/>
    </row>
    <row r="63" spans="11:29">
      <c r="O63" s="165"/>
      <c r="P63" s="165"/>
      <c r="Q63" s="165"/>
      <c r="R63" s="165"/>
      <c r="S63" s="165"/>
      <c r="T63" s="165"/>
    </row>
    <row r="64" spans="11:29">
      <c r="O64" s="165"/>
      <c r="P64" s="165"/>
      <c r="Q64" s="165"/>
      <c r="R64" s="165"/>
      <c r="S64" s="165"/>
      <c r="T64" s="165"/>
    </row>
    <row r="65" spans="15:20">
      <c r="O65" s="165"/>
      <c r="P65" s="165"/>
      <c r="Q65" s="165"/>
      <c r="R65" s="165"/>
      <c r="S65" s="165"/>
      <c r="T65" s="165"/>
    </row>
    <row r="66" spans="15:20">
      <c r="O66" s="165"/>
      <c r="P66" s="165"/>
      <c r="Q66" s="165"/>
      <c r="R66" s="165"/>
      <c r="S66" s="165"/>
      <c r="T66" s="165"/>
    </row>
    <row r="67" spans="15:20">
      <c r="O67" s="165"/>
      <c r="P67" s="165"/>
      <c r="Q67" s="165"/>
      <c r="R67" s="165"/>
      <c r="S67" s="165"/>
      <c r="T67" s="165"/>
    </row>
    <row r="68" spans="15:20">
      <c r="O68" s="165"/>
      <c r="P68" s="165"/>
      <c r="Q68" s="165"/>
      <c r="R68" s="165"/>
      <c r="S68" s="165"/>
      <c r="T68" s="165"/>
    </row>
  </sheetData>
  <mergeCells count="116">
    <mergeCell ref="H4:K4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B29:C29"/>
    <mergeCell ref="D29:E29"/>
    <mergeCell ref="F29:G2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N34:Q34"/>
    <mergeCell ref="B35:C35"/>
    <mergeCell ref="D35:E35"/>
    <mergeCell ref="F35:G35"/>
    <mergeCell ref="N35:Q35"/>
    <mergeCell ref="N37:Q37"/>
    <mergeCell ref="A39:B39"/>
    <mergeCell ref="C39:D39"/>
    <mergeCell ref="H39:J39"/>
    <mergeCell ref="N39:Q39"/>
    <mergeCell ref="A41:B41"/>
    <mergeCell ref="C41:D41"/>
    <mergeCell ref="H41:J41"/>
    <mergeCell ref="N41:Q41"/>
    <mergeCell ref="H43:J43"/>
    <mergeCell ref="N43:Q43"/>
    <mergeCell ref="N45:Q45"/>
    <mergeCell ref="A6:A7"/>
    <mergeCell ref="A33:A34"/>
    <mergeCell ref="H6:H7"/>
    <mergeCell ref="H33:H34"/>
    <mergeCell ref="I6:I7"/>
    <mergeCell ref="I33:I34"/>
    <mergeCell ref="J6:J7"/>
    <mergeCell ref="K6:K7"/>
    <mergeCell ref="L6:L7"/>
    <mergeCell ref="M6:M7"/>
    <mergeCell ref="N6:N7"/>
    <mergeCell ref="O6:O7"/>
    <mergeCell ref="T6:T7"/>
    <mergeCell ref="U6:U7"/>
    <mergeCell ref="B33:C34"/>
    <mergeCell ref="D33:E34"/>
    <mergeCell ref="F33:G34"/>
  </mergeCells>
  <conditionalFormatting sqref="O8">
    <cfRule type="cellIs" dxfId="0" priority="10" operator="equal">
      <formula>"N/A"</formula>
    </cfRule>
  </conditionalFormatting>
  <conditionalFormatting sqref="A30">
    <cfRule type="cellIs" dxfId="1" priority="11" operator="equal">
      <formula>"STB"</formula>
    </cfRule>
    <cfRule type="cellIs" dxfId="0" priority="12" operator="equal">
      <formula>"BD"</formula>
    </cfRule>
  </conditionalFormatting>
  <conditionalFormatting sqref="B8:B31">
    <cfRule type="cellIs" dxfId="1" priority="1" operator="equal">
      <formula>"STB"</formula>
    </cfRule>
    <cfRule type="cellIs" dxfId="0" priority="2" operator="equal">
      <formula>"BD"</formula>
    </cfRule>
  </conditionalFormatting>
  <conditionalFormatting sqref="D8:D31">
    <cfRule type="cellIs" dxfId="1" priority="8" operator="equal">
      <formula>"STB"</formula>
    </cfRule>
    <cfRule type="cellIs" dxfId="0" priority="9" operator="equal">
      <formula>"BD"</formula>
    </cfRule>
  </conditionalFormatting>
  <conditionalFormatting sqref="F8:F31">
    <cfRule type="cellIs" dxfId="1" priority="3" operator="equal">
      <formula>"STB"</formula>
    </cfRule>
    <cfRule type="cellIs" dxfId="0" priority="4" operator="equal">
      <formula>"BD"</formula>
    </cfRule>
  </conditionalFormatting>
  <conditionalFormatting sqref="H8:H31">
    <cfRule type="top10" dxfId="2" priority="5" bottom="1" rank="1"/>
    <cfRule type="top10" dxfId="3" priority="6" rank="1"/>
    <cfRule type="cellIs" dxfId="4" priority="7" stopIfTrue="1" operator="equal">
      <formula>28000</formula>
    </cfRule>
  </conditionalFormatting>
  <conditionalFormatting sqref="H32:H33">
    <cfRule type="top10" dxfId="2" priority="14" bottom="1" rank="1"/>
    <cfRule type="top10" dxfId="3" priority="15" rank="1"/>
    <cfRule type="cellIs" dxfId="4" priority="17" stopIfTrue="1" operator="equal">
      <formula>28000</formula>
    </cfRule>
  </conditionalFormatting>
  <conditionalFormatting sqref="Y8:Y31">
    <cfRule type="containsText" dxfId="5" priority="13" operator="between" text="-">
      <formula>NOT(ISERROR(SEARCH("-",Y8)))</formula>
    </cfRule>
  </conditionalFormatting>
  <conditionalFormatting sqref="N8 N9:O31">
    <cfRule type="cellIs" dxfId="0" priority="16" operator="equal">
      <formula>"BD"</formula>
    </cfRule>
  </conditionalFormatting>
  <pageMargins left="0.7" right="0.7" top="0.75" bottom="0.75" header="0.3" footer="0.3"/>
  <pageSetup paperSize="1" orientation="portrait" verticalDpi="36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C68"/>
  <sheetViews>
    <sheetView zoomScale="80" zoomScaleNormal="80" workbookViewId="0">
      <pane ySplit="7" topLeftCell="A9" activePane="bottomLeft" state="frozen"/>
      <selection/>
      <selection pane="bottomLeft" activeCell="A3" sqref="$A3:$XFD3"/>
    </sheetView>
  </sheetViews>
  <sheetFormatPr defaultColWidth="8.81666666666667" defaultRowHeight="14.25"/>
  <cols>
    <col min="1" max="1" width="16.725" customWidth="1"/>
    <col min="2" max="2" width="8.725" customWidth="1"/>
    <col min="3" max="7" width="5.725" customWidth="1"/>
    <col min="8" max="8" width="14.2666666666667" customWidth="1"/>
    <col min="9" max="9" width="15.1833333333333" customWidth="1"/>
    <col min="10" max="10" width="15.5416666666667" customWidth="1"/>
    <col min="11" max="11" width="7" customWidth="1"/>
    <col min="12" max="12" width="8.54166666666667" customWidth="1"/>
    <col min="13" max="13" width="11.725" style="5" customWidth="1"/>
    <col min="14" max="14" width="17.1833333333333" customWidth="1"/>
    <col min="15" max="15" width="15.45" customWidth="1"/>
    <col min="16" max="16" width="7.45" customWidth="1"/>
    <col min="17" max="17" width="9.54166666666667" customWidth="1"/>
    <col min="18" max="18" width="10" customWidth="1"/>
    <col min="19" max="20" width="9.81666666666667" customWidth="1"/>
    <col min="21" max="21" width="6.725" customWidth="1"/>
    <col min="22" max="22" width="13.8166666666667" customWidth="1"/>
    <col min="23" max="23" width="11.2666666666667" customWidth="1"/>
    <col min="24" max="24" width="9.26666666666667" customWidth="1"/>
    <col min="25" max="25" width="3.725" customWidth="1"/>
    <col min="26" max="29" width="7.725" customWidth="1"/>
    <col min="30" max="30" width="6.725" customWidth="1"/>
  </cols>
  <sheetData>
    <row r="1" ht="3" customHeight="1"/>
    <row r="2" ht="6" customHeight="1" spans="1:2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="1" customFormat="1" ht="6.75" customHeight="1" spans="1:29">
      <c r="K3" s="7"/>
      <c r="L3" s="8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17.25" customHeight="1" spans="1:29">
      <c r="A4" s="1"/>
      <c r="B4" s="10"/>
      <c r="C4" s="10"/>
      <c r="D4" s="10"/>
      <c r="E4" s="11"/>
      <c r="F4" s="11"/>
      <c r="G4" s="11"/>
      <c r="H4" s="12">
        <f>'[7]Taniwel daily'!C4</f>
        <v>45298</v>
      </c>
      <c r="I4" s="13"/>
      <c r="J4" s="13"/>
      <c r="K4" s="14"/>
      <c r="L4" s="15"/>
      <c r="M4" s="16"/>
      <c r="N4" s="10"/>
      <c r="O4" s="10"/>
      <c r="P4" s="10"/>
      <c r="Q4" s="10"/>
      <c r="R4" s="10"/>
      <c r="S4" s="10"/>
      <c r="T4" s="10"/>
      <c r="U4" s="10"/>
      <c r="V4" s="7"/>
      <c r="W4" s="7"/>
      <c r="X4" s="7"/>
      <c r="Y4" s="7"/>
      <c r="Z4" s="7"/>
      <c r="AA4" s="7"/>
      <c r="AB4" s="7"/>
      <c r="AC4" s="7"/>
    </row>
    <row r="5" ht="7.5" customHeight="1" spans="1:29">
      <c r="A5" s="1"/>
      <c r="B5" s="17"/>
      <c r="C5" s="1"/>
      <c r="D5" s="1"/>
      <c r="E5" s="1"/>
      <c r="F5" s="1"/>
      <c r="G5" s="1"/>
      <c r="H5" s="1"/>
      <c r="I5" s="1"/>
      <c r="J5" s="1"/>
      <c r="K5" s="18"/>
      <c r="L5" s="7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ht="17.25" customHeight="1" spans="1:29">
      <c r="A6" s="19" t="s">
        <v>0</v>
      </c>
      <c r="B6" s="20" t="s">
        <v>1</v>
      </c>
      <c r="C6" s="21"/>
      <c r="D6" s="20" t="s">
        <v>2</v>
      </c>
      <c r="E6" s="21"/>
      <c r="F6" s="20" t="s">
        <v>3</v>
      </c>
      <c r="G6" s="21"/>
      <c r="H6" s="22" t="s">
        <v>4</v>
      </c>
      <c r="I6" s="22" t="s">
        <v>5</v>
      </c>
      <c r="J6" s="23" t="s">
        <v>6</v>
      </c>
      <c r="K6" s="19" t="s">
        <v>0</v>
      </c>
      <c r="L6" s="24" t="s">
        <v>7</v>
      </c>
      <c r="M6" s="25" t="s">
        <v>8</v>
      </c>
      <c r="N6" s="26" t="s">
        <v>9</v>
      </c>
      <c r="O6" s="25" t="s">
        <v>10</v>
      </c>
      <c r="P6" s="27"/>
      <c r="Q6" s="28"/>
      <c r="R6" s="28"/>
      <c r="S6" s="28"/>
      <c r="T6" s="28"/>
      <c r="U6" s="29"/>
    </row>
    <row r="7" ht="15.75" customHeight="1" spans="1:29">
      <c r="A7" s="30"/>
      <c r="B7" s="31">
        <v>1</v>
      </c>
      <c r="C7" s="32"/>
      <c r="D7" s="31">
        <v>2</v>
      </c>
      <c r="E7" s="32"/>
      <c r="F7" s="31">
        <v>3</v>
      </c>
      <c r="G7" s="32"/>
      <c r="H7" s="33"/>
      <c r="I7" s="33"/>
      <c r="J7" s="34"/>
      <c r="K7" s="30"/>
      <c r="L7" s="35"/>
      <c r="M7" s="36"/>
      <c r="N7" s="37"/>
      <c r="O7" s="38"/>
      <c r="P7" s="27"/>
      <c r="Q7" s="28"/>
      <c r="R7" s="28"/>
      <c r="S7" s="28"/>
      <c r="T7" s="28"/>
      <c r="U7" s="29"/>
      <c r="X7" s="39"/>
    </row>
    <row r="8" s="2" customFormat="1" ht="15" customHeight="1" spans="1:29">
      <c r="A8" s="40">
        <v>0.0416666666666666</v>
      </c>
      <c r="B8" s="41" t="s">
        <v>11</v>
      </c>
      <c r="C8" s="42"/>
      <c r="D8" s="41">
        <v>265</v>
      </c>
      <c r="E8" s="42"/>
      <c r="F8" s="41">
        <v>250</v>
      </c>
      <c r="G8" s="42"/>
      <c r="H8" s="43">
        <f t="shared" ref="H8:H31" si="0">IF(SUM(B8:G8)/1000=0,"0",SUM(B8:G8))</f>
        <v>515</v>
      </c>
      <c r="I8" s="44">
        <f t="shared" ref="I8:I31" si="1">IFERROR(AVERAGE(B8:G8),"0")</f>
        <v>257.5</v>
      </c>
      <c r="J8" s="45">
        <f t="shared" ref="J8:J31" si="2">COUNT(B8:G8)</f>
        <v>2</v>
      </c>
      <c r="K8" s="46">
        <v>0.0416666666666667</v>
      </c>
      <c r="L8" s="47">
        <v>4500</v>
      </c>
      <c r="M8" s="48">
        <v>160.55</v>
      </c>
      <c r="N8" s="49">
        <f>(M9-M8)*12000</f>
        <v>599.999999999795</v>
      </c>
      <c r="O8" s="50"/>
      <c r="P8" s="51"/>
      <c r="Q8" s="52"/>
      <c r="R8" s="52"/>
      <c r="S8" s="52"/>
      <c r="T8" s="52"/>
      <c r="U8" s="53"/>
    </row>
    <row r="9" s="3" customFormat="1" ht="15" customHeight="1" spans="1:29">
      <c r="A9" s="40">
        <v>0.0833333333333333</v>
      </c>
      <c r="B9" s="41" t="s">
        <v>11</v>
      </c>
      <c r="C9" s="42"/>
      <c r="D9" s="41">
        <v>237</v>
      </c>
      <c r="E9" s="42"/>
      <c r="F9" s="41">
        <v>257</v>
      </c>
      <c r="G9" s="42"/>
      <c r="H9" s="43">
        <f t="shared" si="0"/>
        <v>494</v>
      </c>
      <c r="I9" s="44">
        <f t="shared" si="1"/>
        <v>247</v>
      </c>
      <c r="J9" s="45">
        <f t="shared" si="2"/>
        <v>2</v>
      </c>
      <c r="K9" s="46">
        <v>0.0833333333333333</v>
      </c>
      <c r="L9" s="47">
        <v>4200</v>
      </c>
      <c r="M9" s="54">
        <v>160.6</v>
      </c>
      <c r="N9" s="49">
        <f t="shared" ref="N9:N30" si="3">(M10-M9)*12000</f>
        <v>600.000000000136</v>
      </c>
      <c r="O9" s="55"/>
      <c r="P9" s="51"/>
      <c r="Q9" s="52"/>
      <c r="R9" s="52"/>
      <c r="S9" s="52"/>
      <c r="T9" s="52"/>
      <c r="U9" s="53"/>
    </row>
    <row r="10" s="3" customFormat="1" ht="15" customHeight="1" spans="1:29">
      <c r="A10" s="40">
        <v>0.125</v>
      </c>
      <c r="B10" s="41" t="s">
        <v>11</v>
      </c>
      <c r="C10" s="42"/>
      <c r="D10" s="41">
        <v>231</v>
      </c>
      <c r="E10" s="42"/>
      <c r="F10" s="41">
        <v>261</v>
      </c>
      <c r="G10" s="42"/>
      <c r="H10" s="43">
        <f t="shared" si="0"/>
        <v>492</v>
      </c>
      <c r="I10" s="44">
        <f t="shared" si="1"/>
        <v>246</v>
      </c>
      <c r="J10" s="45">
        <f t="shared" si="2"/>
        <v>2</v>
      </c>
      <c r="K10" s="46">
        <v>0.125</v>
      </c>
      <c r="L10" s="47">
        <v>4200</v>
      </c>
      <c r="M10" s="54">
        <v>160.65</v>
      </c>
      <c r="N10" s="49">
        <f t="shared" si="3"/>
        <v>479.999999999905</v>
      </c>
      <c r="O10" s="56"/>
      <c r="P10" s="51"/>
      <c r="Q10" s="52"/>
      <c r="R10" s="52"/>
      <c r="S10" s="52"/>
      <c r="T10" s="52"/>
      <c r="U10" s="53"/>
    </row>
    <row r="11" s="3" customFormat="1" ht="15" customHeight="1" spans="1:29">
      <c r="A11" s="40">
        <v>0.166666666666667</v>
      </c>
      <c r="B11" s="41" t="s">
        <v>11</v>
      </c>
      <c r="C11" s="42"/>
      <c r="D11" s="41">
        <v>273</v>
      </c>
      <c r="E11" s="42"/>
      <c r="F11" s="41">
        <v>253</v>
      </c>
      <c r="G11" s="42"/>
      <c r="H11" s="43">
        <f t="shared" si="0"/>
        <v>526</v>
      </c>
      <c r="I11" s="44">
        <f t="shared" si="1"/>
        <v>263</v>
      </c>
      <c r="J11" s="45">
        <f t="shared" si="2"/>
        <v>2</v>
      </c>
      <c r="K11" s="46">
        <v>0.166666666666667</v>
      </c>
      <c r="L11" s="47">
        <v>4000</v>
      </c>
      <c r="M11" s="54">
        <v>160.69</v>
      </c>
      <c r="N11" s="49">
        <f t="shared" si="3"/>
        <v>600.000000000136</v>
      </c>
      <c r="O11" s="56"/>
      <c r="P11" s="51"/>
      <c r="Q11" s="52"/>
      <c r="R11" s="52"/>
      <c r="S11" s="52"/>
      <c r="T11" s="52"/>
      <c r="U11" s="53"/>
    </row>
    <row r="12" s="3" customFormat="1" ht="15" customHeight="1" spans="1:29">
      <c r="A12" s="40">
        <v>0.208333333333333</v>
      </c>
      <c r="B12" s="41" t="s">
        <v>11</v>
      </c>
      <c r="C12" s="42"/>
      <c r="D12" s="41">
        <v>262</v>
      </c>
      <c r="E12" s="42"/>
      <c r="F12" s="41">
        <v>256</v>
      </c>
      <c r="G12" s="42"/>
      <c r="H12" s="43">
        <f t="shared" si="0"/>
        <v>518</v>
      </c>
      <c r="I12" s="44">
        <f t="shared" si="1"/>
        <v>259</v>
      </c>
      <c r="J12" s="45">
        <f t="shared" si="2"/>
        <v>2</v>
      </c>
      <c r="K12" s="46">
        <v>0.208333333333333</v>
      </c>
      <c r="L12" s="47">
        <v>3900</v>
      </c>
      <c r="M12" s="54">
        <v>160.74</v>
      </c>
      <c r="N12" s="49">
        <f t="shared" si="3"/>
        <v>599.999999999795</v>
      </c>
      <c r="O12" s="56"/>
      <c r="P12" s="51"/>
      <c r="Q12" s="52"/>
      <c r="R12" s="52"/>
      <c r="S12" s="52"/>
      <c r="T12" s="52"/>
      <c r="U12" s="53"/>
    </row>
    <row r="13" s="3" customFormat="1" ht="15" customHeight="1" spans="1:29">
      <c r="A13" s="40">
        <v>0.25</v>
      </c>
      <c r="B13" s="41" t="s">
        <v>11</v>
      </c>
      <c r="C13" s="42"/>
      <c r="D13" s="41">
        <v>232</v>
      </c>
      <c r="E13" s="42"/>
      <c r="F13" s="41">
        <v>235</v>
      </c>
      <c r="G13" s="42"/>
      <c r="H13" s="43">
        <f t="shared" si="0"/>
        <v>467</v>
      </c>
      <c r="I13" s="44">
        <f t="shared" si="1"/>
        <v>233.5</v>
      </c>
      <c r="J13" s="45">
        <f t="shared" si="2"/>
        <v>2</v>
      </c>
      <c r="K13" s="46">
        <v>0.25</v>
      </c>
      <c r="L13" s="47">
        <v>3600</v>
      </c>
      <c r="M13" s="54">
        <v>160.79</v>
      </c>
      <c r="N13" s="49">
        <f t="shared" si="3"/>
        <v>600.000000000136</v>
      </c>
      <c r="O13" s="56"/>
      <c r="P13" s="51"/>
      <c r="Q13" s="52"/>
      <c r="R13" s="52"/>
      <c r="S13" s="52"/>
      <c r="T13" s="52"/>
      <c r="U13" s="53"/>
    </row>
    <row r="14" s="3" customFormat="1" ht="15" customHeight="1" spans="1:29">
      <c r="A14" s="40">
        <v>0.291666666666667</v>
      </c>
      <c r="B14" s="41" t="s">
        <v>11</v>
      </c>
      <c r="C14" s="42"/>
      <c r="D14" s="41">
        <v>265</v>
      </c>
      <c r="E14" s="42"/>
      <c r="F14" s="41">
        <v>158</v>
      </c>
      <c r="G14" s="42"/>
      <c r="H14" s="43">
        <f t="shared" si="0"/>
        <v>423</v>
      </c>
      <c r="I14" s="44">
        <f t="shared" si="1"/>
        <v>211.5</v>
      </c>
      <c r="J14" s="45">
        <f t="shared" si="2"/>
        <v>2</v>
      </c>
      <c r="K14" s="46">
        <v>0.291666666666667</v>
      </c>
      <c r="L14" s="47">
        <v>3600</v>
      </c>
      <c r="M14" s="54">
        <v>160.84</v>
      </c>
      <c r="N14" s="49">
        <f t="shared" si="3"/>
        <v>479.999999999905</v>
      </c>
      <c r="O14" s="56"/>
      <c r="P14" s="51"/>
      <c r="Q14" s="52"/>
      <c r="R14" s="52"/>
      <c r="S14" s="52"/>
      <c r="T14" s="52"/>
      <c r="U14" s="53"/>
    </row>
    <row r="15" s="3" customFormat="1" ht="15" customHeight="1" spans="1:29">
      <c r="A15" s="40">
        <v>0.333333333333333</v>
      </c>
      <c r="B15" s="41" t="s">
        <v>11</v>
      </c>
      <c r="C15" s="42"/>
      <c r="D15" s="41">
        <v>274</v>
      </c>
      <c r="E15" s="42"/>
      <c r="F15" s="41">
        <v>265</v>
      </c>
      <c r="G15" s="42"/>
      <c r="H15" s="43">
        <f t="shared" si="0"/>
        <v>539</v>
      </c>
      <c r="I15" s="44">
        <f t="shared" si="1"/>
        <v>269.5</v>
      </c>
      <c r="J15" s="45">
        <f t="shared" si="2"/>
        <v>2</v>
      </c>
      <c r="K15" s="46">
        <v>0.333333333333333</v>
      </c>
      <c r="L15" s="47">
        <v>3600</v>
      </c>
      <c r="M15" s="54">
        <v>160.88</v>
      </c>
      <c r="N15" s="49">
        <f t="shared" si="3"/>
        <v>720.000000000027</v>
      </c>
      <c r="O15" s="56"/>
      <c r="P15" s="51"/>
      <c r="Q15" s="52"/>
      <c r="R15" s="52"/>
      <c r="S15" s="52"/>
      <c r="T15" s="52"/>
      <c r="U15" s="53"/>
    </row>
    <row r="16" s="3" customFormat="1" ht="15" customHeight="1" spans="1:29">
      <c r="A16" s="40">
        <v>0.375</v>
      </c>
      <c r="B16" s="41" t="s">
        <v>11</v>
      </c>
      <c r="C16" s="42"/>
      <c r="D16" s="41">
        <v>264</v>
      </c>
      <c r="E16" s="42"/>
      <c r="F16" s="41">
        <v>276</v>
      </c>
      <c r="G16" s="42"/>
      <c r="H16" s="43">
        <f t="shared" si="0"/>
        <v>540</v>
      </c>
      <c r="I16" s="44">
        <f t="shared" si="1"/>
        <v>270</v>
      </c>
      <c r="J16" s="45">
        <f t="shared" si="2"/>
        <v>2</v>
      </c>
      <c r="K16" s="46">
        <v>0.375</v>
      </c>
      <c r="L16" s="47">
        <v>3600</v>
      </c>
      <c r="M16" s="54">
        <v>160.94</v>
      </c>
      <c r="N16" s="49">
        <f t="shared" si="3"/>
        <v>479.999999999905</v>
      </c>
      <c r="O16" s="56"/>
      <c r="P16" s="51"/>
      <c r="Q16" s="52"/>
      <c r="R16" s="52"/>
      <c r="S16" s="52"/>
      <c r="T16" s="52"/>
      <c r="U16" s="53"/>
    </row>
    <row r="17" s="3" customFormat="1" ht="15" customHeight="1" spans="1:21">
      <c r="A17" s="40">
        <v>0.416666666666667</v>
      </c>
      <c r="B17" s="41" t="s">
        <v>11</v>
      </c>
      <c r="C17" s="42"/>
      <c r="D17" s="41">
        <v>268</v>
      </c>
      <c r="E17" s="42"/>
      <c r="F17" s="41">
        <v>254</v>
      </c>
      <c r="G17" s="42"/>
      <c r="H17" s="43">
        <f t="shared" si="0"/>
        <v>522</v>
      </c>
      <c r="I17" s="44">
        <f t="shared" si="1"/>
        <v>261</v>
      </c>
      <c r="J17" s="45">
        <f t="shared" si="2"/>
        <v>2</v>
      </c>
      <c r="K17" s="46">
        <v>0.416666666666666</v>
      </c>
      <c r="L17" s="47">
        <v>3400</v>
      </c>
      <c r="M17" s="54">
        <v>160.98</v>
      </c>
      <c r="N17" s="49">
        <f t="shared" si="3"/>
        <v>600.000000000136</v>
      </c>
      <c r="O17" s="56"/>
      <c r="P17" s="51"/>
      <c r="Q17" s="52"/>
      <c r="R17" s="52"/>
      <c r="S17" s="52"/>
      <c r="T17" s="52"/>
      <c r="U17" s="53"/>
    </row>
    <row r="18" s="3" customFormat="1" ht="15" customHeight="1" spans="1:21">
      <c r="A18" s="40">
        <v>0.458333333333333</v>
      </c>
      <c r="B18" s="41" t="s">
        <v>11</v>
      </c>
      <c r="C18" s="42"/>
      <c r="D18" s="41">
        <v>236</v>
      </c>
      <c r="E18" s="42"/>
      <c r="F18" s="41">
        <v>247</v>
      </c>
      <c r="G18" s="42"/>
      <c r="H18" s="43">
        <f t="shared" si="0"/>
        <v>483</v>
      </c>
      <c r="I18" s="44">
        <f t="shared" si="1"/>
        <v>241.5</v>
      </c>
      <c r="J18" s="45">
        <f t="shared" si="2"/>
        <v>2</v>
      </c>
      <c r="K18" s="46">
        <v>0.458333333333333</v>
      </c>
      <c r="L18" s="47">
        <v>3300</v>
      </c>
      <c r="M18" s="54">
        <v>161.03</v>
      </c>
      <c r="N18" s="49">
        <f t="shared" si="3"/>
        <v>600.000000000136</v>
      </c>
      <c r="O18" s="56"/>
      <c r="P18" s="51"/>
      <c r="Q18" s="52"/>
      <c r="R18" s="52"/>
      <c r="S18" s="52"/>
      <c r="T18" s="52"/>
      <c r="U18" s="53"/>
    </row>
    <row r="19" s="3" customFormat="1" ht="15" customHeight="1" spans="1:21">
      <c r="A19" s="40">
        <v>0.5</v>
      </c>
      <c r="B19" s="41" t="s">
        <v>11</v>
      </c>
      <c r="C19" s="42"/>
      <c r="D19" s="41">
        <v>226</v>
      </c>
      <c r="E19" s="42"/>
      <c r="F19" s="41">
        <v>239</v>
      </c>
      <c r="G19" s="42"/>
      <c r="H19" s="43">
        <f t="shared" si="0"/>
        <v>465</v>
      </c>
      <c r="I19" s="44">
        <f t="shared" si="1"/>
        <v>232.5</v>
      </c>
      <c r="J19" s="45">
        <f t="shared" si="2"/>
        <v>2</v>
      </c>
      <c r="K19" s="46">
        <v>0.5</v>
      </c>
      <c r="L19" s="47">
        <v>3300</v>
      </c>
      <c r="M19" s="54">
        <v>161.08</v>
      </c>
      <c r="N19" s="49">
        <f t="shared" si="3"/>
        <v>479.999999999905</v>
      </c>
      <c r="O19" s="56"/>
      <c r="P19" s="51"/>
      <c r="Q19" s="52"/>
      <c r="R19" s="52"/>
      <c r="S19" s="52"/>
      <c r="T19" s="52"/>
      <c r="U19" s="53"/>
    </row>
    <row r="20" s="3" customFormat="1" ht="15" customHeight="1" spans="1:21">
      <c r="A20" s="40">
        <v>0.541666666666667</v>
      </c>
      <c r="B20" s="41" t="s">
        <v>11</v>
      </c>
      <c r="C20" s="42"/>
      <c r="D20" s="41">
        <v>214</v>
      </c>
      <c r="E20" s="42"/>
      <c r="F20" s="41">
        <v>234</v>
      </c>
      <c r="G20" s="42"/>
      <c r="H20" s="43">
        <f t="shared" si="0"/>
        <v>448</v>
      </c>
      <c r="I20" s="44">
        <f t="shared" si="1"/>
        <v>224</v>
      </c>
      <c r="J20" s="45">
        <f t="shared" si="2"/>
        <v>2</v>
      </c>
      <c r="K20" s="46">
        <v>0.541666666666667</v>
      </c>
      <c r="L20" s="47">
        <v>3000</v>
      </c>
      <c r="M20" s="54">
        <v>161.12</v>
      </c>
      <c r="N20" s="49">
        <f t="shared" si="3"/>
        <v>479.999999999905</v>
      </c>
      <c r="O20" s="56"/>
      <c r="P20" s="51"/>
      <c r="Q20" s="52"/>
      <c r="R20" s="52"/>
      <c r="S20" s="52"/>
      <c r="T20" s="52"/>
      <c r="U20" s="53"/>
    </row>
    <row r="21" s="3" customFormat="1" ht="15" customHeight="1" spans="1:21">
      <c r="A21" s="40">
        <v>0.583333333333333</v>
      </c>
      <c r="B21" s="41" t="s">
        <v>11</v>
      </c>
      <c r="C21" s="42"/>
      <c r="D21" s="41" t="s">
        <v>26</v>
      </c>
      <c r="E21" s="42"/>
      <c r="F21" s="41">
        <v>433</v>
      </c>
      <c r="G21" s="42"/>
      <c r="H21" s="43">
        <f t="shared" si="0"/>
        <v>433</v>
      </c>
      <c r="I21" s="44">
        <f t="shared" si="1"/>
        <v>433</v>
      </c>
      <c r="J21" s="45">
        <f t="shared" si="2"/>
        <v>1</v>
      </c>
      <c r="K21" s="46">
        <v>0.583333333333333</v>
      </c>
      <c r="L21" s="47">
        <v>3000</v>
      </c>
      <c r="M21" s="54">
        <v>161.16</v>
      </c>
      <c r="N21" s="49">
        <f t="shared" si="3"/>
        <v>479.999999999905</v>
      </c>
      <c r="O21" s="56"/>
      <c r="P21" s="51"/>
      <c r="Q21" s="52"/>
      <c r="R21" s="52"/>
      <c r="S21" s="52"/>
      <c r="T21" s="52"/>
      <c r="U21" s="53"/>
    </row>
    <row r="22" s="3" customFormat="1" ht="15" customHeight="1" spans="1:21">
      <c r="A22" s="40">
        <v>0.625</v>
      </c>
      <c r="B22" s="41" t="s">
        <v>11</v>
      </c>
      <c r="C22" s="42"/>
      <c r="D22" s="41" t="s">
        <v>26</v>
      </c>
      <c r="E22" s="42"/>
      <c r="F22" s="41">
        <v>416</v>
      </c>
      <c r="G22" s="42"/>
      <c r="H22" s="43">
        <f t="shared" si="0"/>
        <v>416</v>
      </c>
      <c r="I22" s="44">
        <f t="shared" si="1"/>
        <v>416</v>
      </c>
      <c r="J22" s="45">
        <f t="shared" si="2"/>
        <v>1</v>
      </c>
      <c r="K22" s="46">
        <v>0.625</v>
      </c>
      <c r="L22" s="47">
        <v>3000</v>
      </c>
      <c r="M22" s="54">
        <v>161.2</v>
      </c>
      <c r="N22" s="49">
        <f t="shared" si="3"/>
        <v>480.000000000246</v>
      </c>
      <c r="O22" s="56"/>
      <c r="P22" s="51"/>
      <c r="Q22" s="52"/>
      <c r="R22" s="52"/>
      <c r="S22" s="52"/>
      <c r="T22" s="52"/>
      <c r="U22" s="53"/>
    </row>
    <row r="23" s="3" customFormat="1" ht="15" customHeight="1" spans="1:21">
      <c r="A23" s="40">
        <v>0.666666666666667</v>
      </c>
      <c r="B23" s="41" t="s">
        <v>11</v>
      </c>
      <c r="C23" s="42"/>
      <c r="D23" s="41">
        <v>436</v>
      </c>
      <c r="E23" s="42"/>
      <c r="F23" s="41" t="s">
        <v>26</v>
      </c>
      <c r="G23" s="42"/>
      <c r="H23" s="43">
        <f t="shared" si="0"/>
        <v>436</v>
      </c>
      <c r="I23" s="44">
        <f t="shared" si="1"/>
        <v>436</v>
      </c>
      <c r="J23" s="45">
        <f t="shared" si="2"/>
        <v>1</v>
      </c>
      <c r="K23" s="46">
        <v>0.666666666666666</v>
      </c>
      <c r="L23" s="47">
        <v>3000</v>
      </c>
      <c r="M23" s="54">
        <v>161.24</v>
      </c>
      <c r="N23" s="49">
        <f t="shared" si="3"/>
        <v>479.999999999905</v>
      </c>
      <c r="O23" s="56"/>
      <c r="P23" s="51"/>
      <c r="Q23" s="52"/>
      <c r="R23" s="52"/>
      <c r="S23" s="52"/>
      <c r="T23" s="52"/>
      <c r="U23" s="53"/>
    </row>
    <row r="24" s="3" customFormat="1" ht="15" customHeight="1" spans="1:21">
      <c r="A24" s="40">
        <v>0.708333333333334</v>
      </c>
      <c r="B24" s="41" t="s">
        <v>11</v>
      </c>
      <c r="C24" s="42"/>
      <c r="D24" s="41">
        <v>236</v>
      </c>
      <c r="E24" s="42"/>
      <c r="F24" s="41">
        <v>234</v>
      </c>
      <c r="G24" s="42"/>
      <c r="H24" s="43">
        <f t="shared" si="0"/>
        <v>470</v>
      </c>
      <c r="I24" s="44">
        <f t="shared" si="1"/>
        <v>235</v>
      </c>
      <c r="J24" s="45">
        <f t="shared" si="2"/>
        <v>2</v>
      </c>
      <c r="K24" s="46">
        <v>0.708333333333333</v>
      </c>
      <c r="L24" s="47">
        <v>2700</v>
      </c>
      <c r="M24" s="54">
        <v>161.28</v>
      </c>
      <c r="N24" s="49">
        <f t="shared" si="3"/>
        <v>600.000000000136</v>
      </c>
      <c r="O24" s="56"/>
      <c r="P24" s="51"/>
      <c r="Q24" s="52"/>
      <c r="R24" s="52"/>
      <c r="S24" s="52"/>
      <c r="T24" s="52"/>
      <c r="U24" s="53"/>
    </row>
    <row r="25" s="3" customFormat="1" ht="15" customHeight="1" spans="1:21">
      <c r="A25" s="40">
        <v>0.75</v>
      </c>
      <c r="B25" s="41" t="s">
        <v>11</v>
      </c>
      <c r="C25" s="42"/>
      <c r="D25" s="41">
        <v>254</v>
      </c>
      <c r="E25" s="42"/>
      <c r="F25" s="41">
        <v>236</v>
      </c>
      <c r="G25" s="42"/>
      <c r="H25" s="43">
        <f t="shared" si="0"/>
        <v>490</v>
      </c>
      <c r="I25" s="44">
        <f t="shared" si="1"/>
        <v>245</v>
      </c>
      <c r="J25" s="45">
        <f t="shared" si="2"/>
        <v>2</v>
      </c>
      <c r="K25" s="46">
        <v>0.75</v>
      </c>
      <c r="L25" s="47">
        <v>2400</v>
      </c>
      <c r="M25" s="54">
        <v>161.33</v>
      </c>
      <c r="N25" s="49">
        <f t="shared" si="3"/>
        <v>599.999999999795</v>
      </c>
      <c r="O25" s="56"/>
      <c r="P25" s="51"/>
      <c r="Q25" s="52"/>
      <c r="R25" s="52"/>
      <c r="S25" s="52"/>
      <c r="T25" s="52"/>
      <c r="U25" s="53"/>
    </row>
    <row r="26" s="3" customFormat="1" ht="15" customHeight="1" spans="1:21">
      <c r="A26" s="40">
        <v>0.791666666666667</v>
      </c>
      <c r="B26" s="41" t="s">
        <v>11</v>
      </c>
      <c r="C26" s="42"/>
      <c r="D26" s="41">
        <v>310</v>
      </c>
      <c r="E26" s="42"/>
      <c r="F26" s="41">
        <v>308</v>
      </c>
      <c r="G26" s="42"/>
      <c r="H26" s="43">
        <f t="shared" si="0"/>
        <v>618</v>
      </c>
      <c r="I26" s="44">
        <f t="shared" si="1"/>
        <v>309</v>
      </c>
      <c r="J26" s="45">
        <f t="shared" si="2"/>
        <v>2</v>
      </c>
      <c r="K26" s="46">
        <v>0.791666666666666</v>
      </c>
      <c r="L26" s="47">
        <v>2100</v>
      </c>
      <c r="M26" s="54">
        <v>161.38</v>
      </c>
      <c r="N26" s="49">
        <f t="shared" si="3"/>
        <v>839.999999999918</v>
      </c>
      <c r="O26" s="56"/>
      <c r="P26" s="51"/>
      <c r="Q26" s="52"/>
      <c r="R26" s="52"/>
      <c r="S26" s="52"/>
      <c r="T26" s="52"/>
      <c r="U26" s="53"/>
    </row>
    <row r="27" s="3" customFormat="1" ht="15" customHeight="1" spans="1:21">
      <c r="A27" s="40">
        <v>0.833333333333334</v>
      </c>
      <c r="B27" s="41" t="s">
        <v>11</v>
      </c>
      <c r="C27" s="42"/>
      <c r="D27" s="41">
        <v>349</v>
      </c>
      <c r="E27" s="42"/>
      <c r="F27" s="41">
        <v>342</v>
      </c>
      <c r="G27" s="42"/>
      <c r="H27" s="43">
        <f t="shared" si="0"/>
        <v>691</v>
      </c>
      <c r="I27" s="44">
        <f t="shared" si="1"/>
        <v>345.5</v>
      </c>
      <c r="J27" s="45">
        <f t="shared" si="2"/>
        <v>2</v>
      </c>
      <c r="K27" s="46">
        <v>0.833333333333333</v>
      </c>
      <c r="L27" s="47">
        <v>2100</v>
      </c>
      <c r="M27" s="54">
        <v>161.45</v>
      </c>
      <c r="N27" s="49">
        <f t="shared" si="3"/>
        <v>600.000000000136</v>
      </c>
      <c r="O27" s="56"/>
      <c r="P27" s="51"/>
      <c r="Q27" s="52"/>
      <c r="R27" s="52"/>
      <c r="S27" s="52"/>
      <c r="T27" s="52"/>
      <c r="U27" s="53"/>
    </row>
    <row r="28" s="4" customFormat="1" ht="15" customHeight="1" spans="1:21">
      <c r="A28" s="40">
        <v>0.875</v>
      </c>
      <c r="B28" s="41" t="s">
        <v>11</v>
      </c>
      <c r="C28" s="42"/>
      <c r="D28" s="41">
        <v>320</v>
      </c>
      <c r="E28" s="42"/>
      <c r="F28" s="41">
        <v>334</v>
      </c>
      <c r="G28" s="42"/>
      <c r="H28" s="43">
        <f t="shared" si="0"/>
        <v>654</v>
      </c>
      <c r="I28" s="44">
        <f t="shared" si="1"/>
        <v>327</v>
      </c>
      <c r="J28" s="45">
        <f t="shared" si="2"/>
        <v>2</v>
      </c>
      <c r="K28" s="46">
        <v>0.875</v>
      </c>
      <c r="L28" s="47">
        <v>1800</v>
      </c>
      <c r="M28" s="54">
        <v>161.5</v>
      </c>
      <c r="N28" s="49">
        <f t="shared" si="3"/>
        <v>720.000000000027</v>
      </c>
      <c r="O28" s="56"/>
      <c r="P28" s="51"/>
      <c r="Q28" s="52"/>
      <c r="R28" s="52"/>
      <c r="S28" s="52"/>
      <c r="T28" s="52"/>
      <c r="U28" s="53"/>
    </row>
    <row r="29" s="3" customFormat="1" ht="15" customHeight="1" spans="1:21">
      <c r="A29" s="40">
        <v>0.916666666666667</v>
      </c>
      <c r="B29" s="41" t="s">
        <v>11</v>
      </c>
      <c r="C29" s="42"/>
      <c r="D29" s="41">
        <v>302</v>
      </c>
      <c r="E29" s="42"/>
      <c r="F29" s="41">
        <v>218</v>
      </c>
      <c r="G29" s="42"/>
      <c r="H29" s="43">
        <f t="shared" si="0"/>
        <v>520</v>
      </c>
      <c r="I29" s="44">
        <f t="shared" si="1"/>
        <v>260</v>
      </c>
      <c r="J29" s="45">
        <f t="shared" si="2"/>
        <v>2</v>
      </c>
      <c r="K29" s="46">
        <v>0.916666666666666</v>
      </c>
      <c r="L29" s="47">
        <v>1800</v>
      </c>
      <c r="M29" s="54">
        <v>161.56</v>
      </c>
      <c r="N29" s="49">
        <f t="shared" si="3"/>
        <v>479.999999999905</v>
      </c>
      <c r="O29" s="56"/>
      <c r="P29" s="51"/>
      <c r="Q29" s="52"/>
      <c r="R29" s="52"/>
      <c r="S29" s="52"/>
      <c r="T29" s="52"/>
      <c r="U29" s="53"/>
    </row>
    <row r="30" s="3" customFormat="1" ht="15" customHeight="1" spans="1:21">
      <c r="A30" s="40">
        <v>0.958333333333334</v>
      </c>
      <c r="B30" s="41" t="s">
        <v>11</v>
      </c>
      <c r="C30" s="42"/>
      <c r="D30" s="41">
        <v>298</v>
      </c>
      <c r="E30" s="42"/>
      <c r="F30" s="41">
        <v>306</v>
      </c>
      <c r="G30" s="42"/>
      <c r="H30" s="43">
        <f t="shared" si="0"/>
        <v>604</v>
      </c>
      <c r="I30" s="44">
        <f t="shared" si="1"/>
        <v>302</v>
      </c>
      <c r="J30" s="45">
        <f t="shared" si="2"/>
        <v>2</v>
      </c>
      <c r="K30" s="46">
        <v>0.958333333333333</v>
      </c>
      <c r="L30" s="47">
        <v>1800</v>
      </c>
      <c r="M30" s="54">
        <v>161.6</v>
      </c>
      <c r="N30" s="49">
        <f t="shared" si="3"/>
        <v>720.000000000027</v>
      </c>
      <c r="O30" s="56"/>
      <c r="P30" s="51"/>
      <c r="Q30" s="52"/>
      <c r="R30" s="52"/>
      <c r="S30" s="52"/>
      <c r="T30" s="52"/>
      <c r="U30" s="53"/>
    </row>
    <row r="31" s="2" customFormat="1" ht="15" customHeight="1" spans="1:21">
      <c r="A31" s="57">
        <v>1</v>
      </c>
      <c r="B31" s="41" t="s">
        <v>11</v>
      </c>
      <c r="C31" s="42"/>
      <c r="D31" s="41">
        <v>279</v>
      </c>
      <c r="E31" s="42"/>
      <c r="F31" s="41">
        <v>268</v>
      </c>
      <c r="G31" s="42"/>
      <c r="H31" s="43">
        <f t="shared" si="0"/>
        <v>547</v>
      </c>
      <c r="I31" s="58">
        <f t="shared" si="1"/>
        <v>273.5</v>
      </c>
      <c r="J31" s="59">
        <f t="shared" si="2"/>
        <v>2</v>
      </c>
      <c r="K31" s="60">
        <v>1</v>
      </c>
      <c r="L31" s="47">
        <v>4500</v>
      </c>
      <c r="M31" s="61">
        <v>161.66</v>
      </c>
      <c r="N31" s="49">
        <f>H31</f>
        <v>547</v>
      </c>
      <c r="O31" s="56"/>
      <c r="P31" s="51"/>
      <c r="Q31" s="52"/>
      <c r="R31" s="52"/>
      <c r="S31" s="52"/>
      <c r="T31" s="52"/>
      <c r="U31" s="53"/>
    </row>
    <row r="32" s="3" customFormat="1" ht="23.25" customHeight="1" spans="1:21">
      <c r="A32" s="62" t="s">
        <v>12</v>
      </c>
      <c r="B32" s="63">
        <f>SUM(B8:B31)/1000</f>
        <v>0</v>
      </c>
      <c r="C32" s="64"/>
      <c r="D32" s="63">
        <f>SUM(D8:D31)/1000</f>
        <v>6.031</v>
      </c>
      <c r="E32" s="64"/>
      <c r="F32" s="63">
        <f>SUM(F8:F31)/1000</f>
        <v>6.28</v>
      </c>
      <c r="G32" s="64"/>
      <c r="H32" s="65">
        <f>SUM(H8:H31)</f>
        <v>12311</v>
      </c>
      <c r="I32" s="66" t="s">
        <v>13</v>
      </c>
      <c r="J32" s="67"/>
      <c r="K32" s="68"/>
      <c r="L32" s="69"/>
      <c r="M32" s="70">
        <f>SUM(M31-M8+N8)</f>
        <v>601.109999999795</v>
      </c>
      <c r="N32" s="71">
        <f>SUM(N8:N31)</f>
        <v>13866.9999999998</v>
      </c>
      <c r="O32" s="72">
        <f>SUM(O8:O31)</f>
        <v>0</v>
      </c>
      <c r="P32" s="73"/>
      <c r="Q32" s="74"/>
      <c r="R32" s="74"/>
      <c r="S32" s="74"/>
      <c r="T32" s="74"/>
      <c r="U32" s="75"/>
    </row>
    <row r="33" ht="15" customHeight="1" spans="1:29">
      <c r="A33" s="76" t="s">
        <v>14</v>
      </c>
      <c r="B33" s="77" t="str">
        <f>IFERROR((AVERAGE(B8:B31)),"0")</f>
        <v>0</v>
      </c>
      <c r="C33" s="78"/>
      <c r="D33" s="79">
        <f>IFERROR((AVERAGE(D8:D31)),"0")</f>
        <v>274.136363636364</v>
      </c>
      <c r="E33" s="78"/>
      <c r="F33" s="79">
        <f>IFERROR((AVERAGE(F8:F31)),"0")</f>
        <v>273.04347826087</v>
      </c>
      <c r="G33" s="80"/>
      <c r="H33" s="81">
        <f>H32*1000</f>
        <v>12311000</v>
      </c>
      <c r="I33" s="82" t="s">
        <v>15</v>
      </c>
      <c r="J33" s="83"/>
      <c r="K33" s="84"/>
      <c r="L33" s="85"/>
      <c r="M33" s="86"/>
      <c r="N33" s="85"/>
      <c r="O33" s="87"/>
      <c r="P33" s="87"/>
      <c r="Q33" s="88"/>
      <c r="R33" s="88"/>
      <c r="S33" s="89"/>
      <c r="T33" s="89"/>
      <c r="U33" s="89"/>
      <c r="V33" s="89"/>
    </row>
    <row r="34" ht="18.75" customHeight="1" spans="1:29">
      <c r="A34" s="90"/>
      <c r="B34" s="91"/>
      <c r="C34" s="92"/>
      <c r="D34" s="93"/>
      <c r="E34" s="92"/>
      <c r="F34" s="93"/>
      <c r="G34" s="94"/>
      <c r="H34" s="95"/>
      <c r="I34" s="96"/>
      <c r="J34" s="97"/>
      <c r="K34" s="98"/>
      <c r="L34" s="85"/>
      <c r="M34" s="86"/>
      <c r="N34" s="99"/>
      <c r="O34" s="99"/>
      <c r="P34" s="99"/>
      <c r="Q34" s="99"/>
      <c r="R34" s="88"/>
      <c r="S34" s="89"/>
      <c r="T34" s="89"/>
      <c r="U34" s="89"/>
      <c r="V34" s="89"/>
    </row>
    <row r="35" ht="22.5" customHeight="1" spans="1:29">
      <c r="A35" s="100" t="s">
        <v>16</v>
      </c>
      <c r="B35" s="101">
        <f>COUNT(B8:B31)</f>
        <v>0</v>
      </c>
      <c r="C35" s="102"/>
      <c r="D35" s="103">
        <f>COUNT(D8:D31)</f>
        <v>22</v>
      </c>
      <c r="E35" s="102"/>
      <c r="F35" s="103">
        <f>COUNT(F8:F31)</f>
        <v>23</v>
      </c>
      <c r="G35" s="104"/>
      <c r="H35" s="105"/>
      <c r="I35" s="106"/>
      <c r="J35" s="107"/>
      <c r="K35" s="107"/>
      <c r="L35" s="107"/>
      <c r="M35" s="107"/>
      <c r="N35" s="99"/>
      <c r="O35" s="99"/>
      <c r="P35" s="99"/>
      <c r="Q35" s="99"/>
      <c r="R35" s="108"/>
      <c r="S35" s="89"/>
      <c r="T35" s="89"/>
      <c r="U35" s="89"/>
      <c r="V35" s="89"/>
    </row>
    <row r="36" ht="9" customHeight="1" spans="1:29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10"/>
      <c r="N36" s="106"/>
      <c r="O36" s="107"/>
      <c r="P36" s="107"/>
      <c r="Q36" s="107"/>
      <c r="R36" s="107"/>
      <c r="S36" s="107"/>
      <c r="T36" s="107"/>
      <c r="U36" s="111"/>
      <c r="V36" s="112"/>
      <c r="W36" s="108"/>
      <c r="X36" s="108"/>
      <c r="Y36" s="108"/>
      <c r="Z36" s="89"/>
      <c r="AA36" s="89"/>
      <c r="AB36" s="89"/>
      <c r="AC36" s="89"/>
    </row>
    <row r="37" ht="24" customHeight="1" spans="1:29">
      <c r="D37" s="113"/>
      <c r="E37" s="113"/>
      <c r="F37" s="113"/>
      <c r="G37" s="113"/>
      <c r="H37" s="113"/>
      <c r="I37" s="113"/>
      <c r="J37" s="113"/>
      <c r="K37" s="114"/>
      <c r="L37" s="114"/>
      <c r="N37" s="115" t="s">
        <v>17</v>
      </c>
      <c r="O37" s="116"/>
      <c r="P37" s="116"/>
      <c r="Q37" s="117"/>
      <c r="R37" s="118">
        <f>SUM(B35:F35)</f>
        <v>45</v>
      </c>
      <c r="S37" s="69"/>
      <c r="T37" s="69"/>
      <c r="U37" s="69"/>
      <c r="V37" s="69"/>
      <c r="X37" s="119"/>
      <c r="Y37" s="119"/>
      <c r="Z37" s="119"/>
      <c r="AA37" s="119"/>
      <c r="AB37" s="119"/>
      <c r="AC37" s="114"/>
    </row>
    <row r="38" ht="15" spans="1:29">
      <c r="D38" s="113"/>
      <c r="E38" s="113"/>
      <c r="F38" s="113"/>
      <c r="G38" s="113"/>
      <c r="H38" s="113"/>
      <c r="I38" s="113"/>
      <c r="J38" s="113"/>
      <c r="K38" s="114"/>
      <c r="L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</row>
    <row r="39" ht="24.75" customHeight="1" spans="1:29">
      <c r="A39" s="120" t="s">
        <v>18</v>
      </c>
      <c r="B39" s="121"/>
      <c r="C39" s="122">
        <f>MAX(H8:H31)</f>
        <v>691</v>
      </c>
      <c r="D39" s="123"/>
      <c r="E39" s="124">
        <f>VLOOKUP(C39,H8:L31,4,FALSE)</f>
        <v>0.833333333333333</v>
      </c>
      <c r="F39" s="125"/>
      <c r="G39" s="125"/>
      <c r="H39" s="126" t="s">
        <v>19</v>
      </c>
      <c r="I39" s="127"/>
      <c r="J39" s="128"/>
      <c r="K39" s="129">
        <f>MAX(J8:J31)</f>
        <v>2</v>
      </c>
      <c r="L39" s="130"/>
      <c r="N39" s="131" t="s">
        <v>20</v>
      </c>
      <c r="O39" s="132"/>
      <c r="P39" s="132"/>
      <c r="Q39" s="133"/>
      <c r="R39" s="134">
        <f>AVERAGE(H8:H31)</f>
        <v>512.958333333333</v>
      </c>
      <c r="S39" s="135"/>
      <c r="T39" s="135"/>
    </row>
    <row r="40" ht="15" spans="1:29">
      <c r="C40" s="136"/>
      <c r="D40" s="137"/>
      <c r="E40" s="138"/>
      <c r="F40" s="138"/>
      <c r="G40" s="138"/>
      <c r="H40" s="138"/>
      <c r="I40" s="139"/>
      <c r="J40" s="106"/>
      <c r="K40" s="110"/>
      <c r="L40" s="110"/>
      <c r="N40" s="140"/>
      <c r="O40" s="140"/>
      <c r="P40" s="140"/>
      <c r="Q40" s="140"/>
      <c r="R40" s="140"/>
      <c r="X40" s="5"/>
      <c r="Y40" s="5"/>
      <c r="Z40" s="5"/>
      <c r="AA40" s="5"/>
      <c r="AB40" s="5"/>
      <c r="AC40" s="141"/>
    </row>
    <row r="41" ht="24.75" customHeight="1" spans="1:29">
      <c r="A41" s="120" t="s">
        <v>21</v>
      </c>
      <c r="B41" s="121"/>
      <c r="C41" s="122">
        <f>MIN(H8:H31)</f>
        <v>416</v>
      </c>
      <c r="D41" s="123"/>
      <c r="E41" s="124">
        <f>VLOOKUP(C41,H8:L31,4,FALSE)</f>
        <v>0.625</v>
      </c>
      <c r="F41" s="142"/>
      <c r="G41" s="125"/>
      <c r="H41" s="126" t="s">
        <v>22</v>
      </c>
      <c r="I41" s="127"/>
      <c r="J41" s="128"/>
      <c r="K41" s="129">
        <f>MIN(J8:J31)</f>
        <v>1</v>
      </c>
      <c r="L41" s="130"/>
      <c r="N41" s="126" t="s">
        <v>23</v>
      </c>
      <c r="O41" s="127"/>
      <c r="P41" s="127"/>
      <c r="Q41" s="128"/>
      <c r="R41" s="143">
        <f>AVERAGE(I8:I31)</f>
        <v>283.25</v>
      </c>
      <c r="S41" s="144"/>
      <c r="T41" s="144"/>
      <c r="U41" s="144"/>
      <c r="V41" s="144"/>
      <c r="X41" s="145"/>
    </row>
    <row r="42" ht="15" spans="1:29">
      <c r="D42" s="138"/>
      <c r="E42" s="138"/>
      <c r="F42" s="138"/>
      <c r="G42" s="138"/>
      <c r="H42" s="138"/>
      <c r="I42" s="146"/>
      <c r="J42" s="138"/>
      <c r="K42" s="147"/>
      <c r="L42" s="147"/>
      <c r="V42" s="148"/>
      <c r="W42" s="148"/>
      <c r="X42" s="149"/>
      <c r="Y42" s="149"/>
      <c r="Z42" s="150"/>
      <c r="AA42" s="150"/>
      <c r="AB42" s="150"/>
      <c r="AC42" s="150"/>
    </row>
    <row r="43" ht="24.75" customHeight="1" spans="1:29">
      <c r="C43" s="136"/>
      <c r="H43" s="151"/>
      <c r="I43" s="151"/>
      <c r="J43" s="151"/>
      <c r="K43" s="145"/>
      <c r="L43" s="139"/>
      <c r="N43" s="152" t="s">
        <v>24</v>
      </c>
      <c r="O43" s="153"/>
      <c r="P43" s="153"/>
      <c r="Q43" s="154"/>
      <c r="R43" s="155" t="e">
        <f>AVERAGE(T8:T31)</f>
        <v>#DIV/0!</v>
      </c>
      <c r="X43" s="156"/>
      <c r="Z43" s="157"/>
      <c r="AA43" s="157"/>
      <c r="AB43" s="157"/>
      <c r="AC43" s="157"/>
    </row>
    <row r="44" ht="19.5" spans="1:29">
      <c r="I44" s="158"/>
      <c r="K44" s="159"/>
      <c r="L44" s="159"/>
      <c r="Z44" s="160"/>
      <c r="AA44" s="160"/>
      <c r="AB44" s="160"/>
      <c r="AC44" s="160"/>
    </row>
    <row r="45" ht="24.75" customHeight="1" spans="1:29">
      <c r="D45" s="158"/>
      <c r="E45" s="158"/>
      <c r="F45" s="158"/>
      <c r="G45" s="158"/>
      <c r="H45" s="158"/>
      <c r="N45" s="126" t="s">
        <v>25</v>
      </c>
      <c r="O45" s="127"/>
      <c r="P45" s="127"/>
      <c r="Q45" s="128"/>
      <c r="R45" s="161">
        <f>SUM(M32-H32)/24</f>
        <v>-487.912083333342</v>
      </c>
      <c r="X45" s="162"/>
      <c r="Z45" s="163"/>
      <c r="AA45" s="163"/>
      <c r="AB45" s="163"/>
      <c r="AC45" s="163"/>
    </row>
    <row r="46" spans="1:29">
      <c r="Z46" s="164"/>
      <c r="AA46" s="164"/>
      <c r="AB46" s="164"/>
      <c r="AC46" s="164"/>
    </row>
    <row r="47" spans="1:29">
      <c r="Z47" s="139"/>
      <c r="AA47" s="139"/>
      <c r="AB47" s="139"/>
      <c r="AC47" s="139"/>
    </row>
    <row r="48" spans="1:29">
      <c r="Z48" s="139"/>
      <c r="AA48" s="139"/>
      <c r="AB48" s="139"/>
      <c r="AC48" s="139"/>
    </row>
    <row r="49" spans="11:29">
      <c r="Z49" s="157"/>
      <c r="AA49" s="157"/>
      <c r="AB49" s="157"/>
      <c r="AC49" s="157"/>
    </row>
    <row r="50" spans="11:29">
      <c r="Z50" s="157"/>
      <c r="AA50" s="157"/>
      <c r="AB50" s="157"/>
      <c r="AC50" s="157"/>
    </row>
    <row r="51" spans="11:29">
      <c r="K51" s="150"/>
      <c r="L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0"/>
      <c r="AC51" s="150"/>
    </row>
    <row r="52" spans="11:29">
      <c r="K52" s="150"/>
      <c r="L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  <c r="AB52" s="150"/>
      <c r="AC52" s="150"/>
    </row>
    <row r="53" spans="11:29">
      <c r="K53" s="150"/>
      <c r="L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50"/>
      <c r="AB53" s="150"/>
      <c r="AC53" s="150"/>
    </row>
    <row r="60" spans="11:29">
      <c r="O60" s="165"/>
      <c r="P60" s="165"/>
      <c r="Q60" s="165"/>
      <c r="R60" s="165"/>
      <c r="S60" s="165"/>
      <c r="T60" s="165"/>
    </row>
    <row r="61" spans="11:29">
      <c r="O61" s="165"/>
      <c r="P61" s="165"/>
      <c r="Q61" s="165"/>
      <c r="R61" s="165"/>
      <c r="S61" s="165"/>
      <c r="T61" s="165"/>
    </row>
    <row r="62" spans="11:29">
      <c r="O62" s="165"/>
      <c r="P62" s="165"/>
      <c r="Q62" s="165"/>
      <c r="R62" s="165"/>
      <c r="S62" s="165"/>
      <c r="T62" s="165"/>
    </row>
    <row r="63" spans="11:29">
      <c r="O63" s="165"/>
      <c r="P63" s="165"/>
      <c r="Q63" s="165"/>
      <c r="R63" s="165"/>
      <c r="S63" s="165"/>
      <c r="T63" s="165"/>
    </row>
    <row r="64" spans="11:29">
      <c r="O64" s="165"/>
      <c r="P64" s="165"/>
      <c r="Q64" s="165"/>
      <c r="R64" s="165"/>
      <c r="S64" s="165"/>
      <c r="T64" s="165"/>
    </row>
    <row r="65" spans="15:20">
      <c r="O65" s="165"/>
      <c r="P65" s="165"/>
      <c r="Q65" s="165"/>
      <c r="R65" s="165"/>
      <c r="S65" s="165"/>
      <c r="T65" s="165"/>
    </row>
    <row r="66" spans="15:20">
      <c r="O66" s="165"/>
      <c r="P66" s="165"/>
      <c r="Q66" s="165"/>
      <c r="R66" s="165"/>
      <c r="S66" s="165"/>
      <c r="T66" s="165"/>
    </row>
    <row r="67" spans="15:20">
      <c r="O67" s="165"/>
      <c r="P67" s="165"/>
      <c r="Q67" s="165"/>
      <c r="R67" s="165"/>
      <c r="S67" s="165"/>
      <c r="T67" s="165"/>
    </row>
    <row r="68" spans="15:20">
      <c r="O68" s="165"/>
      <c r="P68" s="165"/>
      <c r="Q68" s="165"/>
      <c r="R68" s="165"/>
      <c r="S68" s="165"/>
      <c r="T68" s="165"/>
    </row>
  </sheetData>
  <mergeCells count="116">
    <mergeCell ref="H4:K4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B29:C29"/>
    <mergeCell ref="D29:E29"/>
    <mergeCell ref="F29:G2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N34:Q34"/>
    <mergeCell ref="B35:C35"/>
    <mergeCell ref="D35:E35"/>
    <mergeCell ref="F35:G35"/>
    <mergeCell ref="N35:Q35"/>
    <mergeCell ref="N37:Q37"/>
    <mergeCell ref="A39:B39"/>
    <mergeCell ref="C39:D39"/>
    <mergeCell ref="H39:J39"/>
    <mergeCell ref="N39:Q39"/>
    <mergeCell ref="A41:B41"/>
    <mergeCell ref="C41:D41"/>
    <mergeCell ref="H41:J41"/>
    <mergeCell ref="N41:Q41"/>
    <mergeCell ref="H43:J43"/>
    <mergeCell ref="N43:Q43"/>
    <mergeCell ref="N45:Q45"/>
    <mergeCell ref="A6:A7"/>
    <mergeCell ref="A33:A34"/>
    <mergeCell ref="H6:H7"/>
    <mergeCell ref="H33:H34"/>
    <mergeCell ref="I6:I7"/>
    <mergeCell ref="I33:I34"/>
    <mergeCell ref="J6:J7"/>
    <mergeCell ref="K6:K7"/>
    <mergeCell ref="L6:L7"/>
    <mergeCell ref="M6:M7"/>
    <mergeCell ref="N6:N7"/>
    <mergeCell ref="O6:O7"/>
    <mergeCell ref="T6:T7"/>
    <mergeCell ref="U6:U7"/>
    <mergeCell ref="B33:C34"/>
    <mergeCell ref="D33:E34"/>
    <mergeCell ref="F33:G34"/>
  </mergeCells>
  <conditionalFormatting sqref="O8">
    <cfRule type="cellIs" dxfId="0" priority="10" operator="equal">
      <formula>"N/A"</formula>
    </cfRule>
  </conditionalFormatting>
  <conditionalFormatting sqref="A30">
    <cfRule type="cellIs" dxfId="1" priority="11" operator="equal">
      <formula>"STB"</formula>
    </cfRule>
    <cfRule type="cellIs" dxfId="0" priority="12" operator="equal">
      <formula>"BD"</formula>
    </cfRule>
  </conditionalFormatting>
  <conditionalFormatting sqref="B8:B31">
    <cfRule type="cellIs" dxfId="1" priority="1" operator="equal">
      <formula>"STB"</formula>
    </cfRule>
    <cfRule type="cellIs" dxfId="0" priority="2" operator="equal">
      <formula>"BD"</formula>
    </cfRule>
  </conditionalFormatting>
  <conditionalFormatting sqref="D8:D31">
    <cfRule type="cellIs" dxfId="1" priority="8" operator="equal">
      <formula>"STB"</formula>
    </cfRule>
    <cfRule type="cellIs" dxfId="0" priority="9" operator="equal">
      <formula>"BD"</formula>
    </cfRule>
  </conditionalFormatting>
  <conditionalFormatting sqref="F8:F31">
    <cfRule type="cellIs" dxfId="1" priority="3" operator="equal">
      <formula>"STB"</formula>
    </cfRule>
    <cfRule type="cellIs" dxfId="0" priority="4" operator="equal">
      <formula>"BD"</formula>
    </cfRule>
  </conditionalFormatting>
  <conditionalFormatting sqref="H8:H31">
    <cfRule type="top10" dxfId="2" priority="5" bottom="1" rank="1"/>
    <cfRule type="top10" dxfId="3" priority="6" rank="1"/>
    <cfRule type="cellIs" dxfId="4" priority="7" stopIfTrue="1" operator="equal">
      <formula>28000</formula>
    </cfRule>
  </conditionalFormatting>
  <conditionalFormatting sqref="H32:H33">
    <cfRule type="top10" dxfId="2" priority="14" bottom="1" rank="1"/>
    <cfRule type="top10" dxfId="3" priority="15" rank="1"/>
    <cfRule type="cellIs" dxfId="4" priority="17" stopIfTrue="1" operator="equal">
      <formula>28000</formula>
    </cfRule>
  </conditionalFormatting>
  <conditionalFormatting sqref="Y8:Y31">
    <cfRule type="containsText" dxfId="5" priority="13" operator="between" text="-">
      <formula>NOT(ISERROR(SEARCH("-",Y8)))</formula>
    </cfRule>
  </conditionalFormatting>
  <conditionalFormatting sqref="N8 N9:O31">
    <cfRule type="cellIs" dxfId="0" priority="16" operator="equal">
      <formula>"BD"</formula>
    </cfRule>
  </conditionalFormatting>
  <pageMargins left="0.7" right="0.7" top="0.75" bottom="0.75" header="0.3" footer="0.3"/>
  <pageSetup paperSize="1" orientation="portrait" verticalDpi="36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C68"/>
  <sheetViews>
    <sheetView zoomScale="80" zoomScaleNormal="80" workbookViewId="0">
      <pane ySplit="7" topLeftCell="A9" activePane="bottomLeft" state="frozen"/>
      <selection/>
      <selection pane="bottomLeft" activeCell="A3" sqref="$A3:$XFD3"/>
    </sheetView>
  </sheetViews>
  <sheetFormatPr defaultColWidth="8.81666666666667" defaultRowHeight="14.25"/>
  <cols>
    <col min="1" max="1" width="16.725" customWidth="1"/>
    <col min="2" max="2" width="8.725" customWidth="1"/>
    <col min="3" max="7" width="5.725" customWidth="1"/>
    <col min="8" max="8" width="14.2666666666667" customWidth="1"/>
    <col min="9" max="9" width="15.1833333333333" customWidth="1"/>
    <col min="10" max="10" width="15.5416666666667" customWidth="1"/>
    <col min="11" max="11" width="7" customWidth="1"/>
    <col min="12" max="12" width="8.54166666666667" customWidth="1"/>
    <col min="13" max="13" width="11.725" style="5" customWidth="1"/>
    <col min="14" max="14" width="17.1833333333333" customWidth="1"/>
    <col min="15" max="15" width="15.45" customWidth="1"/>
    <col min="16" max="16" width="7.45" customWidth="1"/>
    <col min="17" max="17" width="9.54166666666667" customWidth="1"/>
    <col min="18" max="18" width="10" customWidth="1"/>
    <col min="19" max="20" width="9.81666666666667" customWidth="1"/>
    <col min="21" max="21" width="6.725" customWidth="1"/>
    <col min="22" max="22" width="13.8166666666667" customWidth="1"/>
    <col min="23" max="23" width="11.2666666666667" customWidth="1"/>
    <col min="24" max="24" width="9.26666666666667" customWidth="1"/>
    <col min="25" max="25" width="3.725" customWidth="1"/>
    <col min="26" max="29" width="7.725" customWidth="1"/>
    <col min="30" max="30" width="6.725" customWidth="1"/>
  </cols>
  <sheetData>
    <row r="1" ht="3" customHeight="1"/>
    <row r="2" ht="6" customHeight="1" spans="1:2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="1" customFormat="1" ht="6.75" customHeight="1" spans="1:29">
      <c r="K3" s="7"/>
      <c r="L3" s="8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17.25" customHeight="1" spans="1:29">
      <c r="A4" s="1"/>
      <c r="B4" s="10"/>
      <c r="C4" s="10"/>
      <c r="D4" s="10"/>
      <c r="E4" s="11"/>
      <c r="F4" s="11"/>
      <c r="G4" s="11"/>
      <c r="H4" s="12">
        <f>'[8]Taniwel daily'!C4</f>
        <v>45299</v>
      </c>
      <c r="I4" s="13"/>
      <c r="J4" s="13"/>
      <c r="K4" s="14"/>
      <c r="L4" s="15"/>
      <c r="M4" s="16"/>
      <c r="N4" s="10"/>
      <c r="O4" s="10"/>
      <c r="P4" s="10"/>
      <c r="Q4" s="10"/>
      <c r="R4" s="10"/>
      <c r="S4" s="10"/>
      <c r="T4" s="10"/>
      <c r="U4" s="10"/>
      <c r="V4" s="7"/>
      <c r="W4" s="7"/>
      <c r="X4" s="7"/>
      <c r="Y4" s="7"/>
      <c r="Z4" s="7"/>
      <c r="AA4" s="7"/>
      <c r="AB4" s="7"/>
      <c r="AC4" s="7"/>
    </row>
    <row r="5" ht="7.5" customHeight="1" spans="1:29">
      <c r="A5" s="1"/>
      <c r="B5" s="17"/>
      <c r="C5" s="1"/>
      <c r="D5" s="1"/>
      <c r="E5" s="1"/>
      <c r="F5" s="1"/>
      <c r="G5" s="1"/>
      <c r="H5" s="1"/>
      <c r="I5" s="1"/>
      <c r="J5" s="1"/>
      <c r="K5" s="18"/>
      <c r="L5" s="7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ht="17.25" customHeight="1" spans="1:29">
      <c r="A6" s="19" t="s">
        <v>0</v>
      </c>
      <c r="B6" s="20" t="s">
        <v>1</v>
      </c>
      <c r="C6" s="21"/>
      <c r="D6" s="20" t="s">
        <v>2</v>
      </c>
      <c r="E6" s="21"/>
      <c r="F6" s="20" t="s">
        <v>3</v>
      </c>
      <c r="G6" s="21"/>
      <c r="H6" s="22" t="s">
        <v>4</v>
      </c>
      <c r="I6" s="22" t="s">
        <v>5</v>
      </c>
      <c r="J6" s="23" t="s">
        <v>6</v>
      </c>
      <c r="K6" s="19" t="s">
        <v>0</v>
      </c>
      <c r="L6" s="24" t="s">
        <v>7</v>
      </c>
      <c r="M6" s="25" t="s">
        <v>8</v>
      </c>
      <c r="N6" s="26" t="s">
        <v>9</v>
      </c>
      <c r="O6" s="25" t="s">
        <v>10</v>
      </c>
      <c r="P6" s="27"/>
      <c r="Q6" s="28"/>
      <c r="R6" s="28"/>
      <c r="S6" s="28"/>
      <c r="T6" s="28"/>
      <c r="U6" s="29"/>
    </row>
    <row r="7" ht="15.75" customHeight="1" spans="1:29">
      <c r="A7" s="30"/>
      <c r="B7" s="31">
        <v>1</v>
      </c>
      <c r="C7" s="32"/>
      <c r="D7" s="31">
        <v>2</v>
      </c>
      <c r="E7" s="32"/>
      <c r="F7" s="31">
        <v>3</v>
      </c>
      <c r="G7" s="32"/>
      <c r="H7" s="33"/>
      <c r="I7" s="33"/>
      <c r="J7" s="34"/>
      <c r="K7" s="30"/>
      <c r="L7" s="35"/>
      <c r="M7" s="36"/>
      <c r="N7" s="37"/>
      <c r="O7" s="38"/>
      <c r="P7" s="27"/>
      <c r="Q7" s="28"/>
      <c r="R7" s="28"/>
      <c r="S7" s="28"/>
      <c r="T7" s="28"/>
      <c r="U7" s="29"/>
      <c r="X7" s="39"/>
    </row>
    <row r="8" s="2" customFormat="1" ht="15" customHeight="1" spans="1:29">
      <c r="A8" s="40">
        <v>0.0416666666666666</v>
      </c>
      <c r="B8" s="41" t="s">
        <v>11</v>
      </c>
      <c r="C8" s="42"/>
      <c r="D8" s="41">
        <v>254</v>
      </c>
      <c r="E8" s="42"/>
      <c r="F8" s="41">
        <v>264</v>
      </c>
      <c r="G8" s="42"/>
      <c r="H8" s="43">
        <f t="shared" ref="H8:H31" si="0">IF(SUM(B8:G8)/1000=0,"0",SUM(B8:G8))</f>
        <v>518</v>
      </c>
      <c r="I8" s="44">
        <f t="shared" ref="I8:I31" si="1">IFERROR(AVERAGE(B8:G8),"0")</f>
        <v>259</v>
      </c>
      <c r="J8" s="45">
        <f t="shared" ref="J8:J31" si="2">COUNT(B8:G8)</f>
        <v>2</v>
      </c>
      <c r="K8" s="46">
        <v>0.0416666666666667</v>
      </c>
      <c r="L8" s="47">
        <v>4500</v>
      </c>
      <c r="M8" s="48">
        <v>161.71</v>
      </c>
      <c r="N8" s="49">
        <f>(M9-M8)*12000</f>
        <v>479.999999999905</v>
      </c>
      <c r="O8" s="50"/>
      <c r="P8" s="51"/>
      <c r="Q8" s="52"/>
      <c r="R8" s="52"/>
      <c r="S8" s="52"/>
      <c r="T8" s="52"/>
      <c r="U8" s="53"/>
    </row>
    <row r="9" s="3" customFormat="1" ht="15" customHeight="1" spans="1:29">
      <c r="A9" s="40">
        <v>0.0833333333333333</v>
      </c>
      <c r="B9" s="41" t="s">
        <v>11</v>
      </c>
      <c r="C9" s="42"/>
      <c r="D9" s="41">
        <v>290</v>
      </c>
      <c r="E9" s="42"/>
      <c r="F9" s="41">
        <v>259</v>
      </c>
      <c r="G9" s="42"/>
      <c r="H9" s="43">
        <f t="shared" si="0"/>
        <v>549</v>
      </c>
      <c r="I9" s="44">
        <f t="shared" si="1"/>
        <v>274.5</v>
      </c>
      <c r="J9" s="45">
        <f t="shared" si="2"/>
        <v>2</v>
      </c>
      <c r="K9" s="46">
        <v>0.0833333333333333</v>
      </c>
      <c r="L9" s="47">
        <v>4200</v>
      </c>
      <c r="M9" s="54">
        <v>161.75</v>
      </c>
      <c r="N9" s="49">
        <f t="shared" ref="N9:N30" si="3">(M10-M9)*12000</f>
        <v>600.000000000136</v>
      </c>
      <c r="O9" s="55"/>
      <c r="P9" s="51"/>
      <c r="Q9" s="52"/>
      <c r="R9" s="52"/>
      <c r="S9" s="52"/>
      <c r="T9" s="52"/>
      <c r="U9" s="53"/>
    </row>
    <row r="10" s="3" customFormat="1" ht="15" customHeight="1" spans="1:29">
      <c r="A10" s="40">
        <v>0.125</v>
      </c>
      <c r="B10" s="41" t="s">
        <v>11</v>
      </c>
      <c r="C10" s="42"/>
      <c r="D10" s="41">
        <v>238</v>
      </c>
      <c r="E10" s="42"/>
      <c r="F10" s="41">
        <v>245</v>
      </c>
      <c r="G10" s="42"/>
      <c r="H10" s="43">
        <f t="shared" si="0"/>
        <v>483</v>
      </c>
      <c r="I10" s="44">
        <f t="shared" si="1"/>
        <v>241.5</v>
      </c>
      <c r="J10" s="45">
        <f t="shared" si="2"/>
        <v>2</v>
      </c>
      <c r="K10" s="46">
        <v>0.125</v>
      </c>
      <c r="L10" s="47">
        <v>4200</v>
      </c>
      <c r="M10" s="54">
        <v>161.8</v>
      </c>
      <c r="N10" s="49">
        <f t="shared" si="3"/>
        <v>479.999999999905</v>
      </c>
      <c r="O10" s="56"/>
      <c r="P10" s="51"/>
      <c r="Q10" s="52"/>
      <c r="R10" s="52"/>
      <c r="S10" s="52"/>
      <c r="T10" s="52"/>
      <c r="U10" s="53"/>
    </row>
    <row r="11" s="3" customFormat="1" ht="15" customHeight="1" spans="1:29">
      <c r="A11" s="40">
        <v>0.166666666666667</v>
      </c>
      <c r="B11" s="41" t="s">
        <v>11</v>
      </c>
      <c r="C11" s="42"/>
      <c r="D11" s="41">
        <v>239</v>
      </c>
      <c r="E11" s="42"/>
      <c r="F11" s="41">
        <v>241</v>
      </c>
      <c r="G11" s="42"/>
      <c r="H11" s="43">
        <f t="shared" si="0"/>
        <v>480</v>
      </c>
      <c r="I11" s="44">
        <f t="shared" si="1"/>
        <v>240</v>
      </c>
      <c r="J11" s="45">
        <f t="shared" si="2"/>
        <v>2</v>
      </c>
      <c r="K11" s="46">
        <v>0.166666666666667</v>
      </c>
      <c r="L11" s="47">
        <v>4000</v>
      </c>
      <c r="M11" s="54">
        <v>161.84</v>
      </c>
      <c r="N11" s="49">
        <f t="shared" si="3"/>
        <v>599.999999999795</v>
      </c>
      <c r="O11" s="56"/>
      <c r="P11" s="51"/>
      <c r="Q11" s="52"/>
      <c r="R11" s="52"/>
      <c r="S11" s="52"/>
      <c r="T11" s="52"/>
      <c r="U11" s="53"/>
    </row>
    <row r="12" s="3" customFormat="1" ht="15" customHeight="1" spans="1:29">
      <c r="A12" s="40">
        <v>0.208333333333333</v>
      </c>
      <c r="B12" s="41" t="s">
        <v>11</v>
      </c>
      <c r="C12" s="42"/>
      <c r="D12" s="41">
        <v>235</v>
      </c>
      <c r="E12" s="42"/>
      <c r="F12" s="41">
        <v>242</v>
      </c>
      <c r="G12" s="42"/>
      <c r="H12" s="43">
        <f t="shared" si="0"/>
        <v>477</v>
      </c>
      <c r="I12" s="44">
        <f t="shared" si="1"/>
        <v>238.5</v>
      </c>
      <c r="J12" s="45">
        <f t="shared" si="2"/>
        <v>2</v>
      </c>
      <c r="K12" s="46">
        <v>0.208333333333333</v>
      </c>
      <c r="L12" s="47">
        <v>3900</v>
      </c>
      <c r="M12" s="54">
        <v>161.89</v>
      </c>
      <c r="N12" s="49">
        <f t="shared" si="3"/>
        <v>600.000000000136</v>
      </c>
      <c r="O12" s="56"/>
      <c r="P12" s="51"/>
      <c r="Q12" s="52"/>
      <c r="R12" s="52"/>
      <c r="S12" s="52"/>
      <c r="T12" s="52"/>
      <c r="U12" s="53"/>
    </row>
    <row r="13" s="3" customFormat="1" ht="15" customHeight="1" spans="1:29">
      <c r="A13" s="40">
        <v>0.25</v>
      </c>
      <c r="B13" s="41" t="s">
        <v>11</v>
      </c>
      <c r="C13" s="42"/>
      <c r="D13" s="41">
        <v>261</v>
      </c>
      <c r="E13" s="42"/>
      <c r="F13" s="41">
        <v>244</v>
      </c>
      <c r="G13" s="42"/>
      <c r="H13" s="43">
        <f t="shared" si="0"/>
        <v>505</v>
      </c>
      <c r="I13" s="44">
        <f t="shared" si="1"/>
        <v>252.5</v>
      </c>
      <c r="J13" s="45">
        <f t="shared" si="2"/>
        <v>2</v>
      </c>
      <c r="K13" s="46">
        <v>0.25</v>
      </c>
      <c r="L13" s="47">
        <v>3600</v>
      </c>
      <c r="M13" s="54">
        <v>161.94</v>
      </c>
      <c r="N13" s="49">
        <f t="shared" si="3"/>
        <v>600.000000000136</v>
      </c>
      <c r="O13" s="56"/>
      <c r="P13" s="51"/>
      <c r="Q13" s="52"/>
      <c r="R13" s="52"/>
      <c r="S13" s="52"/>
      <c r="T13" s="52"/>
      <c r="U13" s="53"/>
    </row>
    <row r="14" s="3" customFormat="1" ht="15" customHeight="1" spans="1:29">
      <c r="A14" s="40">
        <v>0.291666666666667</v>
      </c>
      <c r="B14" s="41" t="s">
        <v>11</v>
      </c>
      <c r="C14" s="42"/>
      <c r="D14" s="41">
        <v>270</v>
      </c>
      <c r="E14" s="42"/>
      <c r="F14" s="41">
        <v>278</v>
      </c>
      <c r="G14" s="42"/>
      <c r="H14" s="43">
        <f t="shared" si="0"/>
        <v>548</v>
      </c>
      <c r="I14" s="44">
        <f t="shared" si="1"/>
        <v>274</v>
      </c>
      <c r="J14" s="45">
        <f t="shared" si="2"/>
        <v>2</v>
      </c>
      <c r="K14" s="46">
        <v>0.291666666666667</v>
      </c>
      <c r="L14" s="47">
        <v>3600</v>
      </c>
      <c r="M14" s="54">
        <v>161.99</v>
      </c>
      <c r="N14" s="49">
        <f t="shared" si="3"/>
        <v>599.999999999795</v>
      </c>
      <c r="O14" s="56"/>
      <c r="P14" s="51"/>
      <c r="Q14" s="52"/>
      <c r="R14" s="52"/>
      <c r="S14" s="52"/>
      <c r="T14" s="52"/>
      <c r="U14" s="53"/>
    </row>
    <row r="15" s="3" customFormat="1" ht="15" customHeight="1" spans="1:29">
      <c r="A15" s="40">
        <v>0.333333333333333</v>
      </c>
      <c r="B15" s="41" t="s">
        <v>11</v>
      </c>
      <c r="C15" s="42"/>
      <c r="D15" s="41">
        <v>255</v>
      </c>
      <c r="E15" s="42"/>
      <c r="F15" s="41">
        <v>253</v>
      </c>
      <c r="G15" s="42"/>
      <c r="H15" s="43">
        <f t="shared" si="0"/>
        <v>508</v>
      </c>
      <c r="I15" s="44">
        <f t="shared" si="1"/>
        <v>254</v>
      </c>
      <c r="J15" s="45">
        <f t="shared" si="2"/>
        <v>2</v>
      </c>
      <c r="K15" s="46">
        <v>0.333333333333333</v>
      </c>
      <c r="L15" s="47">
        <v>3600</v>
      </c>
      <c r="M15" s="54">
        <v>162.04</v>
      </c>
      <c r="N15" s="49">
        <f t="shared" si="3"/>
        <v>600.000000000136</v>
      </c>
      <c r="O15" s="56"/>
      <c r="P15" s="51"/>
      <c r="Q15" s="52"/>
      <c r="R15" s="52"/>
      <c r="S15" s="52"/>
      <c r="T15" s="52"/>
      <c r="U15" s="53"/>
    </row>
    <row r="16" s="3" customFormat="1" ht="15" customHeight="1" spans="1:29">
      <c r="A16" s="40">
        <v>0.375</v>
      </c>
      <c r="B16" s="41" t="s">
        <v>11</v>
      </c>
      <c r="C16" s="42"/>
      <c r="D16" s="41">
        <v>249</v>
      </c>
      <c r="E16" s="42"/>
      <c r="F16" s="41">
        <v>245</v>
      </c>
      <c r="G16" s="42"/>
      <c r="H16" s="43">
        <f t="shared" si="0"/>
        <v>494</v>
      </c>
      <c r="I16" s="44">
        <f t="shared" si="1"/>
        <v>247</v>
      </c>
      <c r="J16" s="45">
        <f t="shared" si="2"/>
        <v>2</v>
      </c>
      <c r="K16" s="46">
        <v>0.375</v>
      </c>
      <c r="L16" s="47">
        <v>3600</v>
      </c>
      <c r="M16" s="54">
        <v>162.09</v>
      </c>
      <c r="N16" s="49">
        <f t="shared" si="3"/>
        <v>720.000000000027</v>
      </c>
      <c r="O16" s="56"/>
      <c r="P16" s="51"/>
      <c r="Q16" s="52"/>
      <c r="R16" s="52"/>
      <c r="S16" s="52"/>
      <c r="T16" s="52"/>
      <c r="U16" s="53"/>
    </row>
    <row r="17" s="3" customFormat="1" ht="15" customHeight="1" spans="1:21">
      <c r="A17" s="40">
        <v>0.416666666666667</v>
      </c>
      <c r="B17" s="41" t="s">
        <v>11</v>
      </c>
      <c r="C17" s="42"/>
      <c r="D17" s="41">
        <v>236</v>
      </c>
      <c r="E17" s="42"/>
      <c r="F17" s="41">
        <v>238</v>
      </c>
      <c r="G17" s="42"/>
      <c r="H17" s="43">
        <f t="shared" si="0"/>
        <v>474</v>
      </c>
      <c r="I17" s="44">
        <f t="shared" si="1"/>
        <v>237</v>
      </c>
      <c r="J17" s="45">
        <f t="shared" si="2"/>
        <v>2</v>
      </c>
      <c r="K17" s="46">
        <v>0.416666666666666</v>
      </c>
      <c r="L17" s="47">
        <v>3400</v>
      </c>
      <c r="M17" s="54">
        <v>162.15</v>
      </c>
      <c r="N17" s="49">
        <f t="shared" si="3"/>
        <v>360.000000000014</v>
      </c>
      <c r="O17" s="56"/>
      <c r="P17" s="51"/>
      <c r="Q17" s="52"/>
      <c r="R17" s="52"/>
      <c r="S17" s="52"/>
      <c r="T17" s="52"/>
      <c r="U17" s="53"/>
    </row>
    <row r="18" s="3" customFormat="1" ht="15" customHeight="1" spans="1:21">
      <c r="A18" s="40">
        <v>0.458333333333333</v>
      </c>
      <c r="B18" s="41" t="s">
        <v>11</v>
      </c>
      <c r="C18" s="42"/>
      <c r="D18" s="41">
        <v>240</v>
      </c>
      <c r="E18" s="42"/>
      <c r="F18" s="41">
        <v>237</v>
      </c>
      <c r="G18" s="42"/>
      <c r="H18" s="43">
        <f t="shared" si="0"/>
        <v>477</v>
      </c>
      <c r="I18" s="44">
        <f t="shared" si="1"/>
        <v>238.5</v>
      </c>
      <c r="J18" s="45">
        <f t="shared" si="2"/>
        <v>2</v>
      </c>
      <c r="K18" s="46">
        <v>0.458333333333333</v>
      </c>
      <c r="L18" s="47">
        <v>3300</v>
      </c>
      <c r="M18" s="54">
        <v>162.18</v>
      </c>
      <c r="N18" s="49">
        <f t="shared" si="3"/>
        <v>479.999999999905</v>
      </c>
      <c r="O18" s="56"/>
      <c r="P18" s="51"/>
      <c r="Q18" s="52"/>
      <c r="R18" s="52"/>
      <c r="S18" s="52"/>
      <c r="T18" s="52"/>
      <c r="U18" s="53"/>
    </row>
    <row r="19" s="3" customFormat="1" ht="15" customHeight="1" spans="1:21">
      <c r="A19" s="40">
        <v>0.5</v>
      </c>
      <c r="B19" s="41" t="s">
        <v>11</v>
      </c>
      <c r="C19" s="42"/>
      <c r="D19" s="41">
        <v>231</v>
      </c>
      <c r="E19" s="42"/>
      <c r="F19" s="41">
        <v>234</v>
      </c>
      <c r="G19" s="42"/>
      <c r="H19" s="43">
        <f t="shared" si="0"/>
        <v>465</v>
      </c>
      <c r="I19" s="44">
        <f t="shared" si="1"/>
        <v>232.5</v>
      </c>
      <c r="J19" s="45">
        <f t="shared" si="2"/>
        <v>2</v>
      </c>
      <c r="K19" s="46">
        <v>0.5</v>
      </c>
      <c r="L19" s="47">
        <v>3300</v>
      </c>
      <c r="M19" s="54">
        <v>162.22</v>
      </c>
      <c r="N19" s="49">
        <f t="shared" si="3"/>
        <v>479.999999999905</v>
      </c>
      <c r="O19" s="56"/>
      <c r="P19" s="51"/>
      <c r="Q19" s="52"/>
      <c r="R19" s="52"/>
      <c r="S19" s="52"/>
      <c r="T19" s="52"/>
      <c r="U19" s="53"/>
    </row>
    <row r="20" s="3" customFormat="1" ht="15" customHeight="1" spans="1:21">
      <c r="A20" s="40">
        <v>0.541666666666667</v>
      </c>
      <c r="B20" s="41" t="s">
        <v>11</v>
      </c>
      <c r="C20" s="42"/>
      <c r="D20" s="41">
        <v>222</v>
      </c>
      <c r="E20" s="42"/>
      <c r="F20" s="41">
        <v>225</v>
      </c>
      <c r="G20" s="42"/>
      <c r="H20" s="43">
        <f t="shared" si="0"/>
        <v>447</v>
      </c>
      <c r="I20" s="44">
        <f t="shared" si="1"/>
        <v>223.5</v>
      </c>
      <c r="J20" s="45">
        <f t="shared" si="2"/>
        <v>2</v>
      </c>
      <c r="K20" s="46">
        <v>0.541666666666667</v>
      </c>
      <c r="L20" s="47">
        <v>3000</v>
      </c>
      <c r="M20" s="54">
        <v>162.26</v>
      </c>
      <c r="N20" s="49">
        <f t="shared" si="3"/>
        <v>480.000000000246</v>
      </c>
      <c r="O20" s="56"/>
      <c r="P20" s="51"/>
      <c r="Q20" s="52"/>
      <c r="R20" s="52"/>
      <c r="S20" s="52"/>
      <c r="T20" s="52"/>
      <c r="U20" s="53"/>
    </row>
    <row r="21" s="3" customFormat="1" ht="15" customHeight="1" spans="1:21">
      <c r="A21" s="40">
        <v>0.583333333333333</v>
      </c>
      <c r="B21" s="41" t="s">
        <v>11</v>
      </c>
      <c r="C21" s="42"/>
      <c r="D21" s="41">
        <v>220</v>
      </c>
      <c r="E21" s="42"/>
      <c r="F21" s="41">
        <v>213</v>
      </c>
      <c r="G21" s="42"/>
      <c r="H21" s="43">
        <f t="shared" si="0"/>
        <v>433</v>
      </c>
      <c r="I21" s="44">
        <f t="shared" si="1"/>
        <v>216.5</v>
      </c>
      <c r="J21" s="45">
        <f t="shared" si="2"/>
        <v>2</v>
      </c>
      <c r="K21" s="46">
        <v>0.583333333333333</v>
      </c>
      <c r="L21" s="47">
        <v>3000</v>
      </c>
      <c r="M21" s="54">
        <v>162.3</v>
      </c>
      <c r="N21" s="49">
        <f t="shared" si="3"/>
        <v>599.999999999795</v>
      </c>
      <c r="O21" s="56"/>
      <c r="P21" s="51"/>
      <c r="Q21" s="52"/>
      <c r="R21" s="52"/>
      <c r="S21" s="52"/>
      <c r="T21" s="52"/>
      <c r="U21" s="53"/>
    </row>
    <row r="22" s="3" customFormat="1" ht="15" customHeight="1" spans="1:21">
      <c r="A22" s="40">
        <v>0.625</v>
      </c>
      <c r="B22" s="41" t="s">
        <v>11</v>
      </c>
      <c r="C22" s="42"/>
      <c r="D22" s="41">
        <v>419</v>
      </c>
      <c r="E22" s="42"/>
      <c r="F22" s="41" t="s">
        <v>26</v>
      </c>
      <c r="G22" s="42"/>
      <c r="H22" s="43">
        <f t="shared" si="0"/>
        <v>419</v>
      </c>
      <c r="I22" s="44">
        <f t="shared" si="1"/>
        <v>419</v>
      </c>
      <c r="J22" s="45">
        <f t="shared" si="2"/>
        <v>1</v>
      </c>
      <c r="K22" s="46">
        <v>0.625</v>
      </c>
      <c r="L22" s="47">
        <v>3000</v>
      </c>
      <c r="M22" s="54">
        <v>162.35</v>
      </c>
      <c r="N22" s="49">
        <f t="shared" si="3"/>
        <v>360.000000000014</v>
      </c>
      <c r="O22" s="56"/>
      <c r="P22" s="51"/>
      <c r="Q22" s="52"/>
      <c r="R22" s="52"/>
      <c r="S22" s="52"/>
      <c r="T22" s="52"/>
      <c r="U22" s="53"/>
    </row>
    <row r="23" s="3" customFormat="1" ht="15" customHeight="1" spans="1:21">
      <c r="A23" s="40">
        <v>0.666666666666667</v>
      </c>
      <c r="B23" s="41" t="s">
        <v>11</v>
      </c>
      <c r="C23" s="42"/>
      <c r="D23" s="41">
        <v>429</v>
      </c>
      <c r="E23" s="42"/>
      <c r="F23" s="41" t="s">
        <v>26</v>
      </c>
      <c r="G23" s="42"/>
      <c r="H23" s="43">
        <f t="shared" si="0"/>
        <v>429</v>
      </c>
      <c r="I23" s="44">
        <f t="shared" si="1"/>
        <v>429</v>
      </c>
      <c r="J23" s="45">
        <f t="shared" si="2"/>
        <v>1</v>
      </c>
      <c r="K23" s="46">
        <v>0.666666666666666</v>
      </c>
      <c r="L23" s="47">
        <v>3000</v>
      </c>
      <c r="M23" s="54">
        <v>162.38</v>
      </c>
      <c r="N23" s="49">
        <f t="shared" si="3"/>
        <v>479.999999999905</v>
      </c>
      <c r="O23" s="56"/>
      <c r="P23" s="51"/>
      <c r="Q23" s="52"/>
      <c r="R23" s="52"/>
      <c r="S23" s="52"/>
      <c r="T23" s="52"/>
      <c r="U23" s="53"/>
    </row>
    <row r="24" s="3" customFormat="1" ht="15" customHeight="1" spans="1:21">
      <c r="A24" s="40">
        <v>0.708333333333334</v>
      </c>
      <c r="B24" s="41" t="s">
        <v>11</v>
      </c>
      <c r="C24" s="42"/>
      <c r="D24" s="41">
        <v>448</v>
      </c>
      <c r="E24" s="42"/>
      <c r="F24" s="41" t="s">
        <v>26</v>
      </c>
      <c r="G24" s="42"/>
      <c r="H24" s="43">
        <f t="shared" si="0"/>
        <v>448</v>
      </c>
      <c r="I24" s="44">
        <f t="shared" si="1"/>
        <v>448</v>
      </c>
      <c r="J24" s="45">
        <f t="shared" si="2"/>
        <v>1</v>
      </c>
      <c r="K24" s="46">
        <v>0.708333333333333</v>
      </c>
      <c r="L24" s="47">
        <v>2700</v>
      </c>
      <c r="M24" s="54">
        <v>162.42</v>
      </c>
      <c r="N24" s="49">
        <f t="shared" si="3"/>
        <v>600.000000000136</v>
      </c>
      <c r="O24" s="56"/>
      <c r="P24" s="51"/>
      <c r="Q24" s="52"/>
      <c r="R24" s="52"/>
      <c r="S24" s="52"/>
      <c r="T24" s="52"/>
      <c r="U24" s="53"/>
    </row>
    <row r="25" s="3" customFormat="1" ht="15" customHeight="1" spans="1:21">
      <c r="A25" s="40">
        <v>0.75</v>
      </c>
      <c r="B25" s="41" t="s">
        <v>11</v>
      </c>
      <c r="C25" s="42"/>
      <c r="D25" s="41">
        <v>238</v>
      </c>
      <c r="E25" s="42"/>
      <c r="F25" s="41">
        <v>239</v>
      </c>
      <c r="G25" s="42"/>
      <c r="H25" s="43">
        <f t="shared" si="0"/>
        <v>477</v>
      </c>
      <c r="I25" s="44">
        <f t="shared" si="1"/>
        <v>238.5</v>
      </c>
      <c r="J25" s="45">
        <f t="shared" si="2"/>
        <v>2</v>
      </c>
      <c r="K25" s="46">
        <v>0.75</v>
      </c>
      <c r="L25" s="47">
        <v>2400</v>
      </c>
      <c r="M25" s="54">
        <v>162.47</v>
      </c>
      <c r="N25" s="49">
        <f t="shared" si="3"/>
        <v>600.000000000136</v>
      </c>
      <c r="O25" s="56"/>
      <c r="P25" s="51"/>
      <c r="Q25" s="52"/>
      <c r="R25" s="52"/>
      <c r="S25" s="52"/>
      <c r="T25" s="52"/>
      <c r="U25" s="53"/>
    </row>
    <row r="26" s="3" customFormat="1" ht="15" customHeight="1" spans="1:21">
      <c r="A26" s="40">
        <v>0.791666666666667</v>
      </c>
      <c r="B26" s="41" t="s">
        <v>11</v>
      </c>
      <c r="C26" s="42"/>
      <c r="D26" s="41">
        <v>311</v>
      </c>
      <c r="E26" s="42"/>
      <c r="F26" s="41">
        <v>312</v>
      </c>
      <c r="G26" s="42"/>
      <c r="H26" s="43">
        <f t="shared" si="0"/>
        <v>623</v>
      </c>
      <c r="I26" s="44">
        <f t="shared" si="1"/>
        <v>311.5</v>
      </c>
      <c r="J26" s="45">
        <f t="shared" si="2"/>
        <v>2</v>
      </c>
      <c r="K26" s="46">
        <v>0.791666666666666</v>
      </c>
      <c r="L26" s="47">
        <v>2100</v>
      </c>
      <c r="M26" s="54">
        <v>162.52</v>
      </c>
      <c r="N26" s="49">
        <f t="shared" si="3"/>
        <v>839.999999999918</v>
      </c>
      <c r="O26" s="56"/>
      <c r="P26" s="51"/>
      <c r="Q26" s="52"/>
      <c r="R26" s="52"/>
      <c r="S26" s="52"/>
      <c r="T26" s="52"/>
      <c r="U26" s="53"/>
    </row>
    <row r="27" s="3" customFormat="1" ht="15" customHeight="1" spans="1:21">
      <c r="A27" s="40">
        <v>0.833333333333334</v>
      </c>
      <c r="B27" s="41" t="s">
        <v>11</v>
      </c>
      <c r="C27" s="42"/>
      <c r="D27" s="41">
        <v>342</v>
      </c>
      <c r="E27" s="42"/>
      <c r="F27" s="41">
        <v>363</v>
      </c>
      <c r="G27" s="42"/>
      <c r="H27" s="43">
        <f t="shared" si="0"/>
        <v>705</v>
      </c>
      <c r="I27" s="44">
        <f t="shared" si="1"/>
        <v>352.5</v>
      </c>
      <c r="J27" s="45">
        <f t="shared" si="2"/>
        <v>2</v>
      </c>
      <c r="K27" s="46">
        <v>0.833333333333333</v>
      </c>
      <c r="L27" s="47">
        <v>2100</v>
      </c>
      <c r="M27" s="54">
        <v>162.59</v>
      </c>
      <c r="N27" s="49">
        <f t="shared" si="3"/>
        <v>720.000000000027</v>
      </c>
      <c r="O27" s="56"/>
      <c r="P27" s="51"/>
      <c r="Q27" s="52"/>
      <c r="R27" s="52"/>
      <c r="S27" s="52"/>
      <c r="T27" s="52"/>
      <c r="U27" s="53"/>
    </row>
    <row r="28" s="4" customFormat="1" ht="15" customHeight="1" spans="1:21">
      <c r="A28" s="40">
        <v>0.875</v>
      </c>
      <c r="B28" s="41" t="s">
        <v>11</v>
      </c>
      <c r="C28" s="42"/>
      <c r="D28" s="41">
        <v>330</v>
      </c>
      <c r="E28" s="42"/>
      <c r="F28" s="41">
        <v>332</v>
      </c>
      <c r="G28" s="42"/>
      <c r="H28" s="43">
        <f t="shared" si="0"/>
        <v>662</v>
      </c>
      <c r="I28" s="44">
        <f t="shared" si="1"/>
        <v>331</v>
      </c>
      <c r="J28" s="45">
        <f t="shared" si="2"/>
        <v>2</v>
      </c>
      <c r="K28" s="46">
        <v>0.875</v>
      </c>
      <c r="L28" s="47">
        <v>1800</v>
      </c>
      <c r="M28" s="54">
        <v>162.65</v>
      </c>
      <c r="N28" s="49">
        <f t="shared" si="3"/>
        <v>720.000000000027</v>
      </c>
      <c r="O28" s="56"/>
      <c r="P28" s="51"/>
      <c r="Q28" s="52"/>
      <c r="R28" s="52"/>
      <c r="S28" s="52"/>
      <c r="T28" s="52"/>
      <c r="U28" s="53"/>
    </row>
    <row r="29" s="3" customFormat="1" ht="15" customHeight="1" spans="1:21">
      <c r="A29" s="40">
        <v>0.916666666666667</v>
      </c>
      <c r="B29" s="41" t="s">
        <v>11</v>
      </c>
      <c r="C29" s="42"/>
      <c r="D29" s="41">
        <v>312</v>
      </c>
      <c r="E29" s="42"/>
      <c r="F29" s="41">
        <v>319</v>
      </c>
      <c r="G29" s="42"/>
      <c r="H29" s="43">
        <f t="shared" si="0"/>
        <v>631</v>
      </c>
      <c r="I29" s="44">
        <f t="shared" si="1"/>
        <v>315.5</v>
      </c>
      <c r="J29" s="45">
        <f t="shared" si="2"/>
        <v>2</v>
      </c>
      <c r="K29" s="46">
        <v>0.916666666666666</v>
      </c>
      <c r="L29" s="47">
        <v>1800</v>
      </c>
      <c r="M29" s="54">
        <v>162.71</v>
      </c>
      <c r="N29" s="49">
        <f t="shared" si="3"/>
        <v>720.000000000027</v>
      </c>
      <c r="O29" s="56"/>
      <c r="P29" s="51"/>
      <c r="Q29" s="52"/>
      <c r="R29" s="52"/>
      <c r="S29" s="52"/>
      <c r="T29" s="52"/>
      <c r="U29" s="53"/>
    </row>
    <row r="30" s="3" customFormat="1" ht="15" customHeight="1" spans="1:21">
      <c r="A30" s="40">
        <v>0.958333333333334</v>
      </c>
      <c r="B30" s="41" t="s">
        <v>11</v>
      </c>
      <c r="C30" s="42"/>
      <c r="D30" s="41">
        <v>298</v>
      </c>
      <c r="E30" s="42"/>
      <c r="F30" s="41">
        <v>284</v>
      </c>
      <c r="G30" s="42"/>
      <c r="H30" s="43">
        <f t="shared" si="0"/>
        <v>582</v>
      </c>
      <c r="I30" s="44">
        <f t="shared" si="1"/>
        <v>291</v>
      </c>
      <c r="J30" s="45">
        <f t="shared" si="2"/>
        <v>2</v>
      </c>
      <c r="K30" s="46">
        <v>0.958333333333333</v>
      </c>
      <c r="L30" s="47">
        <v>1800</v>
      </c>
      <c r="M30" s="54">
        <v>162.77</v>
      </c>
      <c r="N30" s="49">
        <f t="shared" si="3"/>
        <v>599.999999999795</v>
      </c>
      <c r="O30" s="56"/>
      <c r="P30" s="51"/>
      <c r="Q30" s="52"/>
      <c r="R30" s="52"/>
      <c r="S30" s="52"/>
      <c r="T30" s="52"/>
      <c r="U30" s="53"/>
    </row>
    <row r="31" s="2" customFormat="1" ht="15" customHeight="1" spans="1:21">
      <c r="A31" s="57">
        <v>1</v>
      </c>
      <c r="B31" s="41" t="s">
        <v>11</v>
      </c>
      <c r="C31" s="42"/>
      <c r="D31" s="41">
        <v>286</v>
      </c>
      <c r="E31" s="42"/>
      <c r="F31" s="41">
        <v>269</v>
      </c>
      <c r="G31" s="42"/>
      <c r="H31" s="43">
        <f t="shared" si="0"/>
        <v>555</v>
      </c>
      <c r="I31" s="58">
        <f t="shared" si="1"/>
        <v>277.5</v>
      </c>
      <c r="J31" s="59">
        <f t="shared" si="2"/>
        <v>2</v>
      </c>
      <c r="K31" s="60">
        <v>1</v>
      </c>
      <c r="L31" s="47">
        <v>4500</v>
      </c>
      <c r="M31" s="61">
        <v>162.82</v>
      </c>
      <c r="N31" s="49">
        <f>H31</f>
        <v>555</v>
      </c>
      <c r="O31" s="56"/>
      <c r="P31" s="51"/>
      <c r="Q31" s="52"/>
      <c r="R31" s="52"/>
      <c r="S31" s="52"/>
      <c r="T31" s="52"/>
      <c r="U31" s="53"/>
    </row>
    <row r="32" s="3" customFormat="1" ht="23.25" customHeight="1" spans="1:21">
      <c r="A32" s="62" t="s">
        <v>12</v>
      </c>
      <c r="B32" s="63">
        <f>SUM(B8:B31)/1000</f>
        <v>0</v>
      </c>
      <c r="C32" s="64"/>
      <c r="D32" s="63">
        <f>SUM(D8:D31)/1000</f>
        <v>6.853</v>
      </c>
      <c r="E32" s="64"/>
      <c r="F32" s="63">
        <f>SUM(F8:F31)/1000</f>
        <v>5.536</v>
      </c>
      <c r="G32" s="64"/>
      <c r="H32" s="65">
        <f>SUM(H8:H31)</f>
        <v>12389</v>
      </c>
      <c r="I32" s="66" t="s">
        <v>13</v>
      </c>
      <c r="J32" s="67"/>
      <c r="K32" s="68"/>
      <c r="L32" s="69"/>
      <c r="M32" s="70">
        <f>SUM(M31-M8+N8)</f>
        <v>481.109999999905</v>
      </c>
      <c r="N32" s="71">
        <f>SUM(N8:N31)</f>
        <v>13874.9999999998</v>
      </c>
      <c r="O32" s="72">
        <f>SUM(O8:O31)</f>
        <v>0</v>
      </c>
      <c r="P32" s="73"/>
      <c r="Q32" s="74"/>
      <c r="R32" s="74"/>
      <c r="S32" s="74"/>
      <c r="T32" s="74"/>
      <c r="U32" s="75"/>
    </row>
    <row r="33" ht="15" customHeight="1" spans="1:29">
      <c r="A33" s="76" t="s">
        <v>14</v>
      </c>
      <c r="B33" s="77" t="str">
        <f>IFERROR((AVERAGE(B8:B31)),"0")</f>
        <v>0</v>
      </c>
      <c r="C33" s="78"/>
      <c r="D33" s="79">
        <f>IFERROR((AVERAGE(D8:D31)),"0")</f>
        <v>285.541666666667</v>
      </c>
      <c r="E33" s="78"/>
      <c r="F33" s="79">
        <f>IFERROR((AVERAGE(F8:F31)),"0")</f>
        <v>263.619047619048</v>
      </c>
      <c r="G33" s="80"/>
      <c r="H33" s="81">
        <f>H32*1000</f>
        <v>12389000</v>
      </c>
      <c r="I33" s="82" t="s">
        <v>15</v>
      </c>
      <c r="J33" s="83"/>
      <c r="K33" s="84"/>
      <c r="L33" s="85"/>
      <c r="M33" s="86"/>
      <c r="N33" s="85"/>
      <c r="O33" s="87"/>
      <c r="P33" s="87"/>
      <c r="Q33" s="88"/>
      <c r="R33" s="88"/>
      <c r="S33" s="89"/>
      <c r="T33" s="89"/>
      <c r="U33" s="89"/>
      <c r="V33" s="89"/>
    </row>
    <row r="34" ht="18.75" customHeight="1" spans="1:29">
      <c r="A34" s="90"/>
      <c r="B34" s="91"/>
      <c r="C34" s="92"/>
      <c r="D34" s="93"/>
      <c r="E34" s="92"/>
      <c r="F34" s="93"/>
      <c r="G34" s="94"/>
      <c r="H34" s="95"/>
      <c r="I34" s="96"/>
      <c r="J34" s="97"/>
      <c r="K34" s="98"/>
      <c r="L34" s="85"/>
      <c r="M34" s="86"/>
      <c r="N34" s="99"/>
      <c r="O34" s="99"/>
      <c r="P34" s="99"/>
      <c r="Q34" s="99"/>
      <c r="R34" s="88"/>
      <c r="S34" s="89"/>
      <c r="T34" s="89"/>
      <c r="U34" s="89"/>
      <c r="V34" s="89"/>
    </row>
    <row r="35" ht="22.5" customHeight="1" spans="1:29">
      <c r="A35" s="100" t="s">
        <v>16</v>
      </c>
      <c r="B35" s="101">
        <f>COUNT(B8:B31)</f>
        <v>0</v>
      </c>
      <c r="C35" s="102"/>
      <c r="D35" s="103">
        <f>COUNT(D8:D31)</f>
        <v>24</v>
      </c>
      <c r="E35" s="102"/>
      <c r="F35" s="103">
        <f>COUNT(F8:F31)</f>
        <v>21</v>
      </c>
      <c r="G35" s="104"/>
      <c r="H35" s="105"/>
      <c r="I35" s="106"/>
      <c r="J35" s="107"/>
      <c r="K35" s="107"/>
      <c r="L35" s="107"/>
      <c r="M35" s="107"/>
      <c r="N35" s="99"/>
      <c r="O35" s="99"/>
      <c r="P35" s="99"/>
      <c r="Q35" s="99"/>
      <c r="R35" s="108"/>
      <c r="S35" s="89"/>
      <c r="T35" s="89"/>
      <c r="U35" s="89"/>
      <c r="V35" s="89"/>
    </row>
    <row r="36" ht="9" customHeight="1" spans="1:29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10"/>
      <c r="N36" s="106"/>
      <c r="O36" s="107"/>
      <c r="P36" s="107"/>
      <c r="Q36" s="107"/>
      <c r="R36" s="107"/>
      <c r="S36" s="107"/>
      <c r="T36" s="107"/>
      <c r="U36" s="111"/>
      <c r="V36" s="112"/>
      <c r="W36" s="108"/>
      <c r="X36" s="108"/>
      <c r="Y36" s="108"/>
      <c r="Z36" s="89"/>
      <c r="AA36" s="89"/>
      <c r="AB36" s="89"/>
      <c r="AC36" s="89"/>
    </row>
    <row r="37" ht="24" customHeight="1" spans="1:29">
      <c r="D37" s="113"/>
      <c r="E37" s="113"/>
      <c r="F37" s="113"/>
      <c r="G37" s="113"/>
      <c r="H37" s="113"/>
      <c r="I37" s="113"/>
      <c r="J37" s="113"/>
      <c r="K37" s="114"/>
      <c r="L37" s="114"/>
      <c r="N37" s="115" t="s">
        <v>17</v>
      </c>
      <c r="O37" s="116"/>
      <c r="P37" s="116"/>
      <c r="Q37" s="117"/>
      <c r="R37" s="118">
        <f>SUM(B35:F35)</f>
        <v>45</v>
      </c>
      <c r="S37" s="69"/>
      <c r="T37" s="69"/>
      <c r="U37" s="69"/>
      <c r="V37" s="69"/>
      <c r="X37" s="119"/>
      <c r="Y37" s="119"/>
      <c r="Z37" s="119"/>
      <c r="AA37" s="119"/>
      <c r="AB37" s="119"/>
      <c r="AC37" s="114"/>
    </row>
    <row r="38" ht="15" spans="1:29">
      <c r="D38" s="113"/>
      <c r="E38" s="113"/>
      <c r="F38" s="113"/>
      <c r="G38" s="113"/>
      <c r="H38" s="113"/>
      <c r="I38" s="113"/>
      <c r="J38" s="113"/>
      <c r="K38" s="114"/>
      <c r="L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</row>
    <row r="39" ht="24.75" customHeight="1" spans="1:29">
      <c r="A39" s="120" t="s">
        <v>18</v>
      </c>
      <c r="B39" s="121"/>
      <c r="C39" s="122">
        <f>MAX(H8:H31)</f>
        <v>705</v>
      </c>
      <c r="D39" s="123"/>
      <c r="E39" s="124">
        <f>VLOOKUP(C39,H8:L31,4,FALSE)</f>
        <v>0.833333333333333</v>
      </c>
      <c r="F39" s="125"/>
      <c r="G39" s="125"/>
      <c r="H39" s="126" t="s">
        <v>19</v>
      </c>
      <c r="I39" s="127"/>
      <c r="J39" s="128"/>
      <c r="K39" s="129">
        <f>MAX(J8:J31)</f>
        <v>2</v>
      </c>
      <c r="L39" s="130"/>
      <c r="N39" s="131" t="s">
        <v>20</v>
      </c>
      <c r="O39" s="132"/>
      <c r="P39" s="132"/>
      <c r="Q39" s="133"/>
      <c r="R39" s="134">
        <f>AVERAGE(H8:H31)</f>
        <v>516.208333333333</v>
      </c>
      <c r="S39" s="135"/>
      <c r="T39" s="135"/>
    </row>
    <row r="40" ht="15" spans="1:29">
      <c r="C40" s="136"/>
      <c r="D40" s="137"/>
      <c r="E40" s="138"/>
      <c r="F40" s="138"/>
      <c r="G40" s="138"/>
      <c r="H40" s="138"/>
      <c r="I40" s="139"/>
      <c r="J40" s="106"/>
      <c r="K40" s="110"/>
      <c r="L40" s="110"/>
      <c r="N40" s="140"/>
      <c r="O40" s="140"/>
      <c r="P40" s="140"/>
      <c r="Q40" s="140"/>
      <c r="R40" s="140"/>
      <c r="X40" s="5"/>
      <c r="Y40" s="5"/>
      <c r="Z40" s="5"/>
      <c r="AA40" s="5"/>
      <c r="AB40" s="5"/>
      <c r="AC40" s="141"/>
    </row>
    <row r="41" ht="24.75" customHeight="1" spans="1:29">
      <c r="A41" s="120" t="s">
        <v>21</v>
      </c>
      <c r="B41" s="121"/>
      <c r="C41" s="122">
        <f>MIN(H8:H31)</f>
        <v>419</v>
      </c>
      <c r="D41" s="123"/>
      <c r="E41" s="124">
        <f>VLOOKUP(C41,H8:L31,4,FALSE)</f>
        <v>0.625</v>
      </c>
      <c r="F41" s="142"/>
      <c r="G41" s="125"/>
      <c r="H41" s="126" t="s">
        <v>22</v>
      </c>
      <c r="I41" s="127"/>
      <c r="J41" s="128"/>
      <c r="K41" s="129">
        <f>MIN(J8:J31)</f>
        <v>1</v>
      </c>
      <c r="L41" s="130"/>
      <c r="N41" s="126" t="s">
        <v>23</v>
      </c>
      <c r="O41" s="127"/>
      <c r="P41" s="127"/>
      <c r="Q41" s="128"/>
      <c r="R41" s="143">
        <f>AVERAGE(I8:I31)</f>
        <v>285.104166666667</v>
      </c>
      <c r="S41" s="144"/>
      <c r="T41" s="144"/>
      <c r="U41" s="144"/>
      <c r="V41" s="144"/>
      <c r="X41" s="145"/>
    </row>
    <row r="42" ht="15" spans="1:29">
      <c r="D42" s="138"/>
      <c r="E42" s="138"/>
      <c r="F42" s="138"/>
      <c r="G42" s="138"/>
      <c r="H42" s="138"/>
      <c r="I42" s="146"/>
      <c r="J42" s="138"/>
      <c r="K42" s="147"/>
      <c r="L42" s="147"/>
      <c r="V42" s="148"/>
      <c r="W42" s="148"/>
      <c r="X42" s="149"/>
      <c r="Y42" s="149"/>
      <c r="Z42" s="150"/>
      <c r="AA42" s="150"/>
      <c r="AB42" s="150"/>
      <c r="AC42" s="150"/>
    </row>
    <row r="43" ht="24.75" customHeight="1" spans="1:29">
      <c r="C43" s="136"/>
      <c r="H43" s="151"/>
      <c r="I43" s="151"/>
      <c r="J43" s="151"/>
      <c r="K43" s="145"/>
      <c r="L43" s="139"/>
      <c r="N43" s="152" t="s">
        <v>24</v>
      </c>
      <c r="O43" s="153"/>
      <c r="P43" s="153"/>
      <c r="Q43" s="154"/>
      <c r="R43" s="155" t="e">
        <f>AVERAGE(T8:T31)</f>
        <v>#DIV/0!</v>
      </c>
      <c r="X43" s="156"/>
      <c r="Z43" s="157"/>
      <c r="AA43" s="157"/>
      <c r="AB43" s="157"/>
      <c r="AC43" s="157"/>
    </row>
    <row r="44" ht="19.5" spans="1:29">
      <c r="I44" s="158"/>
      <c r="K44" s="159"/>
      <c r="L44" s="159"/>
      <c r="Z44" s="160"/>
      <c r="AA44" s="160"/>
      <c r="AB44" s="160"/>
      <c r="AC44" s="160"/>
    </row>
    <row r="45" ht="24.75" customHeight="1" spans="1:29">
      <c r="D45" s="158"/>
      <c r="E45" s="158"/>
      <c r="F45" s="158"/>
      <c r="G45" s="158"/>
      <c r="H45" s="158"/>
      <c r="N45" s="126" t="s">
        <v>25</v>
      </c>
      <c r="O45" s="127"/>
      <c r="P45" s="127"/>
      <c r="Q45" s="128"/>
      <c r="R45" s="161">
        <f>SUM(M32-H32)/24</f>
        <v>-496.162083333337</v>
      </c>
      <c r="X45" s="162"/>
      <c r="Z45" s="163"/>
      <c r="AA45" s="163"/>
      <c r="AB45" s="163"/>
      <c r="AC45" s="163"/>
    </row>
    <row r="46" spans="1:29">
      <c r="Z46" s="164"/>
      <c r="AA46" s="164"/>
      <c r="AB46" s="164"/>
      <c r="AC46" s="164"/>
    </row>
    <row r="47" spans="1:29">
      <c r="Z47" s="139"/>
      <c r="AA47" s="139"/>
      <c r="AB47" s="139"/>
      <c r="AC47" s="139"/>
    </row>
    <row r="48" spans="1:29">
      <c r="Z48" s="139"/>
      <c r="AA48" s="139"/>
      <c r="AB48" s="139"/>
      <c r="AC48" s="139"/>
    </row>
    <row r="49" spans="11:29">
      <c r="Z49" s="157"/>
      <c r="AA49" s="157"/>
      <c r="AB49" s="157"/>
      <c r="AC49" s="157"/>
    </row>
    <row r="50" spans="11:29">
      <c r="Z50" s="157"/>
      <c r="AA50" s="157"/>
      <c r="AB50" s="157"/>
      <c r="AC50" s="157"/>
    </row>
    <row r="51" spans="11:29">
      <c r="K51" s="150"/>
      <c r="L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0"/>
      <c r="AC51" s="150"/>
    </row>
    <row r="52" spans="11:29">
      <c r="K52" s="150"/>
      <c r="L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  <c r="AB52" s="150"/>
      <c r="AC52" s="150"/>
    </row>
    <row r="53" spans="11:29">
      <c r="K53" s="150"/>
      <c r="L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50"/>
      <c r="AB53" s="150"/>
      <c r="AC53" s="150"/>
    </row>
    <row r="60" spans="11:29">
      <c r="O60" s="165"/>
      <c r="P60" s="165"/>
      <c r="Q60" s="165"/>
      <c r="R60" s="165"/>
      <c r="S60" s="165"/>
      <c r="T60" s="165"/>
    </row>
    <row r="61" spans="11:29">
      <c r="O61" s="165"/>
      <c r="P61" s="165"/>
      <c r="Q61" s="165"/>
      <c r="R61" s="165"/>
      <c r="S61" s="165"/>
      <c r="T61" s="165"/>
    </row>
    <row r="62" spans="11:29">
      <c r="O62" s="165"/>
      <c r="P62" s="165"/>
      <c r="Q62" s="165"/>
      <c r="R62" s="165"/>
      <c r="S62" s="165"/>
      <c r="T62" s="165"/>
    </row>
    <row r="63" spans="11:29">
      <c r="O63" s="165"/>
      <c r="P63" s="165"/>
      <c r="Q63" s="165"/>
      <c r="R63" s="165"/>
      <c r="S63" s="165"/>
      <c r="T63" s="165"/>
    </row>
    <row r="64" spans="11:29">
      <c r="O64" s="165"/>
      <c r="P64" s="165"/>
      <c r="Q64" s="165"/>
      <c r="R64" s="165"/>
      <c r="S64" s="165"/>
      <c r="T64" s="165"/>
    </row>
    <row r="65" spans="15:20">
      <c r="O65" s="165"/>
      <c r="P65" s="165"/>
      <c r="Q65" s="165"/>
      <c r="R65" s="165"/>
      <c r="S65" s="165"/>
      <c r="T65" s="165"/>
    </row>
    <row r="66" spans="15:20">
      <c r="O66" s="165"/>
      <c r="P66" s="165"/>
      <c r="Q66" s="165"/>
      <c r="R66" s="165"/>
      <c r="S66" s="165"/>
      <c r="T66" s="165"/>
    </row>
    <row r="67" spans="15:20">
      <c r="O67" s="165"/>
      <c r="P67" s="165"/>
      <c r="Q67" s="165"/>
      <c r="R67" s="165"/>
      <c r="S67" s="165"/>
      <c r="T67" s="165"/>
    </row>
    <row r="68" spans="15:20">
      <c r="O68" s="165"/>
      <c r="P68" s="165"/>
      <c r="Q68" s="165"/>
      <c r="R68" s="165"/>
      <c r="S68" s="165"/>
      <c r="T68" s="165"/>
    </row>
  </sheetData>
  <mergeCells count="116">
    <mergeCell ref="H4:K4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B29:C29"/>
    <mergeCell ref="D29:E29"/>
    <mergeCell ref="F29:G2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N34:Q34"/>
    <mergeCell ref="B35:C35"/>
    <mergeCell ref="D35:E35"/>
    <mergeCell ref="F35:G35"/>
    <mergeCell ref="N35:Q35"/>
    <mergeCell ref="N37:Q37"/>
    <mergeCell ref="A39:B39"/>
    <mergeCell ref="C39:D39"/>
    <mergeCell ref="H39:J39"/>
    <mergeCell ref="N39:Q39"/>
    <mergeCell ref="A41:B41"/>
    <mergeCell ref="C41:D41"/>
    <mergeCell ref="H41:J41"/>
    <mergeCell ref="N41:Q41"/>
    <mergeCell ref="H43:J43"/>
    <mergeCell ref="N43:Q43"/>
    <mergeCell ref="N45:Q45"/>
    <mergeCell ref="A6:A7"/>
    <mergeCell ref="A33:A34"/>
    <mergeCell ref="H6:H7"/>
    <mergeCell ref="H33:H34"/>
    <mergeCell ref="I6:I7"/>
    <mergeCell ref="I33:I34"/>
    <mergeCell ref="J6:J7"/>
    <mergeCell ref="K6:K7"/>
    <mergeCell ref="L6:L7"/>
    <mergeCell ref="M6:M7"/>
    <mergeCell ref="N6:N7"/>
    <mergeCell ref="O6:O7"/>
    <mergeCell ref="T6:T7"/>
    <mergeCell ref="U6:U7"/>
    <mergeCell ref="B33:C34"/>
    <mergeCell ref="D33:E34"/>
    <mergeCell ref="F33:G34"/>
  </mergeCells>
  <conditionalFormatting sqref="O8">
    <cfRule type="cellIs" dxfId="0" priority="10" operator="equal">
      <formula>"N/A"</formula>
    </cfRule>
  </conditionalFormatting>
  <conditionalFormatting sqref="A30">
    <cfRule type="cellIs" dxfId="1" priority="11" operator="equal">
      <formula>"STB"</formula>
    </cfRule>
    <cfRule type="cellIs" dxfId="0" priority="12" operator="equal">
      <formula>"BD"</formula>
    </cfRule>
  </conditionalFormatting>
  <conditionalFormatting sqref="B8:B31">
    <cfRule type="cellIs" dxfId="1" priority="1" operator="equal">
      <formula>"STB"</formula>
    </cfRule>
    <cfRule type="cellIs" dxfId="0" priority="2" operator="equal">
      <formula>"BD"</formula>
    </cfRule>
  </conditionalFormatting>
  <conditionalFormatting sqref="D8:D31">
    <cfRule type="cellIs" dxfId="1" priority="8" operator="equal">
      <formula>"STB"</formula>
    </cfRule>
    <cfRule type="cellIs" dxfId="0" priority="9" operator="equal">
      <formula>"BD"</formula>
    </cfRule>
  </conditionalFormatting>
  <conditionalFormatting sqref="F8:F31">
    <cfRule type="cellIs" dxfId="1" priority="3" operator="equal">
      <formula>"STB"</formula>
    </cfRule>
    <cfRule type="cellIs" dxfId="0" priority="4" operator="equal">
      <formula>"BD"</formula>
    </cfRule>
  </conditionalFormatting>
  <conditionalFormatting sqref="H8:H31">
    <cfRule type="top10" dxfId="2" priority="5" bottom="1" rank="1"/>
    <cfRule type="top10" dxfId="3" priority="6" rank="1"/>
    <cfRule type="cellIs" dxfId="4" priority="7" stopIfTrue="1" operator="equal">
      <formula>28000</formula>
    </cfRule>
  </conditionalFormatting>
  <conditionalFormatting sqref="H32:H33">
    <cfRule type="top10" dxfId="2" priority="14" bottom="1" rank="1"/>
    <cfRule type="top10" dxfId="3" priority="15" rank="1"/>
    <cfRule type="cellIs" dxfId="4" priority="17" stopIfTrue="1" operator="equal">
      <formula>28000</formula>
    </cfRule>
  </conditionalFormatting>
  <conditionalFormatting sqref="Y8:Y31">
    <cfRule type="containsText" dxfId="5" priority="13" operator="between" text="-">
      <formula>NOT(ISERROR(SEARCH("-",Y8)))</formula>
    </cfRule>
  </conditionalFormatting>
  <conditionalFormatting sqref="N8 N9:O31">
    <cfRule type="cellIs" dxfId="0" priority="16" operator="equal">
      <formula>"BD"</formula>
    </cfRule>
  </conditionalFormatting>
  <pageMargins left="0.7" right="0.7" top="0.75" bottom="0.75" header="0.3" footer="0.3"/>
  <pageSetup paperSize="1" orientation="portrait" verticalDpi="36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C68"/>
  <sheetViews>
    <sheetView zoomScale="80" zoomScaleNormal="80" workbookViewId="0">
      <pane ySplit="7" topLeftCell="A9" activePane="bottomLeft" state="frozen"/>
      <selection/>
      <selection pane="bottomLeft" activeCell="A3" sqref="$A3:$XFD3"/>
    </sheetView>
  </sheetViews>
  <sheetFormatPr defaultColWidth="8.81666666666667" defaultRowHeight="14.25"/>
  <cols>
    <col min="1" max="1" width="16.725" customWidth="1"/>
    <col min="2" max="2" width="8.725" customWidth="1"/>
    <col min="3" max="7" width="5.725" customWidth="1"/>
    <col min="8" max="8" width="14.2666666666667" customWidth="1"/>
    <col min="9" max="9" width="15.1833333333333" customWidth="1"/>
    <col min="10" max="10" width="15.5416666666667" customWidth="1"/>
    <col min="11" max="11" width="7" customWidth="1"/>
    <col min="12" max="12" width="8.54166666666667" customWidth="1"/>
    <col min="13" max="13" width="11.725" style="5" customWidth="1"/>
    <col min="14" max="14" width="17.1833333333333" customWidth="1"/>
    <col min="15" max="15" width="15.45" customWidth="1"/>
    <col min="16" max="16" width="7.45" customWidth="1"/>
    <col min="17" max="17" width="9.54166666666667" customWidth="1"/>
    <col min="18" max="18" width="10" customWidth="1"/>
    <col min="19" max="20" width="9.81666666666667" customWidth="1"/>
    <col min="21" max="21" width="6.725" customWidth="1"/>
    <col min="22" max="22" width="13.8166666666667" customWidth="1"/>
    <col min="23" max="23" width="11.2666666666667" customWidth="1"/>
    <col min="24" max="24" width="9.26666666666667" customWidth="1"/>
    <col min="25" max="25" width="3.725" customWidth="1"/>
    <col min="26" max="29" width="7.725" customWidth="1"/>
    <col min="30" max="30" width="6.725" customWidth="1"/>
  </cols>
  <sheetData>
    <row r="1" ht="3" customHeight="1"/>
    <row r="2" ht="6" customHeight="1" spans="1:2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="1" customFormat="1" ht="6.75" customHeight="1" spans="1:29">
      <c r="K3" s="7"/>
      <c r="L3" s="8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17.25" customHeight="1" spans="1:29">
      <c r="A4" s="1"/>
      <c r="B4" s="10"/>
      <c r="C4" s="10"/>
      <c r="D4" s="10"/>
      <c r="E4" s="11"/>
      <c r="F4" s="11"/>
      <c r="G4" s="11"/>
      <c r="H4" s="12">
        <f>'[9]Taniwel daily'!C4</f>
        <v>45300</v>
      </c>
      <c r="I4" s="13"/>
      <c r="J4" s="13"/>
      <c r="K4" s="14"/>
      <c r="L4" s="15"/>
      <c r="M4" s="16"/>
      <c r="N4" s="10"/>
      <c r="O4" s="10"/>
      <c r="P4" s="10"/>
      <c r="Q4" s="10"/>
      <c r="R4" s="10"/>
      <c r="S4" s="10"/>
      <c r="T4" s="10"/>
      <c r="U4" s="10"/>
      <c r="V4" s="7"/>
      <c r="W4" s="7"/>
      <c r="X4" s="7"/>
      <c r="Y4" s="7"/>
      <c r="Z4" s="7"/>
      <c r="AA4" s="7"/>
      <c r="AB4" s="7"/>
      <c r="AC4" s="7"/>
    </row>
    <row r="5" ht="7.5" customHeight="1" spans="1:29">
      <c r="A5" s="1"/>
      <c r="B5" s="17"/>
      <c r="C5" s="1"/>
      <c r="D5" s="1"/>
      <c r="E5" s="1"/>
      <c r="F5" s="1"/>
      <c r="G5" s="1"/>
      <c r="H5" s="1"/>
      <c r="I5" s="1"/>
      <c r="J5" s="1"/>
      <c r="K5" s="18"/>
      <c r="L5" s="7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ht="17.25" customHeight="1" spans="1:29">
      <c r="A6" s="19" t="s">
        <v>0</v>
      </c>
      <c r="B6" s="20" t="s">
        <v>1</v>
      </c>
      <c r="C6" s="21"/>
      <c r="D6" s="20" t="s">
        <v>2</v>
      </c>
      <c r="E6" s="21"/>
      <c r="F6" s="20" t="s">
        <v>3</v>
      </c>
      <c r="G6" s="21"/>
      <c r="H6" s="22" t="s">
        <v>4</v>
      </c>
      <c r="I6" s="22" t="s">
        <v>5</v>
      </c>
      <c r="J6" s="23" t="s">
        <v>6</v>
      </c>
      <c r="K6" s="19" t="s">
        <v>0</v>
      </c>
      <c r="L6" s="24" t="s">
        <v>7</v>
      </c>
      <c r="M6" s="25" t="s">
        <v>8</v>
      </c>
      <c r="N6" s="26" t="s">
        <v>9</v>
      </c>
      <c r="O6" s="25" t="s">
        <v>10</v>
      </c>
      <c r="P6" s="27"/>
      <c r="Q6" s="28"/>
      <c r="R6" s="28"/>
      <c r="S6" s="28"/>
      <c r="T6" s="28"/>
      <c r="U6" s="29"/>
    </row>
    <row r="7" ht="15.75" customHeight="1" spans="1:29">
      <c r="A7" s="30"/>
      <c r="B7" s="31">
        <v>1</v>
      </c>
      <c r="C7" s="32"/>
      <c r="D7" s="31">
        <v>2</v>
      </c>
      <c r="E7" s="32"/>
      <c r="F7" s="31">
        <v>3</v>
      </c>
      <c r="G7" s="32"/>
      <c r="H7" s="33"/>
      <c r="I7" s="33"/>
      <c r="J7" s="34"/>
      <c r="K7" s="30"/>
      <c r="L7" s="35"/>
      <c r="M7" s="36"/>
      <c r="N7" s="37"/>
      <c r="O7" s="38"/>
      <c r="P7" s="27"/>
      <c r="Q7" s="28"/>
      <c r="R7" s="28"/>
      <c r="S7" s="28"/>
      <c r="T7" s="28"/>
      <c r="U7" s="29"/>
      <c r="X7" s="39"/>
    </row>
    <row r="8" s="2" customFormat="1" ht="15" customHeight="1" spans="1:29">
      <c r="A8" s="40">
        <v>0.0416666666666666</v>
      </c>
      <c r="B8" s="41" t="s">
        <v>11</v>
      </c>
      <c r="C8" s="42"/>
      <c r="D8" s="41">
        <v>248</v>
      </c>
      <c r="E8" s="42"/>
      <c r="F8" s="41">
        <v>269</v>
      </c>
      <c r="G8" s="42"/>
      <c r="H8" s="43">
        <f t="shared" ref="H8:H31" si="0">IF(SUM(B8:G8)/1000=0,"0",SUM(B8:G8))</f>
        <v>517</v>
      </c>
      <c r="I8" s="44">
        <f t="shared" ref="I8:I31" si="1">IFERROR(AVERAGE(B8:G8),"0")</f>
        <v>258.5</v>
      </c>
      <c r="J8" s="45">
        <f t="shared" ref="J8:J31" si="2">COUNT(B8:G8)</f>
        <v>2</v>
      </c>
      <c r="K8" s="46">
        <v>0.0416666666666667</v>
      </c>
      <c r="L8" s="47">
        <v>4500</v>
      </c>
      <c r="M8" s="48">
        <v>162.87</v>
      </c>
      <c r="N8" s="49">
        <f>(M9-M8)*12000</f>
        <v>360.000000000014</v>
      </c>
      <c r="O8" s="50"/>
      <c r="P8" s="51"/>
      <c r="Q8" s="52"/>
      <c r="R8" s="52"/>
      <c r="S8" s="52"/>
      <c r="T8" s="52"/>
      <c r="U8" s="53"/>
    </row>
    <row r="9" s="3" customFormat="1" ht="15" customHeight="1" spans="1:29">
      <c r="A9" s="40">
        <v>0.0833333333333333</v>
      </c>
      <c r="B9" s="41" t="s">
        <v>11</v>
      </c>
      <c r="C9" s="42"/>
      <c r="D9" s="41" t="s">
        <v>26</v>
      </c>
      <c r="E9" s="42"/>
      <c r="F9" s="41">
        <v>225</v>
      </c>
      <c r="G9" s="42"/>
      <c r="H9" s="43">
        <f t="shared" si="0"/>
        <v>225</v>
      </c>
      <c r="I9" s="44">
        <f t="shared" si="1"/>
        <v>225</v>
      </c>
      <c r="J9" s="45">
        <f t="shared" si="2"/>
        <v>1</v>
      </c>
      <c r="K9" s="46">
        <v>0.0833333333333333</v>
      </c>
      <c r="L9" s="47">
        <v>4200</v>
      </c>
      <c r="M9" s="54">
        <v>162.9</v>
      </c>
      <c r="N9" s="49">
        <f t="shared" ref="N9:N30" si="3">(M10-M9)*12000</f>
        <v>239.999999999782</v>
      </c>
      <c r="O9" s="55"/>
      <c r="P9" s="51"/>
      <c r="Q9" s="52"/>
      <c r="R9" s="52"/>
      <c r="S9" s="52"/>
      <c r="T9" s="52"/>
      <c r="U9" s="53"/>
    </row>
    <row r="10" s="3" customFormat="1" ht="15" customHeight="1" spans="1:29">
      <c r="A10" s="40">
        <v>0.125</v>
      </c>
      <c r="B10" s="41" t="s">
        <v>11</v>
      </c>
      <c r="C10" s="42"/>
      <c r="D10" s="41" t="s">
        <v>26</v>
      </c>
      <c r="E10" s="42"/>
      <c r="F10" s="41">
        <v>220</v>
      </c>
      <c r="G10" s="42"/>
      <c r="H10" s="43">
        <f t="shared" si="0"/>
        <v>220</v>
      </c>
      <c r="I10" s="44">
        <f t="shared" si="1"/>
        <v>220</v>
      </c>
      <c r="J10" s="45">
        <f t="shared" si="2"/>
        <v>1</v>
      </c>
      <c r="K10" s="46">
        <v>0.125</v>
      </c>
      <c r="L10" s="47">
        <v>4200</v>
      </c>
      <c r="M10" s="54">
        <v>162.92</v>
      </c>
      <c r="N10" s="49">
        <f t="shared" si="3"/>
        <v>240.000000000123</v>
      </c>
      <c r="O10" s="56"/>
      <c r="P10" s="51"/>
      <c r="Q10" s="52"/>
      <c r="R10" s="52"/>
      <c r="S10" s="52"/>
      <c r="T10" s="52"/>
      <c r="U10" s="53"/>
    </row>
    <row r="11" s="3" customFormat="1" ht="15" customHeight="1" spans="1:29">
      <c r="A11" s="40">
        <v>0.166666666666667</v>
      </c>
      <c r="B11" s="41" t="s">
        <v>11</v>
      </c>
      <c r="C11" s="42"/>
      <c r="D11" s="41" t="s">
        <v>26</v>
      </c>
      <c r="E11" s="42"/>
      <c r="F11" s="41">
        <v>217</v>
      </c>
      <c r="G11" s="42"/>
      <c r="H11" s="43">
        <f t="shared" si="0"/>
        <v>217</v>
      </c>
      <c r="I11" s="44">
        <f t="shared" si="1"/>
        <v>217</v>
      </c>
      <c r="J11" s="45">
        <f t="shared" si="2"/>
        <v>1</v>
      </c>
      <c r="K11" s="46">
        <v>0.166666666666667</v>
      </c>
      <c r="L11" s="47">
        <v>4000</v>
      </c>
      <c r="M11" s="54">
        <v>162.94</v>
      </c>
      <c r="N11" s="49">
        <f t="shared" si="3"/>
        <v>240.000000000123</v>
      </c>
      <c r="O11" s="56"/>
      <c r="P11" s="51"/>
      <c r="Q11" s="52"/>
      <c r="R11" s="52"/>
      <c r="S11" s="52"/>
      <c r="T11" s="52"/>
      <c r="U11" s="53"/>
    </row>
    <row r="12" s="3" customFormat="1" ht="15" customHeight="1" spans="1:29">
      <c r="A12" s="40">
        <v>0.208333333333333</v>
      </c>
      <c r="B12" s="41" t="s">
        <v>11</v>
      </c>
      <c r="C12" s="42"/>
      <c r="D12" s="41" t="s">
        <v>26</v>
      </c>
      <c r="E12" s="42"/>
      <c r="F12" s="41">
        <v>222</v>
      </c>
      <c r="G12" s="42"/>
      <c r="H12" s="43">
        <f t="shared" si="0"/>
        <v>222</v>
      </c>
      <c r="I12" s="44">
        <f t="shared" si="1"/>
        <v>222</v>
      </c>
      <c r="J12" s="45">
        <f t="shared" si="2"/>
        <v>1</v>
      </c>
      <c r="K12" s="46">
        <v>0.208333333333333</v>
      </c>
      <c r="L12" s="47">
        <v>3900</v>
      </c>
      <c r="M12" s="54">
        <v>162.96</v>
      </c>
      <c r="N12" s="49">
        <f t="shared" si="3"/>
        <v>360.000000000014</v>
      </c>
      <c r="O12" s="56"/>
      <c r="P12" s="51"/>
      <c r="Q12" s="52"/>
      <c r="R12" s="52"/>
      <c r="S12" s="52"/>
      <c r="T12" s="52"/>
      <c r="U12" s="53"/>
    </row>
    <row r="13" s="3" customFormat="1" ht="15" customHeight="1" spans="1:29">
      <c r="A13" s="40">
        <v>0.25</v>
      </c>
      <c r="B13" s="41" t="s">
        <v>11</v>
      </c>
      <c r="C13" s="42"/>
      <c r="D13" s="41">
        <v>288</v>
      </c>
      <c r="E13" s="42"/>
      <c r="F13" s="41">
        <v>278</v>
      </c>
      <c r="G13" s="42"/>
      <c r="H13" s="43">
        <f t="shared" si="0"/>
        <v>566</v>
      </c>
      <c r="I13" s="44">
        <f t="shared" si="1"/>
        <v>283</v>
      </c>
      <c r="J13" s="45">
        <f t="shared" si="2"/>
        <v>2</v>
      </c>
      <c r="K13" s="46">
        <v>0.25</v>
      </c>
      <c r="L13" s="47">
        <v>3600</v>
      </c>
      <c r="M13" s="54">
        <v>162.99</v>
      </c>
      <c r="N13" s="49">
        <f t="shared" si="3"/>
        <v>599.999999999795</v>
      </c>
      <c r="O13" s="56"/>
      <c r="P13" s="51"/>
      <c r="Q13" s="52"/>
      <c r="R13" s="52"/>
      <c r="S13" s="52"/>
      <c r="T13" s="52"/>
      <c r="U13" s="53"/>
    </row>
    <row r="14" s="3" customFormat="1" ht="15" customHeight="1" spans="1:29">
      <c r="A14" s="40">
        <v>0.291666666666667</v>
      </c>
      <c r="B14" s="41" t="s">
        <v>11</v>
      </c>
      <c r="C14" s="42"/>
      <c r="D14" s="41">
        <v>300</v>
      </c>
      <c r="E14" s="42"/>
      <c r="F14" s="41">
        <v>287</v>
      </c>
      <c r="G14" s="42"/>
      <c r="H14" s="43">
        <f t="shared" si="0"/>
        <v>587</v>
      </c>
      <c r="I14" s="44">
        <f t="shared" si="1"/>
        <v>293.5</v>
      </c>
      <c r="J14" s="45">
        <f t="shared" si="2"/>
        <v>2</v>
      </c>
      <c r="K14" s="46">
        <v>0.291666666666667</v>
      </c>
      <c r="L14" s="47">
        <v>3600</v>
      </c>
      <c r="M14" s="54">
        <v>163.04</v>
      </c>
      <c r="N14" s="49">
        <f t="shared" si="3"/>
        <v>600.000000000136</v>
      </c>
      <c r="O14" s="56"/>
      <c r="P14" s="51"/>
      <c r="Q14" s="52"/>
      <c r="R14" s="52"/>
      <c r="S14" s="52"/>
      <c r="T14" s="52"/>
      <c r="U14" s="53"/>
    </row>
    <row r="15" s="3" customFormat="1" ht="15" customHeight="1" spans="1:29">
      <c r="A15" s="40">
        <v>0.333333333333333</v>
      </c>
      <c r="B15" s="41" t="s">
        <v>11</v>
      </c>
      <c r="C15" s="42"/>
      <c r="D15" s="41">
        <v>270</v>
      </c>
      <c r="E15" s="42"/>
      <c r="F15" s="41">
        <v>262</v>
      </c>
      <c r="G15" s="42"/>
      <c r="H15" s="43">
        <f t="shared" si="0"/>
        <v>532</v>
      </c>
      <c r="I15" s="44">
        <f t="shared" si="1"/>
        <v>266</v>
      </c>
      <c r="J15" s="45">
        <f t="shared" si="2"/>
        <v>2</v>
      </c>
      <c r="K15" s="46">
        <v>0.333333333333333</v>
      </c>
      <c r="L15" s="47">
        <v>3600</v>
      </c>
      <c r="M15" s="54">
        <v>163.09</v>
      </c>
      <c r="N15" s="49">
        <f t="shared" si="3"/>
        <v>599.999999999795</v>
      </c>
      <c r="O15" s="56"/>
      <c r="P15" s="51"/>
      <c r="Q15" s="52"/>
      <c r="R15" s="52"/>
      <c r="S15" s="52"/>
      <c r="T15" s="52"/>
      <c r="U15" s="53"/>
    </row>
    <row r="16" s="3" customFormat="1" ht="15" customHeight="1" spans="1:29">
      <c r="A16" s="40">
        <v>0.375</v>
      </c>
      <c r="B16" s="41" t="s">
        <v>11</v>
      </c>
      <c r="C16" s="42"/>
      <c r="D16" s="41">
        <v>242</v>
      </c>
      <c r="E16" s="42"/>
      <c r="F16" s="41">
        <v>255</v>
      </c>
      <c r="G16" s="42"/>
      <c r="H16" s="43">
        <f t="shared" si="0"/>
        <v>497</v>
      </c>
      <c r="I16" s="44">
        <f t="shared" si="1"/>
        <v>248.5</v>
      </c>
      <c r="J16" s="45">
        <f t="shared" si="2"/>
        <v>2</v>
      </c>
      <c r="K16" s="46">
        <v>0.375</v>
      </c>
      <c r="L16" s="47">
        <v>3600</v>
      </c>
      <c r="M16" s="54">
        <v>163.14</v>
      </c>
      <c r="N16" s="49">
        <f t="shared" si="3"/>
        <v>600.000000000136</v>
      </c>
      <c r="O16" s="56"/>
      <c r="P16" s="51"/>
      <c r="Q16" s="52"/>
      <c r="R16" s="52"/>
      <c r="S16" s="52"/>
      <c r="T16" s="52"/>
      <c r="U16" s="53"/>
    </row>
    <row r="17" s="3" customFormat="1" ht="15" customHeight="1" spans="1:21">
      <c r="A17" s="40">
        <v>0.416666666666667</v>
      </c>
      <c r="B17" s="41" t="s">
        <v>11</v>
      </c>
      <c r="C17" s="42"/>
      <c r="D17" s="41">
        <v>236</v>
      </c>
      <c r="E17" s="42"/>
      <c r="F17" s="41">
        <v>233</v>
      </c>
      <c r="G17" s="42"/>
      <c r="H17" s="43">
        <f t="shared" si="0"/>
        <v>469</v>
      </c>
      <c r="I17" s="44">
        <f t="shared" si="1"/>
        <v>234.5</v>
      </c>
      <c r="J17" s="45">
        <f t="shared" si="2"/>
        <v>2</v>
      </c>
      <c r="K17" s="46">
        <v>0.416666666666666</v>
      </c>
      <c r="L17" s="47">
        <v>3400</v>
      </c>
      <c r="M17" s="54">
        <v>163.19</v>
      </c>
      <c r="N17" s="49">
        <f t="shared" si="3"/>
        <v>479.999999999905</v>
      </c>
      <c r="O17" s="56"/>
      <c r="P17" s="51"/>
      <c r="Q17" s="52"/>
      <c r="R17" s="52"/>
      <c r="S17" s="52"/>
      <c r="T17" s="52"/>
      <c r="U17" s="53"/>
    </row>
    <row r="18" s="3" customFormat="1" ht="15" customHeight="1" spans="1:21">
      <c r="A18" s="40">
        <v>0.458333333333333</v>
      </c>
      <c r="B18" s="41" t="s">
        <v>11</v>
      </c>
      <c r="C18" s="42"/>
      <c r="D18" s="41">
        <v>226</v>
      </c>
      <c r="E18" s="42"/>
      <c r="F18" s="41">
        <v>237</v>
      </c>
      <c r="G18" s="42"/>
      <c r="H18" s="43">
        <f t="shared" si="0"/>
        <v>463</v>
      </c>
      <c r="I18" s="44">
        <f t="shared" si="1"/>
        <v>231.5</v>
      </c>
      <c r="J18" s="45">
        <f t="shared" si="2"/>
        <v>2</v>
      </c>
      <c r="K18" s="46">
        <v>0.458333333333333</v>
      </c>
      <c r="L18" s="47">
        <v>3300</v>
      </c>
      <c r="M18" s="54">
        <v>163.23</v>
      </c>
      <c r="N18" s="49">
        <f t="shared" si="3"/>
        <v>480.000000000246</v>
      </c>
      <c r="O18" s="56"/>
      <c r="P18" s="51"/>
      <c r="Q18" s="52"/>
      <c r="R18" s="52"/>
      <c r="S18" s="52"/>
      <c r="T18" s="52"/>
      <c r="U18" s="53"/>
    </row>
    <row r="19" s="3" customFormat="1" ht="15" customHeight="1" spans="1:21">
      <c r="A19" s="40">
        <v>0.5</v>
      </c>
      <c r="B19" s="41" t="s">
        <v>11</v>
      </c>
      <c r="C19" s="42"/>
      <c r="D19" s="41">
        <v>222</v>
      </c>
      <c r="E19" s="42"/>
      <c r="F19" s="41">
        <v>236</v>
      </c>
      <c r="G19" s="42"/>
      <c r="H19" s="43">
        <f t="shared" si="0"/>
        <v>458</v>
      </c>
      <c r="I19" s="44">
        <f t="shared" si="1"/>
        <v>229</v>
      </c>
      <c r="J19" s="45">
        <f t="shared" si="2"/>
        <v>2</v>
      </c>
      <c r="K19" s="46">
        <v>0.5</v>
      </c>
      <c r="L19" s="47">
        <v>3300</v>
      </c>
      <c r="M19" s="54">
        <v>163.27</v>
      </c>
      <c r="N19" s="49">
        <f t="shared" si="3"/>
        <v>599.999999999795</v>
      </c>
      <c r="O19" s="56"/>
      <c r="P19" s="51"/>
      <c r="Q19" s="52"/>
      <c r="R19" s="52"/>
      <c r="S19" s="52"/>
      <c r="T19" s="52"/>
      <c r="U19" s="53"/>
    </row>
    <row r="20" s="3" customFormat="1" ht="15" customHeight="1" spans="1:21">
      <c r="A20" s="40">
        <v>0.541666666666667</v>
      </c>
      <c r="B20" s="41" t="s">
        <v>11</v>
      </c>
      <c r="C20" s="42"/>
      <c r="D20" s="41" t="s">
        <v>26</v>
      </c>
      <c r="E20" s="42"/>
      <c r="F20" s="41">
        <v>433</v>
      </c>
      <c r="G20" s="42"/>
      <c r="H20" s="43">
        <f t="shared" si="0"/>
        <v>433</v>
      </c>
      <c r="I20" s="44">
        <f t="shared" si="1"/>
        <v>433</v>
      </c>
      <c r="J20" s="45">
        <f t="shared" si="2"/>
        <v>1</v>
      </c>
      <c r="K20" s="46">
        <v>0.541666666666667</v>
      </c>
      <c r="L20" s="47">
        <v>3000</v>
      </c>
      <c r="M20" s="54">
        <v>163.32</v>
      </c>
      <c r="N20" s="49">
        <f t="shared" si="3"/>
        <v>360.000000000014</v>
      </c>
      <c r="O20" s="56"/>
      <c r="P20" s="51"/>
      <c r="Q20" s="52"/>
      <c r="R20" s="52"/>
      <c r="S20" s="52"/>
      <c r="T20" s="52"/>
      <c r="U20" s="53"/>
    </row>
    <row r="21" s="3" customFormat="1" ht="15" customHeight="1" spans="1:21">
      <c r="A21" s="40">
        <v>0.583333333333333</v>
      </c>
      <c r="B21" s="41" t="s">
        <v>11</v>
      </c>
      <c r="C21" s="42"/>
      <c r="D21" s="41" t="s">
        <v>26</v>
      </c>
      <c r="E21" s="42"/>
      <c r="F21" s="41">
        <v>414</v>
      </c>
      <c r="G21" s="42"/>
      <c r="H21" s="43">
        <f t="shared" si="0"/>
        <v>414</v>
      </c>
      <c r="I21" s="44">
        <f t="shared" si="1"/>
        <v>414</v>
      </c>
      <c r="J21" s="45">
        <f t="shared" si="2"/>
        <v>1</v>
      </c>
      <c r="K21" s="46">
        <v>0.583333333333333</v>
      </c>
      <c r="L21" s="47">
        <v>3000</v>
      </c>
      <c r="M21" s="54">
        <v>163.35</v>
      </c>
      <c r="N21" s="49">
        <f t="shared" si="3"/>
        <v>479.999999999905</v>
      </c>
      <c r="O21" s="56"/>
      <c r="P21" s="51"/>
      <c r="Q21" s="52"/>
      <c r="R21" s="52"/>
      <c r="S21" s="52"/>
      <c r="T21" s="52"/>
      <c r="U21" s="53"/>
    </row>
    <row r="22" s="3" customFormat="1" ht="15" customHeight="1" spans="1:21">
      <c r="A22" s="40">
        <v>0.625</v>
      </c>
      <c r="B22" s="41" t="s">
        <v>11</v>
      </c>
      <c r="C22" s="42"/>
      <c r="D22" s="41" t="s">
        <v>26</v>
      </c>
      <c r="E22" s="42"/>
      <c r="F22" s="41">
        <v>405</v>
      </c>
      <c r="G22" s="42"/>
      <c r="H22" s="43">
        <f t="shared" si="0"/>
        <v>405</v>
      </c>
      <c r="I22" s="44">
        <f t="shared" si="1"/>
        <v>405</v>
      </c>
      <c r="J22" s="45">
        <f t="shared" si="2"/>
        <v>1</v>
      </c>
      <c r="K22" s="46">
        <v>0.625</v>
      </c>
      <c r="L22" s="47">
        <v>3000</v>
      </c>
      <c r="M22" s="54">
        <v>163.39</v>
      </c>
      <c r="N22" s="49">
        <f t="shared" si="3"/>
        <v>480.000000000246</v>
      </c>
      <c r="O22" s="56"/>
      <c r="P22" s="51"/>
      <c r="Q22" s="52"/>
      <c r="R22" s="52"/>
      <c r="S22" s="52"/>
      <c r="T22" s="52"/>
      <c r="U22" s="53"/>
    </row>
    <row r="23" s="3" customFormat="1" ht="15" customHeight="1" spans="1:21">
      <c r="A23" s="40">
        <v>0.666666666666667</v>
      </c>
      <c r="B23" s="41" t="s">
        <v>11</v>
      </c>
      <c r="C23" s="42"/>
      <c r="D23" s="41">
        <v>410</v>
      </c>
      <c r="E23" s="42"/>
      <c r="F23" s="41" t="s">
        <v>26</v>
      </c>
      <c r="G23" s="42"/>
      <c r="H23" s="43">
        <f t="shared" si="0"/>
        <v>410</v>
      </c>
      <c r="I23" s="44">
        <f t="shared" si="1"/>
        <v>410</v>
      </c>
      <c r="J23" s="45">
        <f t="shared" si="2"/>
        <v>1</v>
      </c>
      <c r="K23" s="46">
        <v>0.666666666666666</v>
      </c>
      <c r="L23" s="47">
        <v>3000</v>
      </c>
      <c r="M23" s="54">
        <v>163.43</v>
      </c>
      <c r="N23" s="49">
        <v>9</v>
      </c>
      <c r="O23" s="56"/>
      <c r="P23" s="51"/>
      <c r="Q23" s="52"/>
      <c r="R23" s="52"/>
      <c r="S23" s="52"/>
      <c r="T23" s="52"/>
      <c r="U23" s="53"/>
    </row>
    <row r="24" s="3" customFormat="1" ht="15" customHeight="1" spans="1:21">
      <c r="A24" s="40">
        <v>0.708333333333334</v>
      </c>
      <c r="B24" s="41" t="s">
        <v>11</v>
      </c>
      <c r="C24" s="42"/>
      <c r="D24" s="41">
        <v>418</v>
      </c>
      <c r="E24" s="42"/>
      <c r="F24" s="41" t="s">
        <v>26</v>
      </c>
      <c r="G24" s="42"/>
      <c r="H24" s="43">
        <f t="shared" si="0"/>
        <v>418</v>
      </c>
      <c r="I24" s="44">
        <f t="shared" si="1"/>
        <v>418</v>
      </c>
      <c r="J24" s="45">
        <f t="shared" si="2"/>
        <v>1</v>
      </c>
      <c r="K24" s="46">
        <v>0.708333333333333</v>
      </c>
      <c r="L24" s="47">
        <v>2700</v>
      </c>
      <c r="M24" s="54">
        <v>163.47</v>
      </c>
      <c r="N24" s="49">
        <f t="shared" si="3"/>
        <v>479.999999999905</v>
      </c>
      <c r="O24" s="56"/>
      <c r="P24" s="51"/>
      <c r="Q24" s="52"/>
      <c r="R24" s="52"/>
      <c r="S24" s="52"/>
      <c r="T24" s="52"/>
      <c r="U24" s="53"/>
    </row>
    <row r="25" s="3" customFormat="1" ht="15" customHeight="1" spans="1:21">
      <c r="A25" s="40">
        <v>0.75</v>
      </c>
      <c r="B25" s="41" t="s">
        <v>11</v>
      </c>
      <c r="C25" s="42"/>
      <c r="D25" s="41">
        <v>443</v>
      </c>
      <c r="E25" s="42"/>
      <c r="F25" s="41" t="s">
        <v>26</v>
      </c>
      <c r="G25" s="42"/>
      <c r="H25" s="43">
        <f t="shared" si="0"/>
        <v>443</v>
      </c>
      <c r="I25" s="44">
        <f t="shared" si="1"/>
        <v>443</v>
      </c>
      <c r="J25" s="45">
        <f t="shared" si="2"/>
        <v>1</v>
      </c>
      <c r="K25" s="46">
        <v>0.75</v>
      </c>
      <c r="L25" s="47">
        <v>2400</v>
      </c>
      <c r="M25" s="54">
        <v>163.51</v>
      </c>
      <c r="N25" s="49">
        <f t="shared" si="3"/>
        <v>720.000000000027</v>
      </c>
      <c r="O25" s="56"/>
      <c r="P25" s="51"/>
      <c r="Q25" s="52"/>
      <c r="R25" s="52"/>
      <c r="S25" s="52"/>
      <c r="T25" s="52"/>
      <c r="U25" s="53"/>
    </row>
    <row r="26" s="3" customFormat="1" ht="15" customHeight="1" spans="1:21">
      <c r="A26" s="40">
        <v>0.791666666666667</v>
      </c>
      <c r="B26" s="41" t="s">
        <v>11</v>
      </c>
      <c r="C26" s="42"/>
      <c r="D26" s="41">
        <v>312</v>
      </c>
      <c r="E26" s="42"/>
      <c r="F26" s="41">
        <v>328</v>
      </c>
      <c r="G26" s="42"/>
      <c r="H26" s="43">
        <f t="shared" si="0"/>
        <v>640</v>
      </c>
      <c r="I26" s="44">
        <f t="shared" si="1"/>
        <v>320</v>
      </c>
      <c r="J26" s="45">
        <f t="shared" si="2"/>
        <v>2</v>
      </c>
      <c r="K26" s="46">
        <v>0.791666666666666</v>
      </c>
      <c r="L26" s="47">
        <v>2100</v>
      </c>
      <c r="M26" s="54">
        <v>163.57</v>
      </c>
      <c r="N26" s="49">
        <f t="shared" si="3"/>
        <v>720.000000000027</v>
      </c>
      <c r="O26" s="56"/>
      <c r="P26" s="51"/>
      <c r="Q26" s="52"/>
      <c r="R26" s="52"/>
      <c r="S26" s="52"/>
      <c r="T26" s="52"/>
      <c r="U26" s="53"/>
    </row>
    <row r="27" s="3" customFormat="1" ht="15" customHeight="1" spans="1:21">
      <c r="A27" s="40">
        <v>0.833333333333334</v>
      </c>
      <c r="B27" s="41" t="s">
        <v>11</v>
      </c>
      <c r="C27" s="42"/>
      <c r="D27" s="41">
        <v>353</v>
      </c>
      <c r="E27" s="42"/>
      <c r="F27" s="41">
        <v>328</v>
      </c>
      <c r="G27" s="42"/>
      <c r="H27" s="43">
        <f t="shared" si="0"/>
        <v>681</v>
      </c>
      <c r="I27" s="44">
        <f t="shared" si="1"/>
        <v>340.5</v>
      </c>
      <c r="J27" s="45">
        <f t="shared" si="2"/>
        <v>2</v>
      </c>
      <c r="K27" s="46">
        <v>0.833333333333333</v>
      </c>
      <c r="L27" s="47">
        <v>2100</v>
      </c>
      <c r="M27" s="54">
        <v>163.63</v>
      </c>
      <c r="N27" s="49">
        <f t="shared" si="3"/>
        <v>839.999999999918</v>
      </c>
      <c r="O27" s="56"/>
      <c r="P27" s="51"/>
      <c r="Q27" s="52"/>
      <c r="R27" s="52"/>
      <c r="S27" s="52"/>
      <c r="T27" s="52"/>
      <c r="U27" s="53"/>
    </row>
    <row r="28" s="4" customFormat="1" ht="15" customHeight="1" spans="1:21">
      <c r="A28" s="40">
        <v>0.875</v>
      </c>
      <c r="B28" s="41" t="s">
        <v>11</v>
      </c>
      <c r="C28" s="42"/>
      <c r="D28" s="41">
        <v>322</v>
      </c>
      <c r="E28" s="42"/>
      <c r="F28" s="41">
        <v>351</v>
      </c>
      <c r="G28" s="42"/>
      <c r="H28" s="43">
        <f t="shared" si="0"/>
        <v>673</v>
      </c>
      <c r="I28" s="44">
        <f t="shared" si="1"/>
        <v>336.5</v>
      </c>
      <c r="J28" s="45">
        <f t="shared" si="2"/>
        <v>2</v>
      </c>
      <c r="K28" s="46">
        <v>0.875</v>
      </c>
      <c r="L28" s="47">
        <v>1800</v>
      </c>
      <c r="M28" s="54">
        <v>163.7</v>
      </c>
      <c r="N28" s="49">
        <f t="shared" si="3"/>
        <v>600.000000000136</v>
      </c>
      <c r="O28" s="56"/>
      <c r="P28" s="51"/>
      <c r="Q28" s="52"/>
      <c r="R28" s="52"/>
      <c r="S28" s="52"/>
      <c r="T28" s="52"/>
      <c r="U28" s="53"/>
    </row>
    <row r="29" s="3" customFormat="1" ht="15" customHeight="1" spans="1:21">
      <c r="A29" s="40">
        <v>0.916666666666667</v>
      </c>
      <c r="B29" s="41" t="s">
        <v>11</v>
      </c>
      <c r="C29" s="42"/>
      <c r="D29" s="41">
        <v>315</v>
      </c>
      <c r="E29" s="42"/>
      <c r="F29" s="41">
        <v>300</v>
      </c>
      <c r="G29" s="42"/>
      <c r="H29" s="43">
        <f t="shared" si="0"/>
        <v>615</v>
      </c>
      <c r="I29" s="44">
        <f t="shared" si="1"/>
        <v>307.5</v>
      </c>
      <c r="J29" s="45">
        <f t="shared" si="2"/>
        <v>2</v>
      </c>
      <c r="K29" s="46">
        <v>0.916666666666666</v>
      </c>
      <c r="L29" s="47">
        <v>1800</v>
      </c>
      <c r="M29" s="54">
        <v>163.75</v>
      </c>
      <c r="N29" s="49">
        <f t="shared" si="3"/>
        <v>720.000000000027</v>
      </c>
      <c r="O29" s="56"/>
      <c r="P29" s="51"/>
      <c r="Q29" s="52"/>
      <c r="R29" s="52"/>
      <c r="S29" s="52"/>
      <c r="T29" s="52"/>
      <c r="U29" s="53"/>
    </row>
    <row r="30" s="3" customFormat="1" ht="15" customHeight="1" spans="1:21">
      <c r="A30" s="40">
        <v>0.958333333333334</v>
      </c>
      <c r="B30" s="41" t="s">
        <v>11</v>
      </c>
      <c r="C30" s="42"/>
      <c r="D30" s="41">
        <v>285</v>
      </c>
      <c r="E30" s="42"/>
      <c r="F30" s="41">
        <v>274</v>
      </c>
      <c r="G30" s="42"/>
      <c r="H30" s="43">
        <f t="shared" si="0"/>
        <v>559</v>
      </c>
      <c r="I30" s="44">
        <f t="shared" si="1"/>
        <v>279.5</v>
      </c>
      <c r="J30" s="45">
        <f t="shared" si="2"/>
        <v>2</v>
      </c>
      <c r="K30" s="46">
        <v>0.958333333333333</v>
      </c>
      <c r="L30" s="47">
        <v>1800</v>
      </c>
      <c r="M30" s="54">
        <v>163.81</v>
      </c>
      <c r="N30" s="49">
        <f t="shared" si="3"/>
        <v>600.000000000136</v>
      </c>
      <c r="O30" s="56"/>
      <c r="P30" s="51"/>
      <c r="Q30" s="52"/>
      <c r="R30" s="52"/>
      <c r="S30" s="52"/>
      <c r="T30" s="52"/>
      <c r="U30" s="53"/>
    </row>
    <row r="31" s="2" customFormat="1" ht="15" customHeight="1" spans="1:21">
      <c r="A31" s="57">
        <v>1</v>
      </c>
      <c r="B31" s="41" t="s">
        <v>11</v>
      </c>
      <c r="C31" s="42"/>
      <c r="D31" s="41">
        <v>274</v>
      </c>
      <c r="E31" s="42"/>
      <c r="F31" s="41">
        <v>261</v>
      </c>
      <c r="G31" s="42"/>
      <c r="H31" s="43">
        <f t="shared" si="0"/>
        <v>535</v>
      </c>
      <c r="I31" s="58">
        <f t="shared" si="1"/>
        <v>267.5</v>
      </c>
      <c r="J31" s="59">
        <f t="shared" si="2"/>
        <v>2</v>
      </c>
      <c r="K31" s="60">
        <v>1</v>
      </c>
      <c r="L31" s="47">
        <v>4500</v>
      </c>
      <c r="M31" s="61">
        <v>163.86</v>
      </c>
      <c r="N31" s="49">
        <f>H31</f>
        <v>535</v>
      </c>
      <c r="O31" s="56"/>
      <c r="P31" s="51"/>
      <c r="Q31" s="52"/>
      <c r="R31" s="52"/>
      <c r="S31" s="52"/>
      <c r="T31" s="52"/>
      <c r="U31" s="53"/>
    </row>
    <row r="32" s="3" customFormat="1" ht="23.25" customHeight="1" spans="1:21">
      <c r="A32" s="62" t="s">
        <v>12</v>
      </c>
      <c r="B32" s="63">
        <f>SUM(B8:B31)/1000</f>
        <v>0</v>
      </c>
      <c r="C32" s="64"/>
      <c r="D32" s="63">
        <f>SUM(D8:D31)/1000</f>
        <v>5.164</v>
      </c>
      <c r="E32" s="64"/>
      <c r="F32" s="63">
        <f>SUM(F8:F31)/1000</f>
        <v>6.035</v>
      </c>
      <c r="G32" s="64"/>
      <c r="H32" s="65">
        <f>SUM(H8:H31)</f>
        <v>11199</v>
      </c>
      <c r="I32" s="66" t="s">
        <v>13</v>
      </c>
      <c r="J32" s="67"/>
      <c r="K32" s="68"/>
      <c r="L32" s="69"/>
      <c r="M32" s="70">
        <f>SUM(M31-M8+N8)</f>
        <v>360.990000000014</v>
      </c>
      <c r="N32" s="71">
        <f>SUM(N8:N31)</f>
        <v>11944.0000000002</v>
      </c>
      <c r="O32" s="72">
        <f>SUM(O8:O31)</f>
        <v>0</v>
      </c>
      <c r="P32" s="73"/>
      <c r="Q32" s="74"/>
      <c r="R32" s="74"/>
      <c r="S32" s="74"/>
      <c r="T32" s="74"/>
      <c r="U32" s="75"/>
    </row>
    <row r="33" ht="15" customHeight="1" spans="1:29">
      <c r="A33" s="76" t="s">
        <v>14</v>
      </c>
      <c r="B33" s="77" t="str">
        <f>IFERROR((AVERAGE(B8:B31)),"0")</f>
        <v>0</v>
      </c>
      <c r="C33" s="78"/>
      <c r="D33" s="79">
        <f>IFERROR((AVERAGE(D8:D31)),"0")</f>
        <v>303.764705882353</v>
      </c>
      <c r="E33" s="78"/>
      <c r="F33" s="79">
        <f>IFERROR((AVERAGE(F8:F31)),"0")</f>
        <v>287.380952380952</v>
      </c>
      <c r="G33" s="80"/>
      <c r="H33" s="81">
        <f>H32*1000</f>
        <v>11199000</v>
      </c>
      <c r="I33" s="82" t="s">
        <v>15</v>
      </c>
      <c r="J33" s="83"/>
      <c r="K33" s="84"/>
      <c r="L33" s="85"/>
      <c r="M33" s="86"/>
      <c r="N33" s="85"/>
      <c r="O33" s="87"/>
      <c r="P33" s="87"/>
      <c r="Q33" s="88"/>
      <c r="R33" s="88"/>
      <c r="S33" s="89"/>
      <c r="T33" s="89"/>
      <c r="U33" s="89"/>
      <c r="V33" s="89"/>
    </row>
    <row r="34" ht="18.75" customHeight="1" spans="1:29">
      <c r="A34" s="90"/>
      <c r="B34" s="91"/>
      <c r="C34" s="92"/>
      <c r="D34" s="93"/>
      <c r="E34" s="92"/>
      <c r="F34" s="93"/>
      <c r="G34" s="94"/>
      <c r="H34" s="95"/>
      <c r="I34" s="96"/>
      <c r="J34" s="97"/>
      <c r="K34" s="98"/>
      <c r="L34" s="85"/>
      <c r="M34" s="86"/>
      <c r="N34" s="99"/>
      <c r="O34" s="99"/>
      <c r="P34" s="99"/>
      <c r="Q34" s="99"/>
      <c r="R34" s="88"/>
      <c r="S34" s="89"/>
      <c r="T34" s="89"/>
      <c r="U34" s="89"/>
      <c r="V34" s="89"/>
    </row>
    <row r="35" ht="22.5" customHeight="1" spans="1:29">
      <c r="A35" s="100" t="s">
        <v>16</v>
      </c>
      <c r="B35" s="101">
        <f>COUNT(B8:B31)</f>
        <v>0</v>
      </c>
      <c r="C35" s="102"/>
      <c r="D35" s="103">
        <f>COUNT(D8:D31)</f>
        <v>17</v>
      </c>
      <c r="E35" s="102"/>
      <c r="F35" s="103">
        <f>COUNT(F8:F31)</f>
        <v>21</v>
      </c>
      <c r="G35" s="104"/>
      <c r="H35" s="105"/>
      <c r="I35" s="106"/>
      <c r="J35" s="107"/>
      <c r="K35" s="107"/>
      <c r="L35" s="107"/>
      <c r="M35" s="107"/>
      <c r="N35" s="99"/>
      <c r="O35" s="99"/>
      <c r="P35" s="99"/>
      <c r="Q35" s="99"/>
      <c r="R35" s="108"/>
      <c r="S35" s="89"/>
      <c r="T35" s="89"/>
      <c r="U35" s="89"/>
      <c r="V35" s="89"/>
    </row>
    <row r="36" ht="9" customHeight="1" spans="1:29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10"/>
      <c r="N36" s="106"/>
      <c r="O36" s="107"/>
      <c r="P36" s="107"/>
      <c r="Q36" s="107"/>
      <c r="R36" s="107"/>
      <c r="S36" s="107"/>
      <c r="T36" s="107"/>
      <c r="U36" s="111"/>
      <c r="V36" s="112"/>
      <c r="W36" s="108"/>
      <c r="X36" s="108"/>
      <c r="Y36" s="108"/>
      <c r="Z36" s="89"/>
      <c r="AA36" s="89"/>
      <c r="AB36" s="89"/>
      <c r="AC36" s="89"/>
    </row>
    <row r="37" ht="24" customHeight="1" spans="1:29">
      <c r="D37" s="113"/>
      <c r="E37" s="113"/>
      <c r="F37" s="113"/>
      <c r="G37" s="113"/>
      <c r="H37" s="113"/>
      <c r="I37" s="113"/>
      <c r="J37" s="113"/>
      <c r="K37" s="114"/>
      <c r="L37" s="114"/>
      <c r="N37" s="115" t="s">
        <v>17</v>
      </c>
      <c r="O37" s="116"/>
      <c r="P37" s="116"/>
      <c r="Q37" s="117"/>
      <c r="R37" s="118">
        <f>SUM(B35:F35)</f>
        <v>38</v>
      </c>
      <c r="S37" s="69"/>
      <c r="T37" s="69"/>
      <c r="U37" s="69"/>
      <c r="V37" s="69"/>
      <c r="X37" s="119"/>
      <c r="Y37" s="119"/>
      <c r="Z37" s="119"/>
      <c r="AA37" s="119"/>
      <c r="AB37" s="119"/>
      <c r="AC37" s="114"/>
    </row>
    <row r="38" ht="15" spans="1:29">
      <c r="D38" s="113"/>
      <c r="E38" s="113"/>
      <c r="F38" s="113"/>
      <c r="G38" s="113"/>
      <c r="H38" s="113"/>
      <c r="I38" s="113"/>
      <c r="J38" s="113"/>
      <c r="K38" s="114"/>
      <c r="L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</row>
    <row r="39" ht="24.75" customHeight="1" spans="1:29">
      <c r="A39" s="120" t="s">
        <v>18</v>
      </c>
      <c r="B39" s="121"/>
      <c r="C39" s="122">
        <f>MAX(H8:H31)</f>
        <v>681</v>
      </c>
      <c r="D39" s="123"/>
      <c r="E39" s="124">
        <f>VLOOKUP(C39,H8:L31,4,FALSE)</f>
        <v>0.833333333333333</v>
      </c>
      <c r="F39" s="125"/>
      <c r="G39" s="125"/>
      <c r="H39" s="126" t="s">
        <v>19</v>
      </c>
      <c r="I39" s="127"/>
      <c r="J39" s="128"/>
      <c r="K39" s="129">
        <f>MAX(J8:J31)</f>
        <v>2</v>
      </c>
      <c r="L39" s="130"/>
      <c r="N39" s="131" t="s">
        <v>20</v>
      </c>
      <c r="O39" s="132"/>
      <c r="P39" s="132"/>
      <c r="Q39" s="133"/>
      <c r="R39" s="134">
        <f>AVERAGE(H8:H31)</f>
        <v>466.625</v>
      </c>
      <c r="S39" s="135"/>
      <c r="T39" s="135"/>
    </row>
    <row r="40" ht="15" spans="1:29">
      <c r="C40" s="136"/>
      <c r="D40" s="137"/>
      <c r="E40" s="138"/>
      <c r="F40" s="138"/>
      <c r="G40" s="138"/>
      <c r="H40" s="138"/>
      <c r="I40" s="139"/>
      <c r="J40" s="106"/>
      <c r="K40" s="110"/>
      <c r="L40" s="110"/>
      <c r="N40" s="140"/>
      <c r="O40" s="140"/>
      <c r="P40" s="140"/>
      <c r="Q40" s="140"/>
      <c r="R40" s="140"/>
      <c r="X40" s="5"/>
      <c r="Y40" s="5"/>
      <c r="Z40" s="5"/>
      <c r="AA40" s="5"/>
      <c r="AB40" s="5"/>
      <c r="AC40" s="141"/>
    </row>
    <row r="41" ht="24.75" customHeight="1" spans="1:29">
      <c r="A41" s="120" t="s">
        <v>21</v>
      </c>
      <c r="B41" s="121"/>
      <c r="C41" s="122">
        <f>MIN(H8:H31)</f>
        <v>217</v>
      </c>
      <c r="D41" s="123"/>
      <c r="E41" s="124">
        <f>VLOOKUP(C41,H8:L31,4,FALSE)</f>
        <v>0.166666666666667</v>
      </c>
      <c r="F41" s="142"/>
      <c r="G41" s="125"/>
      <c r="H41" s="126" t="s">
        <v>22</v>
      </c>
      <c r="I41" s="127"/>
      <c r="J41" s="128"/>
      <c r="K41" s="129">
        <f>MIN(J8:J31)</f>
        <v>1</v>
      </c>
      <c r="L41" s="130"/>
      <c r="N41" s="126" t="s">
        <v>23</v>
      </c>
      <c r="O41" s="127"/>
      <c r="P41" s="127"/>
      <c r="Q41" s="128"/>
      <c r="R41" s="143">
        <f>AVERAGE(I8:I31)</f>
        <v>304.291666666667</v>
      </c>
      <c r="S41" s="144"/>
      <c r="T41" s="144"/>
      <c r="U41" s="144"/>
      <c r="V41" s="144"/>
      <c r="X41" s="145"/>
    </row>
    <row r="42" ht="15" spans="1:29">
      <c r="D42" s="138"/>
      <c r="E42" s="138"/>
      <c r="F42" s="138"/>
      <c r="G42" s="138"/>
      <c r="H42" s="138"/>
      <c r="I42" s="146"/>
      <c r="J42" s="138"/>
      <c r="K42" s="147"/>
      <c r="L42" s="147"/>
      <c r="V42" s="148"/>
      <c r="W42" s="148"/>
      <c r="X42" s="149"/>
      <c r="Y42" s="149"/>
      <c r="Z42" s="150"/>
      <c r="AA42" s="150"/>
      <c r="AB42" s="150"/>
      <c r="AC42" s="150"/>
    </row>
    <row r="43" ht="24.75" customHeight="1" spans="1:29">
      <c r="C43" s="136"/>
      <c r="H43" s="151"/>
      <c r="I43" s="151"/>
      <c r="J43" s="151"/>
      <c r="K43" s="145"/>
      <c r="L43" s="139"/>
      <c r="N43" s="152" t="s">
        <v>24</v>
      </c>
      <c r="O43" s="153"/>
      <c r="P43" s="153"/>
      <c r="Q43" s="154"/>
      <c r="R43" s="155" t="e">
        <f>AVERAGE(T8:T31)</f>
        <v>#DIV/0!</v>
      </c>
      <c r="X43" s="156"/>
      <c r="Z43" s="157"/>
      <c r="AA43" s="157"/>
      <c r="AB43" s="157"/>
      <c r="AC43" s="157"/>
    </row>
    <row r="44" ht="19.5" spans="1:29">
      <c r="I44" s="158"/>
      <c r="K44" s="159"/>
      <c r="L44" s="159"/>
      <c r="Z44" s="160"/>
      <c r="AA44" s="160"/>
      <c r="AB44" s="160"/>
      <c r="AC44" s="160"/>
    </row>
    <row r="45" ht="24.75" customHeight="1" spans="1:29">
      <c r="D45" s="158"/>
      <c r="E45" s="158"/>
      <c r="F45" s="158"/>
      <c r="G45" s="158"/>
      <c r="H45" s="158"/>
      <c r="N45" s="126" t="s">
        <v>25</v>
      </c>
      <c r="O45" s="127"/>
      <c r="P45" s="127"/>
      <c r="Q45" s="128"/>
      <c r="R45" s="161">
        <f>SUM(M32-H32)/24</f>
        <v>-451.583749999999</v>
      </c>
      <c r="X45" s="162"/>
      <c r="Z45" s="163"/>
      <c r="AA45" s="163"/>
      <c r="AB45" s="163"/>
      <c r="AC45" s="163"/>
    </row>
    <row r="46" spans="1:29">
      <c r="Z46" s="164"/>
      <c r="AA46" s="164"/>
      <c r="AB46" s="164"/>
      <c r="AC46" s="164"/>
    </row>
    <row r="47" spans="1:29">
      <c r="Z47" s="139"/>
      <c r="AA47" s="139"/>
      <c r="AB47" s="139"/>
      <c r="AC47" s="139"/>
    </row>
    <row r="48" spans="1:29">
      <c r="Z48" s="139"/>
      <c r="AA48" s="139"/>
      <c r="AB48" s="139"/>
      <c r="AC48" s="139"/>
    </row>
    <row r="49" spans="11:29">
      <c r="Z49" s="157"/>
      <c r="AA49" s="157"/>
      <c r="AB49" s="157"/>
      <c r="AC49" s="157"/>
    </row>
    <row r="50" spans="11:29">
      <c r="Z50" s="157"/>
      <c r="AA50" s="157"/>
      <c r="AB50" s="157"/>
      <c r="AC50" s="157"/>
    </row>
    <row r="51" spans="11:29">
      <c r="K51" s="150"/>
      <c r="L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0"/>
      <c r="AC51" s="150"/>
    </row>
    <row r="52" spans="11:29">
      <c r="K52" s="150"/>
      <c r="L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  <c r="AB52" s="150"/>
      <c r="AC52" s="150"/>
    </row>
    <row r="53" spans="11:29">
      <c r="K53" s="150"/>
      <c r="L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50"/>
      <c r="AB53" s="150"/>
      <c r="AC53" s="150"/>
    </row>
    <row r="60" spans="11:29">
      <c r="O60" s="165"/>
      <c r="P60" s="165"/>
      <c r="Q60" s="165"/>
      <c r="R60" s="165"/>
      <c r="S60" s="165"/>
      <c r="T60" s="165"/>
    </row>
    <row r="61" spans="11:29">
      <c r="O61" s="165"/>
      <c r="P61" s="165"/>
      <c r="Q61" s="165"/>
      <c r="R61" s="165"/>
      <c r="S61" s="165"/>
      <c r="T61" s="165"/>
    </row>
    <row r="62" spans="11:29">
      <c r="O62" s="165"/>
      <c r="P62" s="165"/>
      <c r="Q62" s="165"/>
      <c r="R62" s="165"/>
      <c r="S62" s="165"/>
      <c r="T62" s="165"/>
    </row>
    <row r="63" spans="11:29">
      <c r="O63" s="165"/>
      <c r="P63" s="165"/>
      <c r="Q63" s="165"/>
      <c r="R63" s="165"/>
      <c r="S63" s="165"/>
      <c r="T63" s="165"/>
    </row>
    <row r="64" spans="11:29">
      <c r="O64" s="165"/>
      <c r="P64" s="165"/>
      <c r="Q64" s="165"/>
      <c r="R64" s="165"/>
      <c r="S64" s="165"/>
      <c r="T64" s="165"/>
    </row>
    <row r="65" spans="15:20">
      <c r="O65" s="165"/>
      <c r="P65" s="165"/>
      <c r="Q65" s="165"/>
      <c r="R65" s="165"/>
      <c r="S65" s="165"/>
      <c r="T65" s="165"/>
    </row>
    <row r="66" spans="15:20">
      <c r="O66" s="165"/>
      <c r="P66" s="165"/>
      <c r="Q66" s="165"/>
      <c r="R66" s="165"/>
      <c r="S66" s="165"/>
      <c r="T66" s="165"/>
    </row>
    <row r="67" spans="15:20">
      <c r="O67" s="165"/>
      <c r="P67" s="165"/>
      <c r="Q67" s="165"/>
      <c r="R67" s="165"/>
      <c r="S67" s="165"/>
      <c r="T67" s="165"/>
    </row>
    <row r="68" spans="15:20">
      <c r="O68" s="165"/>
      <c r="P68" s="165"/>
      <c r="Q68" s="165"/>
      <c r="R68" s="165"/>
      <c r="S68" s="165"/>
      <c r="T68" s="165"/>
    </row>
  </sheetData>
  <mergeCells count="116">
    <mergeCell ref="H4:K4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B29:C29"/>
    <mergeCell ref="D29:E29"/>
    <mergeCell ref="F29:G2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N34:Q34"/>
    <mergeCell ref="B35:C35"/>
    <mergeCell ref="D35:E35"/>
    <mergeCell ref="F35:G35"/>
    <mergeCell ref="N35:Q35"/>
    <mergeCell ref="N37:Q37"/>
    <mergeCell ref="A39:B39"/>
    <mergeCell ref="C39:D39"/>
    <mergeCell ref="H39:J39"/>
    <mergeCell ref="N39:Q39"/>
    <mergeCell ref="A41:B41"/>
    <mergeCell ref="C41:D41"/>
    <mergeCell ref="H41:J41"/>
    <mergeCell ref="N41:Q41"/>
    <mergeCell ref="H43:J43"/>
    <mergeCell ref="N43:Q43"/>
    <mergeCell ref="N45:Q45"/>
    <mergeCell ref="A6:A7"/>
    <mergeCell ref="A33:A34"/>
    <mergeCell ref="H6:H7"/>
    <mergeCell ref="H33:H34"/>
    <mergeCell ref="I6:I7"/>
    <mergeCell ref="I33:I34"/>
    <mergeCell ref="J6:J7"/>
    <mergeCell ref="K6:K7"/>
    <mergeCell ref="L6:L7"/>
    <mergeCell ref="M6:M7"/>
    <mergeCell ref="N6:N7"/>
    <mergeCell ref="O6:O7"/>
    <mergeCell ref="T6:T7"/>
    <mergeCell ref="U6:U7"/>
    <mergeCell ref="B33:C34"/>
    <mergeCell ref="D33:E34"/>
    <mergeCell ref="F33:G34"/>
  </mergeCells>
  <conditionalFormatting sqref="O8">
    <cfRule type="cellIs" dxfId="0" priority="10" operator="equal">
      <formula>"N/A"</formula>
    </cfRule>
  </conditionalFormatting>
  <conditionalFormatting sqref="A30">
    <cfRule type="cellIs" dxfId="1" priority="11" operator="equal">
      <formula>"STB"</formula>
    </cfRule>
    <cfRule type="cellIs" dxfId="0" priority="12" operator="equal">
      <formula>"BD"</formula>
    </cfRule>
  </conditionalFormatting>
  <conditionalFormatting sqref="B8:B31">
    <cfRule type="cellIs" dxfId="1" priority="1" operator="equal">
      <formula>"STB"</formula>
    </cfRule>
    <cfRule type="cellIs" dxfId="0" priority="2" operator="equal">
      <formula>"BD"</formula>
    </cfRule>
  </conditionalFormatting>
  <conditionalFormatting sqref="D8:D31">
    <cfRule type="cellIs" dxfId="1" priority="8" operator="equal">
      <formula>"STB"</formula>
    </cfRule>
    <cfRule type="cellIs" dxfId="0" priority="9" operator="equal">
      <formula>"BD"</formula>
    </cfRule>
  </conditionalFormatting>
  <conditionalFormatting sqref="F8:F31">
    <cfRule type="cellIs" dxfId="1" priority="3" operator="equal">
      <formula>"STB"</formula>
    </cfRule>
    <cfRule type="cellIs" dxfId="0" priority="4" operator="equal">
      <formula>"BD"</formula>
    </cfRule>
  </conditionalFormatting>
  <conditionalFormatting sqref="H8:H31">
    <cfRule type="top10" dxfId="2" priority="5" bottom="1" rank="1"/>
    <cfRule type="top10" dxfId="3" priority="6" rank="1"/>
    <cfRule type="cellIs" dxfId="4" priority="7" stopIfTrue="1" operator="equal">
      <formula>28000</formula>
    </cfRule>
  </conditionalFormatting>
  <conditionalFormatting sqref="H32:H33">
    <cfRule type="top10" dxfId="2" priority="14" bottom="1" rank="1"/>
    <cfRule type="top10" dxfId="3" priority="15" rank="1"/>
    <cfRule type="cellIs" dxfId="4" priority="17" stopIfTrue="1" operator="equal">
      <formula>28000</formula>
    </cfRule>
  </conditionalFormatting>
  <conditionalFormatting sqref="Y8:Y31">
    <cfRule type="containsText" dxfId="5" priority="13" operator="between" text="-">
      <formula>NOT(ISERROR(SEARCH("-",Y8)))</formula>
    </cfRule>
  </conditionalFormatting>
  <conditionalFormatting sqref="N8 N9:O31">
    <cfRule type="cellIs" dxfId="0" priority="16" operator="equal">
      <formula>"BD"</formula>
    </cfRule>
  </conditionalFormatting>
  <pageMargins left="0.7" right="0.7" top="0.75" bottom="0.75" header="0.3" footer="0.3"/>
  <pageSetup paperSize="1" orientation="portrait" verticalDpi="36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C68"/>
  <sheetViews>
    <sheetView zoomScale="80" zoomScaleNormal="80" workbookViewId="0">
      <pane ySplit="7" topLeftCell="A9" activePane="bottomLeft" state="frozen"/>
      <selection/>
      <selection pane="bottomLeft" activeCell="A3" sqref="$A3:$XFD3"/>
    </sheetView>
  </sheetViews>
  <sheetFormatPr defaultColWidth="8.81666666666667" defaultRowHeight="14.25"/>
  <cols>
    <col min="1" max="1" width="16.725" customWidth="1"/>
    <col min="2" max="2" width="8.725" customWidth="1"/>
    <col min="3" max="7" width="5.725" customWidth="1"/>
    <col min="8" max="8" width="14.2666666666667" customWidth="1"/>
    <col min="9" max="9" width="15.1833333333333" customWidth="1"/>
    <col min="10" max="10" width="15.5416666666667" customWidth="1"/>
    <col min="11" max="11" width="7" customWidth="1"/>
    <col min="12" max="12" width="8.54166666666667" customWidth="1"/>
    <col min="13" max="13" width="11.725" style="5" customWidth="1"/>
    <col min="14" max="14" width="17.1833333333333" customWidth="1"/>
    <col min="15" max="15" width="15.45" customWidth="1"/>
    <col min="16" max="16" width="7.45" customWidth="1"/>
    <col min="17" max="17" width="9.54166666666667" customWidth="1"/>
    <col min="18" max="18" width="10" customWidth="1"/>
    <col min="19" max="20" width="9.81666666666667" customWidth="1"/>
    <col min="21" max="21" width="6.725" customWidth="1"/>
    <col min="22" max="22" width="13.8166666666667" customWidth="1"/>
    <col min="23" max="23" width="11.2666666666667" customWidth="1"/>
    <col min="24" max="24" width="9.26666666666667" customWidth="1"/>
    <col min="25" max="25" width="3.725" customWidth="1"/>
    <col min="26" max="29" width="7.725" customWidth="1"/>
    <col min="30" max="30" width="6.725" customWidth="1"/>
  </cols>
  <sheetData>
    <row r="1" ht="3" customHeight="1"/>
    <row r="2" ht="6" customHeight="1" spans="1:2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="1" customFormat="1" ht="6.75" customHeight="1" spans="1:29">
      <c r="K3" s="7"/>
      <c r="L3" s="8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17.25" customHeight="1" spans="1:29">
      <c r="A4" s="1"/>
      <c r="B4" s="10"/>
      <c r="C4" s="10"/>
      <c r="D4" s="10"/>
      <c r="E4" s="11"/>
      <c r="F4" s="11"/>
      <c r="G4" s="11"/>
      <c r="H4" s="12">
        <f>'[10]Taniwel daily'!C4</f>
        <v>45301</v>
      </c>
      <c r="I4" s="13"/>
      <c r="J4" s="13"/>
      <c r="K4" s="14"/>
      <c r="L4" s="15"/>
      <c r="M4" s="16"/>
      <c r="N4" s="10"/>
      <c r="O4" s="10"/>
      <c r="P4" s="10"/>
      <c r="Q4" s="10"/>
      <c r="R4" s="10"/>
      <c r="S4" s="10"/>
      <c r="T4" s="10"/>
      <c r="U4" s="10"/>
      <c r="V4" s="7"/>
      <c r="W4" s="7"/>
      <c r="X4" s="7"/>
      <c r="Y4" s="7"/>
      <c r="Z4" s="7"/>
      <c r="AA4" s="7"/>
      <c r="AB4" s="7"/>
      <c r="AC4" s="7"/>
    </row>
    <row r="5" ht="7.5" customHeight="1" spans="1:29">
      <c r="A5" s="1"/>
      <c r="B5" s="17"/>
      <c r="C5" s="1"/>
      <c r="D5" s="1"/>
      <c r="E5" s="1"/>
      <c r="F5" s="1"/>
      <c r="G5" s="1"/>
      <c r="H5" s="1"/>
      <c r="I5" s="1"/>
      <c r="J5" s="1"/>
      <c r="K5" s="18"/>
      <c r="L5" s="7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ht="17.25" customHeight="1" spans="1:29">
      <c r="A6" s="19" t="s">
        <v>0</v>
      </c>
      <c r="B6" s="20" t="s">
        <v>1</v>
      </c>
      <c r="C6" s="21"/>
      <c r="D6" s="20" t="s">
        <v>2</v>
      </c>
      <c r="E6" s="21"/>
      <c r="F6" s="20" t="s">
        <v>3</v>
      </c>
      <c r="G6" s="21"/>
      <c r="H6" s="22" t="s">
        <v>4</v>
      </c>
      <c r="I6" s="22" t="s">
        <v>5</v>
      </c>
      <c r="J6" s="23" t="s">
        <v>6</v>
      </c>
      <c r="K6" s="19" t="s">
        <v>0</v>
      </c>
      <c r="L6" s="24" t="s">
        <v>7</v>
      </c>
      <c r="M6" s="25" t="s">
        <v>8</v>
      </c>
      <c r="N6" s="26" t="s">
        <v>9</v>
      </c>
      <c r="O6" s="25" t="s">
        <v>10</v>
      </c>
      <c r="P6" s="27"/>
      <c r="Q6" s="28"/>
      <c r="R6" s="28"/>
      <c r="S6" s="28"/>
      <c r="T6" s="28"/>
      <c r="U6" s="29"/>
    </row>
    <row r="7" ht="15.75" customHeight="1" spans="1:29">
      <c r="A7" s="30"/>
      <c r="B7" s="31">
        <v>1</v>
      </c>
      <c r="C7" s="32"/>
      <c r="D7" s="31">
        <v>2</v>
      </c>
      <c r="E7" s="32"/>
      <c r="F7" s="31">
        <v>3</v>
      </c>
      <c r="G7" s="32"/>
      <c r="H7" s="33"/>
      <c r="I7" s="33"/>
      <c r="J7" s="34"/>
      <c r="K7" s="30"/>
      <c r="L7" s="35"/>
      <c r="M7" s="36"/>
      <c r="N7" s="37"/>
      <c r="O7" s="38"/>
      <c r="P7" s="27"/>
      <c r="Q7" s="28"/>
      <c r="R7" s="28"/>
      <c r="S7" s="28"/>
      <c r="T7" s="28"/>
      <c r="U7" s="29"/>
      <c r="X7" s="39"/>
    </row>
    <row r="8" s="2" customFormat="1" ht="15" customHeight="1" spans="1:29">
      <c r="A8" s="40">
        <v>0.0416666666666666</v>
      </c>
      <c r="B8" s="41" t="s">
        <v>11</v>
      </c>
      <c r="C8" s="42"/>
      <c r="D8" s="41">
        <v>254</v>
      </c>
      <c r="E8" s="42"/>
      <c r="F8" s="41">
        <v>260</v>
      </c>
      <c r="G8" s="42"/>
      <c r="H8" s="43">
        <f t="shared" ref="H8:H31" si="0">IF(SUM(B8:G8)/1000=0,"0",SUM(B8:G8))</f>
        <v>514</v>
      </c>
      <c r="I8" s="44">
        <f t="shared" ref="I8:I31" si="1">IFERROR(AVERAGE(B8:G8),"0")</f>
        <v>257</v>
      </c>
      <c r="J8" s="45">
        <f t="shared" ref="J8:J31" si="2">COUNT(B8:G8)</f>
        <v>2</v>
      </c>
      <c r="K8" s="46">
        <v>0.0416666666666667</v>
      </c>
      <c r="L8" s="47">
        <v>4500</v>
      </c>
      <c r="M8" s="48">
        <v>163.91</v>
      </c>
      <c r="N8" s="49">
        <f>(M9-M8)*12000</f>
        <v>600.000000000136</v>
      </c>
      <c r="O8" s="50"/>
      <c r="P8" s="51"/>
      <c r="Q8" s="52"/>
      <c r="R8" s="52"/>
      <c r="S8" s="52"/>
      <c r="T8" s="52"/>
      <c r="U8" s="53"/>
    </row>
    <row r="9" s="3" customFormat="1" ht="15" customHeight="1" spans="1:29">
      <c r="A9" s="40">
        <v>0.0833333333333333</v>
      </c>
      <c r="B9" s="41" t="s">
        <v>11</v>
      </c>
      <c r="C9" s="42"/>
      <c r="D9" s="41">
        <v>239</v>
      </c>
      <c r="E9" s="42"/>
      <c r="F9" s="41">
        <v>259</v>
      </c>
      <c r="G9" s="42"/>
      <c r="H9" s="43">
        <f t="shared" si="0"/>
        <v>498</v>
      </c>
      <c r="I9" s="44">
        <f t="shared" si="1"/>
        <v>249</v>
      </c>
      <c r="J9" s="45">
        <f t="shared" si="2"/>
        <v>2</v>
      </c>
      <c r="K9" s="46">
        <v>0.0833333333333333</v>
      </c>
      <c r="L9" s="47">
        <v>4200</v>
      </c>
      <c r="M9" s="54">
        <v>163.96</v>
      </c>
      <c r="N9" s="49">
        <f t="shared" ref="N9:N30" si="3">(M10-M9)*12000</f>
        <v>599.999999999795</v>
      </c>
      <c r="O9" s="55"/>
      <c r="P9" s="51"/>
      <c r="Q9" s="52"/>
      <c r="R9" s="52"/>
      <c r="S9" s="52"/>
      <c r="T9" s="52"/>
      <c r="U9" s="53"/>
    </row>
    <row r="10" s="3" customFormat="1" ht="15" customHeight="1" spans="1:29">
      <c r="A10" s="40">
        <v>0.125</v>
      </c>
      <c r="B10" s="41" t="s">
        <v>11</v>
      </c>
      <c r="C10" s="42"/>
      <c r="D10" s="41">
        <v>240</v>
      </c>
      <c r="E10" s="42"/>
      <c r="F10" s="41">
        <v>254</v>
      </c>
      <c r="G10" s="42"/>
      <c r="H10" s="43">
        <f t="shared" si="0"/>
        <v>494</v>
      </c>
      <c r="I10" s="44">
        <f t="shared" si="1"/>
        <v>247</v>
      </c>
      <c r="J10" s="45">
        <f t="shared" si="2"/>
        <v>2</v>
      </c>
      <c r="K10" s="46">
        <v>0.125</v>
      </c>
      <c r="L10" s="47">
        <v>4200</v>
      </c>
      <c r="M10" s="54">
        <v>164.01</v>
      </c>
      <c r="N10" s="49">
        <f t="shared" si="3"/>
        <v>360.000000000014</v>
      </c>
      <c r="O10" s="56"/>
      <c r="P10" s="51"/>
      <c r="Q10" s="52"/>
      <c r="R10" s="52"/>
      <c r="S10" s="52"/>
      <c r="T10" s="52"/>
      <c r="U10" s="53"/>
    </row>
    <row r="11" s="3" customFormat="1" ht="15" customHeight="1" spans="1:29">
      <c r="A11" s="40">
        <v>0.166666666666667</v>
      </c>
      <c r="B11" s="41" t="s">
        <v>11</v>
      </c>
      <c r="C11" s="42"/>
      <c r="D11" s="41">
        <v>256</v>
      </c>
      <c r="E11" s="42"/>
      <c r="F11" s="41">
        <v>261</v>
      </c>
      <c r="G11" s="42"/>
      <c r="H11" s="43">
        <f t="shared" si="0"/>
        <v>517</v>
      </c>
      <c r="I11" s="44">
        <f t="shared" si="1"/>
        <v>258.5</v>
      </c>
      <c r="J11" s="45">
        <f t="shared" si="2"/>
        <v>2</v>
      </c>
      <c r="K11" s="46">
        <v>0.166666666666667</v>
      </c>
      <c r="L11" s="47">
        <v>4000</v>
      </c>
      <c r="M11" s="54">
        <v>164.04</v>
      </c>
      <c r="N11" s="49">
        <f t="shared" si="3"/>
        <v>360.000000000014</v>
      </c>
      <c r="O11" s="56"/>
      <c r="P11" s="51"/>
      <c r="Q11" s="52"/>
      <c r="R11" s="52"/>
      <c r="S11" s="52"/>
      <c r="T11" s="52"/>
      <c r="U11" s="53"/>
    </row>
    <row r="12" s="3" customFormat="1" ht="15" customHeight="1" spans="1:29">
      <c r="A12" s="40">
        <v>0.208333333333333</v>
      </c>
      <c r="B12" s="41" t="s">
        <v>11</v>
      </c>
      <c r="C12" s="42"/>
      <c r="D12" s="41">
        <v>348</v>
      </c>
      <c r="E12" s="42"/>
      <c r="F12" s="41">
        <v>230</v>
      </c>
      <c r="G12" s="42"/>
      <c r="H12" s="43">
        <f t="shared" si="0"/>
        <v>578</v>
      </c>
      <c r="I12" s="44">
        <f t="shared" si="1"/>
        <v>289</v>
      </c>
      <c r="J12" s="45">
        <f t="shared" si="2"/>
        <v>2</v>
      </c>
      <c r="K12" s="46">
        <v>0.208333333333333</v>
      </c>
      <c r="L12" s="47">
        <v>3900</v>
      </c>
      <c r="M12" s="54">
        <v>164.07</v>
      </c>
      <c r="N12" s="49">
        <f t="shared" si="3"/>
        <v>600.000000000136</v>
      </c>
      <c r="O12" s="56"/>
      <c r="P12" s="51"/>
      <c r="Q12" s="52"/>
      <c r="R12" s="52"/>
      <c r="S12" s="52"/>
      <c r="T12" s="52"/>
      <c r="U12" s="53"/>
    </row>
    <row r="13" s="3" customFormat="1" ht="15" customHeight="1" spans="1:29">
      <c r="A13" s="40">
        <v>0.25</v>
      </c>
      <c r="B13" s="41" t="s">
        <v>11</v>
      </c>
      <c r="C13" s="42"/>
      <c r="D13" s="41">
        <v>278</v>
      </c>
      <c r="E13" s="42"/>
      <c r="F13" s="41">
        <v>245</v>
      </c>
      <c r="G13" s="42"/>
      <c r="H13" s="43">
        <f t="shared" si="0"/>
        <v>523</v>
      </c>
      <c r="I13" s="44">
        <f t="shared" si="1"/>
        <v>261.5</v>
      </c>
      <c r="J13" s="45">
        <f t="shared" si="2"/>
        <v>2</v>
      </c>
      <c r="K13" s="46">
        <v>0.25</v>
      </c>
      <c r="L13" s="47">
        <v>3600</v>
      </c>
      <c r="M13" s="54">
        <v>164.12</v>
      </c>
      <c r="N13" s="49">
        <f t="shared" si="3"/>
        <v>720.000000000027</v>
      </c>
      <c r="O13" s="56"/>
      <c r="P13" s="51"/>
      <c r="Q13" s="52"/>
      <c r="R13" s="52"/>
      <c r="S13" s="52"/>
      <c r="T13" s="52"/>
      <c r="U13" s="53"/>
    </row>
    <row r="14" s="3" customFormat="1" ht="15" customHeight="1" spans="1:29">
      <c r="A14" s="40">
        <v>0.291666666666667</v>
      </c>
      <c r="B14" s="41" t="s">
        <v>11</v>
      </c>
      <c r="C14" s="42"/>
      <c r="D14" s="41">
        <v>269</v>
      </c>
      <c r="E14" s="42"/>
      <c r="F14" s="41">
        <v>271</v>
      </c>
      <c r="G14" s="42"/>
      <c r="H14" s="43">
        <f t="shared" si="0"/>
        <v>540</v>
      </c>
      <c r="I14" s="44">
        <f t="shared" si="1"/>
        <v>270</v>
      </c>
      <c r="J14" s="45">
        <f t="shared" si="2"/>
        <v>2</v>
      </c>
      <c r="K14" s="46">
        <v>0.291666666666667</v>
      </c>
      <c r="L14" s="47">
        <v>3600</v>
      </c>
      <c r="M14" s="54">
        <v>164.18</v>
      </c>
      <c r="N14" s="49">
        <f t="shared" si="3"/>
        <v>479.999999999905</v>
      </c>
      <c r="O14" s="56"/>
      <c r="P14" s="51"/>
      <c r="Q14" s="52"/>
      <c r="R14" s="52"/>
      <c r="S14" s="52"/>
      <c r="T14" s="52"/>
      <c r="U14" s="53"/>
    </row>
    <row r="15" s="3" customFormat="1" ht="15" customHeight="1" spans="1:29">
      <c r="A15" s="40">
        <v>0.333333333333333</v>
      </c>
      <c r="B15" s="41" t="s">
        <v>11</v>
      </c>
      <c r="C15" s="42"/>
      <c r="D15" s="41">
        <v>256</v>
      </c>
      <c r="E15" s="42"/>
      <c r="F15" s="41">
        <v>261</v>
      </c>
      <c r="G15" s="42"/>
      <c r="H15" s="43">
        <f t="shared" si="0"/>
        <v>517</v>
      </c>
      <c r="I15" s="44">
        <f t="shared" si="1"/>
        <v>258.5</v>
      </c>
      <c r="J15" s="45">
        <f t="shared" si="2"/>
        <v>2</v>
      </c>
      <c r="K15" s="46">
        <v>0.333333333333333</v>
      </c>
      <c r="L15" s="47">
        <v>3600</v>
      </c>
      <c r="M15" s="54">
        <v>164.22</v>
      </c>
      <c r="N15" s="49">
        <f t="shared" si="3"/>
        <v>600.000000000136</v>
      </c>
      <c r="O15" s="56"/>
      <c r="P15" s="51"/>
      <c r="Q15" s="52"/>
      <c r="R15" s="52"/>
      <c r="S15" s="52"/>
      <c r="T15" s="52"/>
      <c r="U15" s="53"/>
    </row>
    <row r="16" s="3" customFormat="1" ht="15" customHeight="1" spans="1:29">
      <c r="A16" s="40">
        <v>0.375</v>
      </c>
      <c r="B16" s="41" t="s">
        <v>11</v>
      </c>
      <c r="C16" s="42"/>
      <c r="D16" s="41">
        <v>253</v>
      </c>
      <c r="E16" s="42"/>
      <c r="F16" s="41">
        <v>240</v>
      </c>
      <c r="G16" s="42"/>
      <c r="H16" s="43">
        <f t="shared" si="0"/>
        <v>493</v>
      </c>
      <c r="I16" s="44">
        <f t="shared" si="1"/>
        <v>246.5</v>
      </c>
      <c r="J16" s="45">
        <f t="shared" si="2"/>
        <v>2</v>
      </c>
      <c r="K16" s="46">
        <v>0.375</v>
      </c>
      <c r="L16" s="47">
        <v>3600</v>
      </c>
      <c r="M16" s="54">
        <v>164.27</v>
      </c>
      <c r="N16" s="49">
        <f t="shared" si="3"/>
        <v>599.999999999795</v>
      </c>
      <c r="O16" s="56"/>
      <c r="P16" s="51"/>
      <c r="Q16" s="52"/>
      <c r="R16" s="52"/>
      <c r="S16" s="52"/>
      <c r="T16" s="52"/>
      <c r="U16" s="53"/>
    </row>
    <row r="17" s="3" customFormat="1" ht="15" customHeight="1" spans="1:21">
      <c r="A17" s="40">
        <v>0.416666666666667</v>
      </c>
      <c r="B17" s="41" t="s">
        <v>11</v>
      </c>
      <c r="C17" s="42"/>
      <c r="D17" s="41">
        <v>451</v>
      </c>
      <c r="E17" s="42"/>
      <c r="F17" s="41">
        <v>233</v>
      </c>
      <c r="G17" s="42"/>
      <c r="H17" s="43">
        <f t="shared" si="0"/>
        <v>684</v>
      </c>
      <c r="I17" s="44">
        <f t="shared" si="1"/>
        <v>342</v>
      </c>
      <c r="J17" s="45">
        <f t="shared" si="2"/>
        <v>2</v>
      </c>
      <c r="K17" s="46">
        <v>0.416666666666666</v>
      </c>
      <c r="L17" s="47">
        <v>3400</v>
      </c>
      <c r="M17" s="54">
        <v>164.32</v>
      </c>
      <c r="N17" s="49">
        <f t="shared" si="3"/>
        <v>480.000000000246</v>
      </c>
      <c r="O17" s="56"/>
      <c r="P17" s="51"/>
      <c r="Q17" s="52"/>
      <c r="R17" s="52"/>
      <c r="S17" s="52"/>
      <c r="T17" s="52"/>
      <c r="U17" s="53"/>
    </row>
    <row r="18" s="3" customFormat="1" ht="15" customHeight="1" spans="1:21">
      <c r="A18" s="40">
        <v>0.458333333333333</v>
      </c>
      <c r="B18" s="41" t="s">
        <v>11</v>
      </c>
      <c r="C18" s="42"/>
      <c r="D18" s="41">
        <v>456</v>
      </c>
      <c r="E18" s="42"/>
      <c r="F18" s="41" t="s">
        <v>26</v>
      </c>
      <c r="G18" s="42"/>
      <c r="H18" s="43">
        <f t="shared" si="0"/>
        <v>456</v>
      </c>
      <c r="I18" s="44">
        <f t="shared" si="1"/>
        <v>456</v>
      </c>
      <c r="J18" s="45">
        <f t="shared" si="2"/>
        <v>1</v>
      </c>
      <c r="K18" s="46">
        <v>0.458333333333333</v>
      </c>
      <c r="L18" s="47">
        <v>3300</v>
      </c>
      <c r="M18" s="54">
        <v>164.36</v>
      </c>
      <c r="N18" s="49">
        <f t="shared" si="3"/>
        <v>479.999999999905</v>
      </c>
      <c r="O18" s="56"/>
      <c r="P18" s="51"/>
      <c r="Q18" s="52"/>
      <c r="R18" s="52"/>
      <c r="S18" s="52"/>
      <c r="T18" s="52"/>
      <c r="U18" s="53"/>
    </row>
    <row r="19" s="3" customFormat="1" ht="15" customHeight="1" spans="1:21">
      <c r="A19" s="40">
        <v>0.5</v>
      </c>
      <c r="B19" s="41" t="s">
        <v>11</v>
      </c>
      <c r="C19" s="42"/>
      <c r="D19" s="41">
        <v>443</v>
      </c>
      <c r="E19" s="42"/>
      <c r="F19" s="41" t="s">
        <v>26</v>
      </c>
      <c r="G19" s="42"/>
      <c r="H19" s="43">
        <f t="shared" si="0"/>
        <v>443</v>
      </c>
      <c r="I19" s="44">
        <f t="shared" si="1"/>
        <v>443</v>
      </c>
      <c r="J19" s="45">
        <f t="shared" si="2"/>
        <v>1</v>
      </c>
      <c r="K19" s="46">
        <v>0.5</v>
      </c>
      <c r="L19" s="47">
        <v>3300</v>
      </c>
      <c r="M19" s="54">
        <v>164.4</v>
      </c>
      <c r="N19" s="49">
        <f t="shared" si="3"/>
        <v>479.999999999905</v>
      </c>
      <c r="O19" s="56"/>
      <c r="P19" s="51"/>
      <c r="Q19" s="52"/>
      <c r="R19" s="52"/>
      <c r="S19" s="52"/>
      <c r="T19" s="52"/>
      <c r="U19" s="53"/>
    </row>
    <row r="20" s="3" customFormat="1" ht="15" customHeight="1" spans="1:21">
      <c r="A20" s="40">
        <v>0.541666666666667</v>
      </c>
      <c r="B20" s="41" t="s">
        <v>11</v>
      </c>
      <c r="C20" s="42"/>
      <c r="D20" s="41">
        <v>446</v>
      </c>
      <c r="E20" s="42"/>
      <c r="F20" s="41" t="s">
        <v>26</v>
      </c>
      <c r="G20" s="42"/>
      <c r="H20" s="43">
        <f t="shared" si="0"/>
        <v>446</v>
      </c>
      <c r="I20" s="44">
        <f t="shared" si="1"/>
        <v>446</v>
      </c>
      <c r="J20" s="45">
        <f t="shared" si="2"/>
        <v>1</v>
      </c>
      <c r="K20" s="46">
        <v>0.541666666666667</v>
      </c>
      <c r="L20" s="47">
        <v>3000</v>
      </c>
      <c r="M20" s="54">
        <v>164.44</v>
      </c>
      <c r="N20" s="49">
        <f t="shared" si="3"/>
        <v>479.999999999905</v>
      </c>
      <c r="O20" s="56"/>
      <c r="P20" s="51"/>
      <c r="Q20" s="52"/>
      <c r="R20" s="52"/>
      <c r="S20" s="52"/>
      <c r="T20" s="52"/>
      <c r="U20" s="53"/>
    </row>
    <row r="21" s="3" customFormat="1" ht="15" customHeight="1" spans="1:21">
      <c r="A21" s="40">
        <v>0.583333333333333</v>
      </c>
      <c r="B21" s="41" t="s">
        <v>11</v>
      </c>
      <c r="C21" s="42"/>
      <c r="D21" s="41">
        <v>435</v>
      </c>
      <c r="E21" s="42"/>
      <c r="F21" s="41" t="s">
        <v>26</v>
      </c>
      <c r="G21" s="42"/>
      <c r="H21" s="43">
        <f t="shared" si="0"/>
        <v>435</v>
      </c>
      <c r="I21" s="44">
        <f t="shared" si="1"/>
        <v>435</v>
      </c>
      <c r="J21" s="45">
        <f t="shared" si="2"/>
        <v>1</v>
      </c>
      <c r="K21" s="46">
        <v>0.583333333333333</v>
      </c>
      <c r="L21" s="47">
        <v>3000</v>
      </c>
      <c r="M21" s="54">
        <v>164.48</v>
      </c>
      <c r="N21" s="49">
        <f t="shared" si="3"/>
        <v>480.000000000246</v>
      </c>
      <c r="O21" s="56"/>
      <c r="P21" s="51"/>
      <c r="Q21" s="52"/>
      <c r="R21" s="52"/>
      <c r="S21" s="52"/>
      <c r="T21" s="52"/>
      <c r="U21" s="53"/>
    </row>
    <row r="22" s="3" customFormat="1" ht="15" customHeight="1" spans="1:21">
      <c r="A22" s="40">
        <v>0.625</v>
      </c>
      <c r="B22" s="41" t="s">
        <v>11</v>
      </c>
      <c r="C22" s="42"/>
      <c r="D22" s="41">
        <v>421</v>
      </c>
      <c r="E22" s="42"/>
      <c r="F22" s="41" t="s">
        <v>26</v>
      </c>
      <c r="G22" s="42"/>
      <c r="H22" s="43">
        <f t="shared" si="0"/>
        <v>421</v>
      </c>
      <c r="I22" s="44">
        <f t="shared" si="1"/>
        <v>421</v>
      </c>
      <c r="J22" s="45">
        <f t="shared" si="2"/>
        <v>1</v>
      </c>
      <c r="K22" s="46">
        <v>0.625</v>
      </c>
      <c r="L22" s="47">
        <v>3000</v>
      </c>
      <c r="M22" s="54">
        <v>164.52</v>
      </c>
      <c r="N22" s="49">
        <f t="shared" si="3"/>
        <v>599.999999999795</v>
      </c>
      <c r="O22" s="56"/>
      <c r="P22" s="51"/>
      <c r="Q22" s="52"/>
      <c r="R22" s="52"/>
      <c r="S22" s="52"/>
      <c r="T22" s="52"/>
      <c r="U22" s="53"/>
    </row>
    <row r="23" s="3" customFormat="1" ht="15" customHeight="1" spans="1:21">
      <c r="A23" s="40">
        <v>0.666666666666667</v>
      </c>
      <c r="B23" s="41" t="s">
        <v>11</v>
      </c>
      <c r="C23" s="42"/>
      <c r="D23" s="41">
        <v>427</v>
      </c>
      <c r="E23" s="42"/>
      <c r="F23" s="41" t="s">
        <v>26</v>
      </c>
      <c r="G23" s="42"/>
      <c r="H23" s="43">
        <f t="shared" si="0"/>
        <v>427</v>
      </c>
      <c r="I23" s="44">
        <f t="shared" si="1"/>
        <v>427</v>
      </c>
      <c r="J23" s="45">
        <f t="shared" si="2"/>
        <v>1</v>
      </c>
      <c r="K23" s="46">
        <v>0.666666666666666</v>
      </c>
      <c r="L23" s="47">
        <v>3000</v>
      </c>
      <c r="M23" s="54">
        <v>164.57</v>
      </c>
      <c r="N23" s="49">
        <f t="shared" si="3"/>
        <v>360.000000000014</v>
      </c>
      <c r="O23" s="56"/>
      <c r="P23" s="51"/>
      <c r="Q23" s="52"/>
      <c r="R23" s="52"/>
      <c r="S23" s="52"/>
      <c r="T23" s="52"/>
      <c r="U23" s="53"/>
    </row>
    <row r="24" s="3" customFormat="1" ht="15" customHeight="1" spans="1:21">
      <c r="A24" s="40">
        <v>0.708333333333334</v>
      </c>
      <c r="B24" s="41" t="s">
        <v>11</v>
      </c>
      <c r="C24" s="42"/>
      <c r="D24" s="41">
        <v>443</v>
      </c>
      <c r="E24" s="42"/>
      <c r="F24" s="41" t="s">
        <v>26</v>
      </c>
      <c r="G24" s="42"/>
      <c r="H24" s="43">
        <f t="shared" si="0"/>
        <v>443</v>
      </c>
      <c r="I24" s="44">
        <f t="shared" si="1"/>
        <v>443</v>
      </c>
      <c r="J24" s="45">
        <f t="shared" si="2"/>
        <v>1</v>
      </c>
      <c r="K24" s="46">
        <v>0.708333333333333</v>
      </c>
      <c r="L24" s="47">
        <v>2700</v>
      </c>
      <c r="M24" s="54">
        <v>164.6</v>
      </c>
      <c r="N24" s="49">
        <f t="shared" si="3"/>
        <v>600.000000000136</v>
      </c>
      <c r="O24" s="56"/>
      <c r="P24" s="51"/>
      <c r="Q24" s="52"/>
      <c r="R24" s="52"/>
      <c r="S24" s="52"/>
      <c r="T24" s="52"/>
      <c r="U24" s="53"/>
    </row>
    <row r="25" s="3" customFormat="1" ht="15" customHeight="1" spans="1:21">
      <c r="A25" s="40">
        <v>0.75</v>
      </c>
      <c r="B25" s="41" t="s">
        <v>11</v>
      </c>
      <c r="C25" s="42"/>
      <c r="D25" s="41">
        <v>460</v>
      </c>
      <c r="E25" s="42"/>
      <c r="F25" s="41" t="s">
        <v>26</v>
      </c>
      <c r="G25" s="42"/>
      <c r="H25" s="43">
        <f t="shared" si="0"/>
        <v>460</v>
      </c>
      <c r="I25" s="44">
        <f t="shared" si="1"/>
        <v>460</v>
      </c>
      <c r="J25" s="45">
        <f t="shared" si="2"/>
        <v>1</v>
      </c>
      <c r="K25" s="46">
        <v>0.75</v>
      </c>
      <c r="L25" s="47">
        <v>2400</v>
      </c>
      <c r="M25" s="54">
        <v>164.65</v>
      </c>
      <c r="N25" s="49">
        <f t="shared" si="3"/>
        <v>599.999999999795</v>
      </c>
      <c r="O25" s="56"/>
      <c r="P25" s="51"/>
      <c r="Q25" s="52"/>
      <c r="R25" s="52"/>
      <c r="S25" s="52"/>
      <c r="T25" s="52"/>
      <c r="U25" s="53"/>
    </row>
    <row r="26" s="3" customFormat="1" ht="15" customHeight="1" spans="1:21">
      <c r="A26" s="40">
        <v>0.791666666666667</v>
      </c>
      <c r="B26" s="41" t="s">
        <v>11</v>
      </c>
      <c r="C26" s="42"/>
      <c r="D26" s="41">
        <v>316</v>
      </c>
      <c r="E26" s="42"/>
      <c r="F26" s="41">
        <v>328</v>
      </c>
      <c r="G26" s="42"/>
      <c r="H26" s="43">
        <f t="shared" si="0"/>
        <v>644</v>
      </c>
      <c r="I26" s="44">
        <f t="shared" si="1"/>
        <v>322</v>
      </c>
      <c r="J26" s="45">
        <f t="shared" si="2"/>
        <v>2</v>
      </c>
      <c r="K26" s="46">
        <v>0.791666666666666</v>
      </c>
      <c r="L26" s="47">
        <v>2100</v>
      </c>
      <c r="M26" s="54">
        <v>164.7</v>
      </c>
      <c r="N26" s="49">
        <f t="shared" si="3"/>
        <v>720.000000000027</v>
      </c>
      <c r="O26" s="56"/>
      <c r="P26" s="51"/>
      <c r="Q26" s="52"/>
      <c r="R26" s="52"/>
      <c r="S26" s="52"/>
      <c r="T26" s="52"/>
      <c r="U26" s="53"/>
    </row>
    <row r="27" s="3" customFormat="1" ht="15" customHeight="1" spans="1:21">
      <c r="A27" s="40">
        <v>0.833333333333334</v>
      </c>
      <c r="B27" s="41" t="s">
        <v>11</v>
      </c>
      <c r="C27" s="42"/>
      <c r="D27" s="41">
        <v>345</v>
      </c>
      <c r="E27" s="42"/>
      <c r="F27" s="41">
        <v>363</v>
      </c>
      <c r="G27" s="42"/>
      <c r="H27" s="43">
        <f t="shared" si="0"/>
        <v>708</v>
      </c>
      <c r="I27" s="44">
        <f t="shared" si="1"/>
        <v>354</v>
      </c>
      <c r="J27" s="45">
        <f t="shared" si="2"/>
        <v>2</v>
      </c>
      <c r="K27" s="46">
        <v>0.833333333333333</v>
      </c>
      <c r="L27" s="47">
        <v>2100</v>
      </c>
      <c r="M27" s="54">
        <v>164.76</v>
      </c>
      <c r="N27" s="49">
        <f t="shared" si="3"/>
        <v>840.000000000259</v>
      </c>
      <c r="O27" s="56"/>
      <c r="P27" s="51"/>
      <c r="Q27" s="52"/>
      <c r="R27" s="52"/>
      <c r="S27" s="52"/>
      <c r="T27" s="52"/>
      <c r="U27" s="53"/>
    </row>
    <row r="28" s="4" customFormat="1" ht="15" customHeight="1" spans="1:21">
      <c r="A28" s="40">
        <v>0.875</v>
      </c>
      <c r="B28" s="41" t="s">
        <v>11</v>
      </c>
      <c r="C28" s="42"/>
      <c r="D28" s="41">
        <v>330</v>
      </c>
      <c r="E28" s="42"/>
      <c r="F28" s="41">
        <v>326</v>
      </c>
      <c r="G28" s="42"/>
      <c r="H28" s="43">
        <f t="shared" si="0"/>
        <v>656</v>
      </c>
      <c r="I28" s="44">
        <f t="shared" si="1"/>
        <v>328</v>
      </c>
      <c r="J28" s="45">
        <f t="shared" si="2"/>
        <v>2</v>
      </c>
      <c r="K28" s="46">
        <v>0.875</v>
      </c>
      <c r="L28" s="47">
        <v>1800</v>
      </c>
      <c r="M28" s="54">
        <v>164.83</v>
      </c>
      <c r="N28" s="49">
        <f t="shared" si="3"/>
        <v>719.999999999686</v>
      </c>
      <c r="O28" s="56"/>
      <c r="P28" s="51"/>
      <c r="Q28" s="52"/>
      <c r="R28" s="52"/>
      <c r="S28" s="52"/>
      <c r="T28" s="52"/>
      <c r="U28" s="53"/>
    </row>
    <row r="29" s="3" customFormat="1" ht="15" customHeight="1" spans="1:21">
      <c r="A29" s="40">
        <v>0.916666666666667</v>
      </c>
      <c r="B29" s="41" t="s">
        <v>11</v>
      </c>
      <c r="C29" s="42"/>
      <c r="D29" s="41">
        <v>308</v>
      </c>
      <c r="E29" s="42"/>
      <c r="F29" s="41">
        <v>310</v>
      </c>
      <c r="G29" s="42"/>
      <c r="H29" s="43">
        <f t="shared" si="0"/>
        <v>618</v>
      </c>
      <c r="I29" s="44">
        <f t="shared" si="1"/>
        <v>309</v>
      </c>
      <c r="J29" s="45">
        <f t="shared" si="2"/>
        <v>2</v>
      </c>
      <c r="K29" s="46">
        <v>0.916666666666666</v>
      </c>
      <c r="L29" s="47">
        <v>1800</v>
      </c>
      <c r="M29" s="54">
        <v>164.89</v>
      </c>
      <c r="N29" s="49">
        <f t="shared" si="3"/>
        <v>600.000000000136</v>
      </c>
      <c r="O29" s="56"/>
      <c r="P29" s="51"/>
      <c r="Q29" s="52"/>
      <c r="R29" s="52"/>
      <c r="S29" s="52"/>
      <c r="T29" s="52"/>
      <c r="U29" s="53"/>
    </row>
    <row r="30" s="3" customFormat="1" ht="15" customHeight="1" spans="1:21">
      <c r="A30" s="40">
        <v>0.958333333333334</v>
      </c>
      <c r="B30" s="41" t="s">
        <v>11</v>
      </c>
      <c r="C30" s="42"/>
      <c r="D30" s="41">
        <v>290</v>
      </c>
      <c r="E30" s="42"/>
      <c r="F30" s="41">
        <v>274</v>
      </c>
      <c r="G30" s="42"/>
      <c r="H30" s="43">
        <f t="shared" si="0"/>
        <v>564</v>
      </c>
      <c r="I30" s="44">
        <f t="shared" si="1"/>
        <v>282</v>
      </c>
      <c r="J30" s="45">
        <f t="shared" si="2"/>
        <v>2</v>
      </c>
      <c r="K30" s="46">
        <v>0.958333333333333</v>
      </c>
      <c r="L30" s="47">
        <v>1800</v>
      </c>
      <c r="M30" s="54">
        <v>164.94</v>
      </c>
      <c r="N30" s="49">
        <f t="shared" si="3"/>
        <v>720.000000000027</v>
      </c>
      <c r="O30" s="56"/>
      <c r="P30" s="51"/>
      <c r="Q30" s="52"/>
      <c r="R30" s="52"/>
      <c r="S30" s="52"/>
      <c r="T30" s="52"/>
      <c r="U30" s="53"/>
    </row>
    <row r="31" s="2" customFormat="1" ht="15" customHeight="1" spans="1:21">
      <c r="A31" s="57">
        <v>1</v>
      </c>
      <c r="B31" s="41" t="s">
        <v>11</v>
      </c>
      <c r="C31" s="42"/>
      <c r="D31" s="41">
        <v>282</v>
      </c>
      <c r="E31" s="42"/>
      <c r="F31" s="41">
        <v>252</v>
      </c>
      <c r="G31" s="42"/>
      <c r="H31" s="43">
        <f t="shared" si="0"/>
        <v>534</v>
      </c>
      <c r="I31" s="58">
        <f t="shared" si="1"/>
        <v>267</v>
      </c>
      <c r="J31" s="59">
        <f t="shared" si="2"/>
        <v>2</v>
      </c>
      <c r="K31" s="60">
        <v>1</v>
      </c>
      <c r="L31" s="47">
        <v>4500</v>
      </c>
      <c r="M31" s="61">
        <v>165</v>
      </c>
      <c r="N31" s="49">
        <f>H31</f>
        <v>534</v>
      </c>
      <c r="O31" s="56"/>
      <c r="P31" s="51"/>
      <c r="Q31" s="52"/>
      <c r="R31" s="52"/>
      <c r="S31" s="52"/>
      <c r="T31" s="52"/>
      <c r="U31" s="53"/>
    </row>
    <row r="32" s="3" customFormat="1" ht="23.25" customHeight="1" spans="1:21">
      <c r="A32" s="62" t="s">
        <v>12</v>
      </c>
      <c r="B32" s="63">
        <f>SUM(B8:B31)/1000</f>
        <v>0</v>
      </c>
      <c r="C32" s="64"/>
      <c r="D32" s="63">
        <f>SUM(D8:D31)/1000</f>
        <v>8.246</v>
      </c>
      <c r="E32" s="64"/>
      <c r="F32" s="63">
        <f>SUM(F8:F31)/1000</f>
        <v>4.367</v>
      </c>
      <c r="G32" s="64"/>
      <c r="H32" s="65">
        <f>SUM(H8:H31)</f>
        <v>12613</v>
      </c>
      <c r="I32" s="66" t="s">
        <v>13</v>
      </c>
      <c r="J32" s="67"/>
      <c r="K32" s="68"/>
      <c r="L32" s="69"/>
      <c r="M32" s="70">
        <f>SUM(M31-M8+N8)</f>
        <v>601.090000000136</v>
      </c>
      <c r="N32" s="71">
        <f>SUM(N8:N31)</f>
        <v>13614</v>
      </c>
      <c r="O32" s="72">
        <f>SUM(O8:O31)</f>
        <v>0</v>
      </c>
      <c r="P32" s="73"/>
      <c r="Q32" s="74"/>
      <c r="R32" s="74"/>
      <c r="S32" s="74"/>
      <c r="T32" s="74"/>
      <c r="U32" s="75"/>
    </row>
    <row r="33" ht="15" customHeight="1" spans="1:29">
      <c r="A33" s="76" t="s">
        <v>14</v>
      </c>
      <c r="B33" s="77" t="str">
        <f>IFERROR((AVERAGE(B8:B31)),"0")</f>
        <v>0</v>
      </c>
      <c r="C33" s="78"/>
      <c r="D33" s="79">
        <f>IFERROR((AVERAGE(D8:D31)),"0")</f>
        <v>343.583333333333</v>
      </c>
      <c r="E33" s="78"/>
      <c r="F33" s="79">
        <f>IFERROR((AVERAGE(F8:F31)),"0")</f>
        <v>272.9375</v>
      </c>
      <c r="G33" s="80"/>
      <c r="H33" s="81">
        <f>H32*1000</f>
        <v>12613000</v>
      </c>
      <c r="I33" s="82" t="s">
        <v>15</v>
      </c>
      <c r="J33" s="83"/>
      <c r="K33" s="84"/>
      <c r="L33" s="85"/>
      <c r="M33" s="86"/>
      <c r="N33" s="85"/>
      <c r="O33" s="87"/>
      <c r="P33" s="87"/>
      <c r="Q33" s="88"/>
      <c r="R33" s="88"/>
      <c r="S33" s="89"/>
      <c r="T33" s="89"/>
      <c r="U33" s="89"/>
      <c r="V33" s="89"/>
    </row>
    <row r="34" ht="18.75" customHeight="1" spans="1:29">
      <c r="A34" s="90"/>
      <c r="B34" s="91"/>
      <c r="C34" s="92"/>
      <c r="D34" s="93"/>
      <c r="E34" s="92"/>
      <c r="F34" s="93"/>
      <c r="G34" s="94"/>
      <c r="H34" s="95"/>
      <c r="I34" s="96"/>
      <c r="J34" s="97"/>
      <c r="K34" s="98"/>
      <c r="L34" s="85"/>
      <c r="M34" s="86"/>
      <c r="N34" s="99"/>
      <c r="O34" s="99"/>
      <c r="P34" s="99"/>
      <c r="Q34" s="99"/>
      <c r="R34" s="88"/>
      <c r="S34" s="89"/>
      <c r="T34" s="89"/>
      <c r="U34" s="89"/>
      <c r="V34" s="89"/>
    </row>
    <row r="35" ht="22.5" customHeight="1" spans="1:29">
      <c r="A35" s="100" t="s">
        <v>16</v>
      </c>
      <c r="B35" s="101">
        <f>COUNT(B8:B31)</f>
        <v>0</v>
      </c>
      <c r="C35" s="102"/>
      <c r="D35" s="103">
        <f>COUNT(D8:D31)</f>
        <v>24</v>
      </c>
      <c r="E35" s="102"/>
      <c r="F35" s="103">
        <f>COUNT(F8:F31)</f>
        <v>16</v>
      </c>
      <c r="G35" s="104"/>
      <c r="H35" s="105"/>
      <c r="I35" s="106"/>
      <c r="J35" s="107"/>
      <c r="K35" s="107"/>
      <c r="L35" s="107"/>
      <c r="M35" s="107"/>
      <c r="N35" s="99"/>
      <c r="O35" s="99"/>
      <c r="P35" s="99"/>
      <c r="Q35" s="99"/>
      <c r="R35" s="108"/>
      <c r="S35" s="89"/>
      <c r="T35" s="89"/>
      <c r="U35" s="89"/>
      <c r="V35" s="89"/>
    </row>
    <row r="36" ht="9" customHeight="1" spans="1:29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10"/>
      <c r="N36" s="106"/>
      <c r="O36" s="107"/>
      <c r="P36" s="107"/>
      <c r="Q36" s="107"/>
      <c r="R36" s="107"/>
      <c r="S36" s="107"/>
      <c r="T36" s="107"/>
      <c r="U36" s="111"/>
      <c r="V36" s="112"/>
      <c r="W36" s="108"/>
      <c r="X36" s="108"/>
      <c r="Y36" s="108"/>
      <c r="Z36" s="89"/>
      <c r="AA36" s="89"/>
      <c r="AB36" s="89"/>
      <c r="AC36" s="89"/>
    </row>
    <row r="37" ht="24" customHeight="1" spans="1:29">
      <c r="D37" s="113"/>
      <c r="E37" s="113"/>
      <c r="F37" s="113"/>
      <c r="G37" s="113"/>
      <c r="H37" s="113"/>
      <c r="I37" s="113"/>
      <c r="J37" s="113"/>
      <c r="K37" s="114"/>
      <c r="L37" s="114"/>
      <c r="N37" s="115" t="s">
        <v>17</v>
      </c>
      <c r="O37" s="116"/>
      <c r="P37" s="116"/>
      <c r="Q37" s="117"/>
      <c r="R37" s="118">
        <f>SUM(B35:F35)</f>
        <v>40</v>
      </c>
      <c r="S37" s="69"/>
      <c r="T37" s="69"/>
      <c r="U37" s="69"/>
      <c r="V37" s="69"/>
      <c r="X37" s="119"/>
      <c r="Y37" s="119"/>
      <c r="Z37" s="119"/>
      <c r="AA37" s="119"/>
      <c r="AB37" s="119"/>
      <c r="AC37" s="114"/>
    </row>
    <row r="38" ht="15" spans="1:29">
      <c r="D38" s="113"/>
      <c r="E38" s="113"/>
      <c r="F38" s="113"/>
      <c r="G38" s="113"/>
      <c r="H38" s="113"/>
      <c r="I38" s="113"/>
      <c r="J38" s="113"/>
      <c r="K38" s="114"/>
      <c r="L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</row>
    <row r="39" ht="24.75" customHeight="1" spans="1:29">
      <c r="A39" s="120" t="s">
        <v>18</v>
      </c>
      <c r="B39" s="121"/>
      <c r="C39" s="122">
        <f>MAX(H8:H31)</f>
        <v>708</v>
      </c>
      <c r="D39" s="123"/>
      <c r="E39" s="124">
        <f>VLOOKUP(C39,H8:L31,4,FALSE)</f>
        <v>0.833333333333333</v>
      </c>
      <c r="F39" s="125"/>
      <c r="G39" s="125"/>
      <c r="H39" s="126" t="s">
        <v>19</v>
      </c>
      <c r="I39" s="127"/>
      <c r="J39" s="128"/>
      <c r="K39" s="129">
        <f>MAX(J8:J31)</f>
        <v>2</v>
      </c>
      <c r="L39" s="130"/>
      <c r="N39" s="131" t="s">
        <v>20</v>
      </c>
      <c r="O39" s="132"/>
      <c r="P39" s="132"/>
      <c r="Q39" s="133"/>
      <c r="R39" s="134">
        <f>AVERAGE(H8:H31)</f>
        <v>525.541666666667</v>
      </c>
      <c r="S39" s="135"/>
      <c r="T39" s="135"/>
    </row>
    <row r="40" ht="15" spans="1:29">
      <c r="C40" s="136"/>
      <c r="D40" s="137"/>
      <c r="E40" s="138"/>
      <c r="F40" s="138"/>
      <c r="G40" s="138"/>
      <c r="H40" s="138"/>
      <c r="I40" s="139"/>
      <c r="J40" s="106"/>
      <c r="K40" s="110"/>
      <c r="L40" s="110"/>
      <c r="N40" s="140"/>
      <c r="O40" s="140"/>
      <c r="P40" s="140"/>
      <c r="Q40" s="140"/>
      <c r="R40" s="140"/>
      <c r="X40" s="5"/>
      <c r="Y40" s="5"/>
      <c r="Z40" s="5"/>
      <c r="AA40" s="5"/>
      <c r="AB40" s="5"/>
      <c r="AC40" s="141"/>
    </row>
    <row r="41" ht="24.75" customHeight="1" spans="1:29">
      <c r="A41" s="120" t="s">
        <v>21</v>
      </c>
      <c r="B41" s="121"/>
      <c r="C41" s="122">
        <f>MIN(H8:H31)</f>
        <v>421</v>
      </c>
      <c r="D41" s="123"/>
      <c r="E41" s="124">
        <f>VLOOKUP(C41,H8:L31,4,FALSE)</f>
        <v>0.625</v>
      </c>
      <c r="F41" s="142"/>
      <c r="G41" s="125"/>
      <c r="H41" s="126" t="s">
        <v>22</v>
      </c>
      <c r="I41" s="127"/>
      <c r="J41" s="128"/>
      <c r="K41" s="129">
        <f>MIN(J8:J31)</f>
        <v>1</v>
      </c>
      <c r="L41" s="130"/>
      <c r="N41" s="126" t="s">
        <v>23</v>
      </c>
      <c r="O41" s="127"/>
      <c r="P41" s="127"/>
      <c r="Q41" s="128"/>
      <c r="R41" s="143">
        <f>AVERAGE(I8:I31)</f>
        <v>336.333333333333</v>
      </c>
      <c r="S41" s="144"/>
      <c r="T41" s="144"/>
      <c r="U41" s="144"/>
      <c r="V41" s="144"/>
      <c r="X41" s="145"/>
    </row>
    <row r="42" ht="15" spans="1:29">
      <c r="D42" s="138"/>
      <c r="E42" s="138"/>
      <c r="F42" s="138"/>
      <c r="G42" s="138"/>
      <c r="H42" s="138"/>
      <c r="I42" s="146"/>
      <c r="J42" s="138"/>
      <c r="K42" s="147"/>
      <c r="L42" s="147"/>
      <c r="V42" s="148"/>
      <c r="W42" s="148"/>
      <c r="X42" s="149"/>
      <c r="Y42" s="149"/>
      <c r="Z42" s="150"/>
      <c r="AA42" s="150"/>
      <c r="AB42" s="150"/>
      <c r="AC42" s="150"/>
    </row>
    <row r="43" ht="24.75" customHeight="1" spans="1:29">
      <c r="C43" s="136"/>
      <c r="H43" s="151"/>
      <c r="I43" s="151"/>
      <c r="J43" s="151"/>
      <c r="K43" s="145"/>
      <c r="L43" s="139"/>
      <c r="N43" s="152" t="s">
        <v>24</v>
      </c>
      <c r="O43" s="153"/>
      <c r="P43" s="153"/>
      <c r="Q43" s="154"/>
      <c r="R43" s="155" t="e">
        <f>AVERAGE(T8:T31)</f>
        <v>#DIV/0!</v>
      </c>
      <c r="X43" s="156"/>
      <c r="Z43" s="157"/>
      <c r="AA43" s="157"/>
      <c r="AB43" s="157"/>
      <c r="AC43" s="157"/>
    </row>
    <row r="44" ht="19.5" spans="1:29">
      <c r="I44" s="158"/>
      <c r="K44" s="159"/>
      <c r="L44" s="159"/>
      <c r="Z44" s="160"/>
      <c r="AA44" s="160"/>
      <c r="AB44" s="160"/>
      <c r="AC44" s="160"/>
    </row>
    <row r="45" ht="24.75" customHeight="1" spans="1:29">
      <c r="D45" s="158"/>
      <c r="E45" s="158"/>
      <c r="F45" s="158"/>
      <c r="G45" s="158"/>
      <c r="H45" s="158"/>
      <c r="N45" s="126" t="s">
        <v>25</v>
      </c>
      <c r="O45" s="127"/>
      <c r="P45" s="127"/>
      <c r="Q45" s="128"/>
      <c r="R45" s="161">
        <f>SUM(M32-H32)/24</f>
        <v>-500.496249999994</v>
      </c>
      <c r="X45" s="162"/>
      <c r="Z45" s="163"/>
      <c r="AA45" s="163"/>
      <c r="AB45" s="163"/>
      <c r="AC45" s="163"/>
    </row>
    <row r="46" spans="1:29">
      <c r="Z46" s="164"/>
      <c r="AA46" s="164"/>
      <c r="AB46" s="164"/>
      <c r="AC46" s="164"/>
    </row>
    <row r="47" spans="1:29">
      <c r="Z47" s="139"/>
      <c r="AA47" s="139"/>
      <c r="AB47" s="139"/>
      <c r="AC47" s="139"/>
    </row>
    <row r="48" spans="1:29">
      <c r="Z48" s="139"/>
      <c r="AA48" s="139"/>
      <c r="AB48" s="139"/>
      <c r="AC48" s="139"/>
    </row>
    <row r="49" spans="11:29">
      <c r="Z49" s="157"/>
      <c r="AA49" s="157"/>
      <c r="AB49" s="157"/>
      <c r="AC49" s="157"/>
    </row>
    <row r="50" spans="11:29">
      <c r="Z50" s="157"/>
      <c r="AA50" s="157"/>
      <c r="AB50" s="157"/>
      <c r="AC50" s="157"/>
    </row>
    <row r="51" spans="11:29">
      <c r="K51" s="150"/>
      <c r="L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0"/>
      <c r="AC51" s="150"/>
    </row>
    <row r="52" spans="11:29">
      <c r="K52" s="150"/>
      <c r="L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  <c r="AB52" s="150"/>
      <c r="AC52" s="150"/>
    </row>
    <row r="53" spans="11:29">
      <c r="K53" s="150"/>
      <c r="L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50"/>
      <c r="AB53" s="150"/>
      <c r="AC53" s="150"/>
    </row>
    <row r="60" spans="11:29">
      <c r="O60" s="165"/>
      <c r="P60" s="165"/>
      <c r="Q60" s="165"/>
      <c r="R60" s="165"/>
      <c r="S60" s="165"/>
      <c r="T60" s="165"/>
    </row>
    <row r="61" spans="11:29">
      <c r="O61" s="165"/>
      <c r="P61" s="165"/>
      <c r="Q61" s="165"/>
      <c r="R61" s="165"/>
      <c r="S61" s="165"/>
      <c r="T61" s="165"/>
    </row>
    <row r="62" spans="11:29">
      <c r="O62" s="165"/>
      <c r="P62" s="165"/>
      <c r="Q62" s="165"/>
      <c r="R62" s="165"/>
      <c r="S62" s="165"/>
      <c r="T62" s="165"/>
    </row>
    <row r="63" spans="11:29">
      <c r="O63" s="165"/>
      <c r="P63" s="165"/>
      <c r="Q63" s="165"/>
      <c r="R63" s="165"/>
      <c r="S63" s="165"/>
      <c r="T63" s="165"/>
    </row>
    <row r="64" spans="11:29">
      <c r="O64" s="165"/>
      <c r="P64" s="165"/>
      <c r="Q64" s="165"/>
      <c r="R64" s="165"/>
      <c r="S64" s="165"/>
      <c r="T64" s="165"/>
    </row>
    <row r="65" spans="15:20">
      <c r="O65" s="165"/>
      <c r="P65" s="165"/>
      <c r="Q65" s="165"/>
      <c r="R65" s="165"/>
      <c r="S65" s="165"/>
      <c r="T65" s="165"/>
    </row>
    <row r="66" spans="15:20">
      <c r="O66" s="165"/>
      <c r="P66" s="165"/>
      <c r="Q66" s="165"/>
      <c r="R66" s="165"/>
      <c r="S66" s="165"/>
      <c r="T66" s="165"/>
    </row>
    <row r="67" spans="15:20">
      <c r="O67" s="165"/>
      <c r="P67" s="165"/>
      <c r="Q67" s="165"/>
      <c r="R67" s="165"/>
      <c r="S67" s="165"/>
      <c r="T67" s="165"/>
    </row>
    <row r="68" spans="15:20">
      <c r="O68" s="165"/>
      <c r="P68" s="165"/>
      <c r="Q68" s="165"/>
      <c r="R68" s="165"/>
      <c r="S68" s="165"/>
      <c r="T68" s="165"/>
    </row>
  </sheetData>
  <mergeCells count="116">
    <mergeCell ref="H4:K4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B29:C29"/>
    <mergeCell ref="D29:E29"/>
    <mergeCell ref="F29:G2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N34:Q34"/>
    <mergeCell ref="B35:C35"/>
    <mergeCell ref="D35:E35"/>
    <mergeCell ref="F35:G35"/>
    <mergeCell ref="N35:Q35"/>
    <mergeCell ref="N37:Q37"/>
    <mergeCell ref="A39:B39"/>
    <mergeCell ref="C39:D39"/>
    <mergeCell ref="H39:J39"/>
    <mergeCell ref="N39:Q39"/>
    <mergeCell ref="A41:B41"/>
    <mergeCell ref="C41:D41"/>
    <mergeCell ref="H41:J41"/>
    <mergeCell ref="N41:Q41"/>
    <mergeCell ref="H43:J43"/>
    <mergeCell ref="N43:Q43"/>
    <mergeCell ref="N45:Q45"/>
    <mergeCell ref="A6:A7"/>
    <mergeCell ref="A33:A34"/>
    <mergeCell ref="H6:H7"/>
    <mergeCell ref="H33:H34"/>
    <mergeCell ref="I6:I7"/>
    <mergeCell ref="I33:I34"/>
    <mergeCell ref="J6:J7"/>
    <mergeCell ref="K6:K7"/>
    <mergeCell ref="L6:L7"/>
    <mergeCell ref="M6:M7"/>
    <mergeCell ref="N6:N7"/>
    <mergeCell ref="O6:O7"/>
    <mergeCell ref="T6:T7"/>
    <mergeCell ref="U6:U7"/>
    <mergeCell ref="B33:C34"/>
    <mergeCell ref="D33:E34"/>
    <mergeCell ref="F33:G34"/>
  </mergeCells>
  <conditionalFormatting sqref="O8">
    <cfRule type="cellIs" dxfId="0" priority="10" operator="equal">
      <formula>"N/A"</formula>
    </cfRule>
  </conditionalFormatting>
  <conditionalFormatting sqref="A30">
    <cfRule type="cellIs" dxfId="1" priority="11" operator="equal">
      <formula>"STB"</formula>
    </cfRule>
    <cfRule type="cellIs" dxfId="0" priority="12" operator="equal">
      <formula>"BD"</formula>
    </cfRule>
  </conditionalFormatting>
  <conditionalFormatting sqref="B8:B31">
    <cfRule type="cellIs" dxfId="1" priority="1" operator="equal">
      <formula>"STB"</formula>
    </cfRule>
    <cfRule type="cellIs" dxfId="0" priority="2" operator="equal">
      <formula>"BD"</formula>
    </cfRule>
  </conditionalFormatting>
  <conditionalFormatting sqref="D8:D31">
    <cfRule type="cellIs" dxfId="1" priority="8" operator="equal">
      <formula>"STB"</formula>
    </cfRule>
    <cfRule type="cellIs" dxfId="0" priority="9" operator="equal">
      <formula>"BD"</formula>
    </cfRule>
  </conditionalFormatting>
  <conditionalFormatting sqref="F8:F31">
    <cfRule type="cellIs" dxfId="1" priority="3" operator="equal">
      <formula>"STB"</formula>
    </cfRule>
    <cfRule type="cellIs" dxfId="0" priority="4" operator="equal">
      <formula>"BD"</formula>
    </cfRule>
  </conditionalFormatting>
  <conditionalFormatting sqref="H8:H31">
    <cfRule type="top10" dxfId="2" priority="5" bottom="1" rank="1"/>
    <cfRule type="top10" dxfId="3" priority="6" rank="1"/>
    <cfRule type="cellIs" dxfId="4" priority="7" stopIfTrue="1" operator="equal">
      <formula>28000</formula>
    </cfRule>
  </conditionalFormatting>
  <conditionalFormatting sqref="H32:H33">
    <cfRule type="top10" dxfId="2" priority="14" bottom="1" rank="1"/>
    <cfRule type="top10" dxfId="3" priority="15" rank="1"/>
    <cfRule type="cellIs" dxfId="4" priority="17" stopIfTrue="1" operator="equal">
      <formula>28000</formula>
    </cfRule>
  </conditionalFormatting>
  <conditionalFormatting sqref="Y8:Y31">
    <cfRule type="containsText" dxfId="5" priority="13" operator="between" text="-">
      <formula>NOT(ISERROR(SEARCH("-",Y8)))</formula>
    </cfRule>
  </conditionalFormatting>
  <conditionalFormatting sqref="N8 N9:O31">
    <cfRule type="cellIs" dxfId="0" priority="16" operator="equal">
      <formula>"BD"</formula>
    </cfRule>
  </conditionalFormatting>
  <pageMargins left="0.7" right="0.7" top="0.75" bottom="0.75" header="0.3" footer="0.3"/>
  <pageSetup paperSize="1" orientation="portrait" verticalDpi="36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C68"/>
  <sheetViews>
    <sheetView zoomScale="80" zoomScaleNormal="80" workbookViewId="0">
      <pane ySplit="7" topLeftCell="A9" activePane="bottomLeft" state="frozen"/>
      <selection/>
      <selection pane="bottomLeft" activeCell="A3" sqref="$A3:$XFD3"/>
    </sheetView>
  </sheetViews>
  <sheetFormatPr defaultColWidth="8.81666666666667" defaultRowHeight="14.25"/>
  <cols>
    <col min="1" max="1" width="16.725" customWidth="1"/>
    <col min="2" max="2" width="8.725" customWidth="1"/>
    <col min="3" max="7" width="5.725" customWidth="1"/>
    <col min="8" max="8" width="14.2666666666667" customWidth="1"/>
    <col min="9" max="9" width="15.1833333333333" customWidth="1"/>
    <col min="10" max="10" width="15.5416666666667" customWidth="1"/>
    <col min="11" max="11" width="7" customWidth="1"/>
    <col min="12" max="12" width="8.54166666666667" customWidth="1"/>
    <col min="13" max="13" width="11.725" style="5" customWidth="1"/>
    <col min="14" max="14" width="17.1833333333333" customWidth="1"/>
    <col min="15" max="15" width="15.45" customWidth="1"/>
    <col min="16" max="16" width="7.45" customWidth="1"/>
    <col min="17" max="17" width="9.54166666666667" customWidth="1"/>
    <col min="18" max="18" width="10" customWidth="1"/>
    <col min="19" max="20" width="9.81666666666667" customWidth="1"/>
    <col min="21" max="21" width="6.725" customWidth="1"/>
    <col min="22" max="22" width="13.8166666666667" customWidth="1"/>
    <col min="23" max="23" width="11.2666666666667" customWidth="1"/>
    <col min="24" max="24" width="9.26666666666667" customWidth="1"/>
    <col min="25" max="25" width="3.725" customWidth="1"/>
    <col min="26" max="29" width="7.725" customWidth="1"/>
    <col min="30" max="30" width="6.725" customWidth="1"/>
  </cols>
  <sheetData>
    <row r="1" ht="3" customHeight="1"/>
    <row r="2" ht="6" customHeight="1" spans="1:2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="1" customFormat="1" ht="6.75" customHeight="1" spans="1:29">
      <c r="K3" s="7"/>
      <c r="L3" s="8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17.25" customHeight="1" spans="1:29">
      <c r="A4" s="1"/>
      <c r="B4" s="10"/>
      <c r="C4" s="10"/>
      <c r="D4" s="10"/>
      <c r="E4" s="11"/>
      <c r="F4" s="11"/>
      <c r="G4" s="11"/>
      <c r="H4" s="12">
        <f>'[11]Taniwel daily'!C4</f>
        <v>45302</v>
      </c>
      <c r="I4" s="13"/>
      <c r="J4" s="13"/>
      <c r="K4" s="14"/>
      <c r="L4" s="15"/>
      <c r="M4" s="16"/>
      <c r="N4" s="10"/>
      <c r="O4" s="10"/>
      <c r="P4" s="10"/>
      <c r="Q4" s="10"/>
      <c r="R4" s="10"/>
      <c r="S4" s="10"/>
      <c r="T4" s="10"/>
      <c r="U4" s="10"/>
      <c r="V4" s="7"/>
      <c r="W4" s="7"/>
      <c r="X4" s="7"/>
      <c r="Y4" s="7"/>
      <c r="Z4" s="7"/>
      <c r="AA4" s="7"/>
      <c r="AB4" s="7"/>
      <c r="AC4" s="7"/>
    </row>
    <row r="5" ht="7.5" customHeight="1" spans="1:29">
      <c r="A5" s="1"/>
      <c r="B5" s="17"/>
      <c r="C5" s="1"/>
      <c r="D5" s="1"/>
      <c r="E5" s="1"/>
      <c r="F5" s="1"/>
      <c r="G5" s="1"/>
      <c r="H5" s="1"/>
      <c r="I5" s="1"/>
      <c r="J5" s="1"/>
      <c r="K5" s="18"/>
      <c r="L5" s="7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ht="17.25" customHeight="1" spans="1:29">
      <c r="A6" s="19" t="s">
        <v>0</v>
      </c>
      <c r="B6" s="20" t="s">
        <v>1</v>
      </c>
      <c r="C6" s="21"/>
      <c r="D6" s="20" t="s">
        <v>2</v>
      </c>
      <c r="E6" s="21"/>
      <c r="F6" s="20" t="s">
        <v>3</v>
      </c>
      <c r="G6" s="21"/>
      <c r="H6" s="22" t="s">
        <v>4</v>
      </c>
      <c r="I6" s="22" t="s">
        <v>5</v>
      </c>
      <c r="J6" s="23" t="s">
        <v>6</v>
      </c>
      <c r="K6" s="19" t="s">
        <v>0</v>
      </c>
      <c r="L6" s="24" t="s">
        <v>7</v>
      </c>
      <c r="M6" s="25" t="s">
        <v>8</v>
      </c>
      <c r="N6" s="26" t="s">
        <v>9</v>
      </c>
      <c r="O6" s="25" t="s">
        <v>10</v>
      </c>
      <c r="P6" s="27"/>
      <c r="Q6" s="28"/>
      <c r="R6" s="28"/>
      <c r="S6" s="28"/>
      <c r="T6" s="28"/>
      <c r="U6" s="29"/>
    </row>
    <row r="7" ht="15.75" customHeight="1" spans="1:29">
      <c r="A7" s="30"/>
      <c r="B7" s="31">
        <v>1</v>
      </c>
      <c r="C7" s="32"/>
      <c r="D7" s="31">
        <v>2</v>
      </c>
      <c r="E7" s="32"/>
      <c r="F7" s="31">
        <v>3</v>
      </c>
      <c r="G7" s="32"/>
      <c r="H7" s="33"/>
      <c r="I7" s="33"/>
      <c r="J7" s="34"/>
      <c r="K7" s="30"/>
      <c r="L7" s="35"/>
      <c r="M7" s="36"/>
      <c r="N7" s="37"/>
      <c r="O7" s="38"/>
      <c r="P7" s="27"/>
      <c r="Q7" s="28"/>
      <c r="R7" s="28"/>
      <c r="S7" s="28"/>
      <c r="T7" s="28"/>
      <c r="U7" s="29"/>
      <c r="X7" s="39"/>
    </row>
    <row r="8" s="2" customFormat="1" ht="15" customHeight="1" spans="1:29">
      <c r="A8" s="40">
        <v>0.0416666666666666</v>
      </c>
      <c r="B8" s="41" t="s">
        <v>11</v>
      </c>
      <c r="C8" s="42"/>
      <c r="D8" s="41">
        <v>244</v>
      </c>
      <c r="E8" s="42"/>
      <c r="F8" s="41">
        <v>269</v>
      </c>
      <c r="G8" s="42"/>
      <c r="H8" s="43">
        <f t="shared" ref="H8:H31" si="0">IF(SUM(B8:G8)/1000=0,"0",SUM(B8:G8))</f>
        <v>513</v>
      </c>
      <c r="I8" s="44">
        <f t="shared" ref="I8:I31" si="1">IFERROR(AVERAGE(B8:G8),"0")</f>
        <v>256.5</v>
      </c>
      <c r="J8" s="45">
        <f t="shared" ref="J8:J31" si="2">COUNT(B8:G8)</f>
        <v>2</v>
      </c>
      <c r="K8" s="46">
        <v>0.0416666666666667</v>
      </c>
      <c r="L8" s="47">
        <v>4500</v>
      </c>
      <c r="M8" s="48">
        <v>165.04</v>
      </c>
      <c r="N8" s="49">
        <f>(M9-M8)*12000</f>
        <v>480.000000000246</v>
      </c>
      <c r="O8" s="50"/>
      <c r="P8" s="51"/>
      <c r="Q8" s="52"/>
      <c r="R8" s="52"/>
      <c r="S8" s="52"/>
      <c r="T8" s="52"/>
      <c r="U8" s="53"/>
    </row>
    <row r="9" s="3" customFormat="1" ht="15" customHeight="1" spans="1:29">
      <c r="A9" s="40">
        <v>0.0833333333333333</v>
      </c>
      <c r="B9" s="41" t="s">
        <v>11</v>
      </c>
      <c r="C9" s="42"/>
      <c r="D9" s="41">
        <v>233</v>
      </c>
      <c r="E9" s="42"/>
      <c r="F9" s="41">
        <v>268</v>
      </c>
      <c r="G9" s="42"/>
      <c r="H9" s="43">
        <f t="shared" si="0"/>
        <v>501</v>
      </c>
      <c r="I9" s="44">
        <f t="shared" si="1"/>
        <v>250.5</v>
      </c>
      <c r="J9" s="45">
        <f t="shared" si="2"/>
        <v>2</v>
      </c>
      <c r="K9" s="46">
        <v>0.0833333333333333</v>
      </c>
      <c r="L9" s="47">
        <v>4200</v>
      </c>
      <c r="M9" s="54">
        <v>165.08</v>
      </c>
      <c r="N9" s="49">
        <f t="shared" ref="N9:N30" si="3">(M10-M9)*12000</f>
        <v>599.999999999795</v>
      </c>
      <c r="O9" s="55"/>
      <c r="P9" s="51"/>
      <c r="Q9" s="52"/>
      <c r="R9" s="52"/>
      <c r="S9" s="52"/>
      <c r="T9" s="52"/>
      <c r="U9" s="53"/>
    </row>
    <row r="10" s="3" customFormat="1" ht="15" customHeight="1" spans="1:29">
      <c r="A10" s="40">
        <v>0.125</v>
      </c>
      <c r="B10" s="41" t="s">
        <v>11</v>
      </c>
      <c r="C10" s="42"/>
      <c r="D10" s="41">
        <v>241</v>
      </c>
      <c r="E10" s="42"/>
      <c r="F10" s="41">
        <v>249</v>
      </c>
      <c r="G10" s="42"/>
      <c r="H10" s="43">
        <f t="shared" si="0"/>
        <v>490</v>
      </c>
      <c r="I10" s="44">
        <f t="shared" si="1"/>
        <v>245</v>
      </c>
      <c r="J10" s="45">
        <f t="shared" si="2"/>
        <v>2</v>
      </c>
      <c r="K10" s="46">
        <v>0.125</v>
      </c>
      <c r="L10" s="47">
        <v>4200</v>
      </c>
      <c r="M10" s="54">
        <v>165.13</v>
      </c>
      <c r="N10" s="49">
        <f t="shared" si="3"/>
        <v>600.000000000136</v>
      </c>
      <c r="O10" s="56"/>
      <c r="P10" s="51"/>
      <c r="Q10" s="52"/>
      <c r="R10" s="52"/>
      <c r="S10" s="52"/>
      <c r="T10" s="52"/>
      <c r="U10" s="53"/>
    </row>
    <row r="11" s="3" customFormat="1" ht="15" customHeight="1" spans="1:29">
      <c r="A11" s="40">
        <v>0.166666666666667</v>
      </c>
      <c r="B11" s="41" t="s">
        <v>11</v>
      </c>
      <c r="C11" s="42"/>
      <c r="D11" s="41">
        <v>261</v>
      </c>
      <c r="E11" s="42"/>
      <c r="F11" s="41">
        <v>231</v>
      </c>
      <c r="G11" s="42"/>
      <c r="H11" s="43">
        <f t="shared" si="0"/>
        <v>492</v>
      </c>
      <c r="I11" s="44">
        <f t="shared" si="1"/>
        <v>246</v>
      </c>
      <c r="J11" s="45">
        <f t="shared" si="2"/>
        <v>2</v>
      </c>
      <c r="K11" s="46">
        <v>0.166666666666667</v>
      </c>
      <c r="L11" s="47">
        <v>4000</v>
      </c>
      <c r="M11" s="54">
        <v>165.18</v>
      </c>
      <c r="N11" s="49">
        <f t="shared" si="3"/>
        <v>599.999999999795</v>
      </c>
      <c r="O11" s="56"/>
      <c r="P11" s="51"/>
      <c r="Q11" s="52"/>
      <c r="R11" s="52"/>
      <c r="S11" s="52"/>
      <c r="T11" s="52"/>
      <c r="U11" s="53"/>
    </row>
    <row r="12" s="3" customFormat="1" ht="15" customHeight="1" spans="1:29">
      <c r="A12" s="40">
        <v>0.208333333333333</v>
      </c>
      <c r="B12" s="41" t="s">
        <v>11</v>
      </c>
      <c r="C12" s="42"/>
      <c r="D12" s="41">
        <v>242</v>
      </c>
      <c r="E12" s="42"/>
      <c r="F12" s="41">
        <v>256</v>
      </c>
      <c r="G12" s="42"/>
      <c r="H12" s="43">
        <f t="shared" si="0"/>
        <v>498</v>
      </c>
      <c r="I12" s="44">
        <f t="shared" si="1"/>
        <v>249</v>
      </c>
      <c r="J12" s="45">
        <f t="shared" si="2"/>
        <v>2</v>
      </c>
      <c r="K12" s="46">
        <v>0.208333333333333</v>
      </c>
      <c r="L12" s="47">
        <v>3900</v>
      </c>
      <c r="M12" s="54">
        <v>165.23</v>
      </c>
      <c r="N12" s="49">
        <f t="shared" si="3"/>
        <v>360.000000000014</v>
      </c>
      <c r="O12" s="56"/>
      <c r="P12" s="51"/>
      <c r="Q12" s="52"/>
      <c r="R12" s="52"/>
      <c r="S12" s="52"/>
      <c r="T12" s="52"/>
      <c r="U12" s="53"/>
    </row>
    <row r="13" s="3" customFormat="1" ht="15" customHeight="1" spans="1:29">
      <c r="A13" s="40">
        <v>0.25</v>
      </c>
      <c r="B13" s="41" t="s">
        <v>11</v>
      </c>
      <c r="C13" s="42"/>
      <c r="D13" s="41">
        <v>232</v>
      </c>
      <c r="E13" s="42"/>
      <c r="F13" s="41" t="s">
        <v>26</v>
      </c>
      <c r="G13" s="42"/>
      <c r="H13" s="43">
        <f t="shared" si="0"/>
        <v>232</v>
      </c>
      <c r="I13" s="44">
        <f t="shared" si="1"/>
        <v>232</v>
      </c>
      <c r="J13" s="45">
        <f t="shared" si="2"/>
        <v>1</v>
      </c>
      <c r="K13" s="46">
        <v>0.25</v>
      </c>
      <c r="L13" s="47">
        <v>3600</v>
      </c>
      <c r="M13" s="54">
        <v>165.26</v>
      </c>
      <c r="N13" s="49">
        <f t="shared" si="3"/>
        <v>360.000000000014</v>
      </c>
      <c r="O13" s="56"/>
      <c r="P13" s="51"/>
      <c r="Q13" s="52"/>
      <c r="R13" s="52"/>
      <c r="S13" s="52"/>
      <c r="T13" s="52"/>
      <c r="U13" s="53"/>
    </row>
    <row r="14" s="3" customFormat="1" ht="15" customHeight="1" spans="1:29">
      <c r="A14" s="40">
        <v>0.291666666666667</v>
      </c>
      <c r="B14" s="41" t="s">
        <v>11</v>
      </c>
      <c r="C14" s="42"/>
      <c r="D14" s="41">
        <v>244</v>
      </c>
      <c r="E14" s="42"/>
      <c r="F14" s="41" t="s">
        <v>26</v>
      </c>
      <c r="G14" s="42"/>
      <c r="H14" s="43">
        <f t="shared" si="0"/>
        <v>244</v>
      </c>
      <c r="I14" s="44">
        <f t="shared" si="1"/>
        <v>244</v>
      </c>
      <c r="J14" s="45">
        <f t="shared" si="2"/>
        <v>1</v>
      </c>
      <c r="K14" s="46">
        <v>0.291666666666667</v>
      </c>
      <c r="L14" s="47">
        <v>3600</v>
      </c>
      <c r="M14" s="54">
        <v>165.29</v>
      </c>
      <c r="N14" s="49">
        <f t="shared" si="3"/>
        <v>240.000000000123</v>
      </c>
      <c r="O14" s="56"/>
      <c r="P14" s="51"/>
      <c r="Q14" s="52"/>
      <c r="R14" s="52"/>
      <c r="S14" s="52"/>
      <c r="T14" s="52"/>
      <c r="U14" s="53"/>
    </row>
    <row r="15" s="3" customFormat="1" ht="15" customHeight="1" spans="1:29">
      <c r="A15" s="40">
        <v>0.333333333333333</v>
      </c>
      <c r="B15" s="41" t="s">
        <v>11</v>
      </c>
      <c r="C15" s="42"/>
      <c r="D15" s="41">
        <v>194</v>
      </c>
      <c r="E15" s="42"/>
      <c r="F15" s="41">
        <v>238</v>
      </c>
      <c r="G15" s="42"/>
      <c r="H15" s="43">
        <f t="shared" si="0"/>
        <v>432</v>
      </c>
      <c r="I15" s="44">
        <f t="shared" si="1"/>
        <v>216</v>
      </c>
      <c r="J15" s="45">
        <f t="shared" si="2"/>
        <v>2</v>
      </c>
      <c r="K15" s="46">
        <v>0.333333333333333</v>
      </c>
      <c r="L15" s="47">
        <v>3600</v>
      </c>
      <c r="M15" s="54">
        <v>165.31</v>
      </c>
      <c r="N15" s="49">
        <f t="shared" si="3"/>
        <v>600.000000000136</v>
      </c>
      <c r="O15" s="56"/>
      <c r="P15" s="51"/>
      <c r="Q15" s="52"/>
      <c r="R15" s="52"/>
      <c r="S15" s="52"/>
      <c r="T15" s="52"/>
      <c r="U15" s="53"/>
    </row>
    <row r="16" s="3" customFormat="1" ht="15" customHeight="1" spans="1:29">
      <c r="A16" s="40">
        <v>0.375</v>
      </c>
      <c r="B16" s="41" t="s">
        <v>11</v>
      </c>
      <c r="C16" s="42"/>
      <c r="D16" s="41">
        <v>270</v>
      </c>
      <c r="E16" s="42"/>
      <c r="F16" s="41">
        <v>266</v>
      </c>
      <c r="G16" s="42"/>
      <c r="H16" s="43">
        <f t="shared" si="0"/>
        <v>536</v>
      </c>
      <c r="I16" s="44">
        <f t="shared" si="1"/>
        <v>268</v>
      </c>
      <c r="J16" s="45">
        <f t="shared" si="2"/>
        <v>2</v>
      </c>
      <c r="K16" s="46">
        <v>0.375</v>
      </c>
      <c r="L16" s="47">
        <v>3600</v>
      </c>
      <c r="M16" s="54">
        <v>165.36</v>
      </c>
      <c r="N16" s="49">
        <f t="shared" si="3"/>
        <v>599.999999999795</v>
      </c>
      <c r="O16" s="56"/>
      <c r="P16" s="51"/>
      <c r="Q16" s="52"/>
      <c r="R16" s="52"/>
      <c r="S16" s="52"/>
      <c r="T16" s="52"/>
      <c r="U16" s="53"/>
    </row>
    <row r="17" s="3" customFormat="1" ht="15" customHeight="1" spans="1:21">
      <c r="A17" s="40">
        <v>0.416666666666667</v>
      </c>
      <c r="B17" s="41" t="s">
        <v>11</v>
      </c>
      <c r="C17" s="42"/>
      <c r="D17" s="41">
        <v>255</v>
      </c>
      <c r="E17" s="42"/>
      <c r="F17" s="41">
        <v>266</v>
      </c>
      <c r="G17" s="42"/>
      <c r="H17" s="43">
        <f t="shared" si="0"/>
        <v>521</v>
      </c>
      <c r="I17" s="44">
        <f t="shared" si="1"/>
        <v>260.5</v>
      </c>
      <c r="J17" s="45">
        <f t="shared" si="2"/>
        <v>2</v>
      </c>
      <c r="K17" s="46">
        <v>0.416666666666666</v>
      </c>
      <c r="L17" s="47">
        <v>3400</v>
      </c>
      <c r="M17" s="54">
        <v>165.41</v>
      </c>
      <c r="N17" s="49">
        <f t="shared" si="3"/>
        <v>479.999999999905</v>
      </c>
      <c r="O17" s="56"/>
      <c r="P17" s="51"/>
      <c r="Q17" s="52"/>
      <c r="R17" s="52"/>
      <c r="S17" s="52"/>
      <c r="T17" s="52"/>
      <c r="U17" s="53"/>
    </row>
    <row r="18" s="3" customFormat="1" ht="15" customHeight="1" spans="1:21">
      <c r="A18" s="40">
        <v>0.458333333333333</v>
      </c>
      <c r="B18" s="41" t="s">
        <v>11</v>
      </c>
      <c r="C18" s="42"/>
      <c r="D18" s="41">
        <v>246</v>
      </c>
      <c r="E18" s="42"/>
      <c r="F18" s="41">
        <v>230</v>
      </c>
      <c r="G18" s="42"/>
      <c r="H18" s="43">
        <f t="shared" si="0"/>
        <v>476</v>
      </c>
      <c r="I18" s="44">
        <f t="shared" si="1"/>
        <v>238</v>
      </c>
      <c r="J18" s="45">
        <f t="shared" si="2"/>
        <v>2</v>
      </c>
      <c r="K18" s="46">
        <v>0.458333333333333</v>
      </c>
      <c r="L18" s="47">
        <v>3300</v>
      </c>
      <c r="M18" s="54">
        <v>165.45</v>
      </c>
      <c r="N18" s="49">
        <f t="shared" si="3"/>
        <v>600.000000000136</v>
      </c>
      <c r="O18" s="56"/>
      <c r="P18" s="51"/>
      <c r="Q18" s="52"/>
      <c r="R18" s="52"/>
      <c r="S18" s="52"/>
      <c r="T18" s="52"/>
      <c r="U18" s="53"/>
    </row>
    <row r="19" s="3" customFormat="1" ht="15" customHeight="1" spans="1:21">
      <c r="A19" s="40">
        <v>0.5</v>
      </c>
      <c r="B19" s="41" t="s">
        <v>11</v>
      </c>
      <c r="C19" s="42"/>
      <c r="D19" s="41">
        <v>259</v>
      </c>
      <c r="E19" s="42"/>
      <c r="F19" s="41">
        <v>231</v>
      </c>
      <c r="G19" s="42"/>
      <c r="H19" s="43">
        <f t="shared" si="0"/>
        <v>490</v>
      </c>
      <c r="I19" s="44">
        <f t="shared" si="1"/>
        <v>245</v>
      </c>
      <c r="J19" s="45">
        <f t="shared" si="2"/>
        <v>2</v>
      </c>
      <c r="K19" s="46">
        <v>0.5</v>
      </c>
      <c r="L19" s="47">
        <v>3300</v>
      </c>
      <c r="M19" s="54">
        <v>165.5</v>
      </c>
      <c r="N19" s="49">
        <f t="shared" si="3"/>
        <v>479.999999999905</v>
      </c>
      <c r="O19" s="56"/>
      <c r="P19" s="51"/>
      <c r="Q19" s="52"/>
      <c r="R19" s="52"/>
      <c r="S19" s="52"/>
      <c r="T19" s="52"/>
      <c r="U19" s="53"/>
    </row>
    <row r="20" s="3" customFormat="1" ht="15" customHeight="1" spans="1:21">
      <c r="A20" s="40">
        <v>0.541666666666667</v>
      </c>
      <c r="B20" s="41" t="s">
        <v>11</v>
      </c>
      <c r="C20" s="42"/>
      <c r="D20" s="41">
        <v>236</v>
      </c>
      <c r="E20" s="42"/>
      <c r="F20" s="41">
        <v>233</v>
      </c>
      <c r="G20" s="42"/>
      <c r="H20" s="43">
        <f t="shared" si="0"/>
        <v>469</v>
      </c>
      <c r="I20" s="44">
        <f t="shared" si="1"/>
        <v>234.5</v>
      </c>
      <c r="J20" s="45">
        <f t="shared" si="2"/>
        <v>2</v>
      </c>
      <c r="K20" s="46">
        <v>0.541666666666667</v>
      </c>
      <c r="L20" s="47">
        <v>3000</v>
      </c>
      <c r="M20" s="54">
        <v>165.54</v>
      </c>
      <c r="N20" s="49">
        <f t="shared" si="3"/>
        <v>600.000000000136</v>
      </c>
      <c r="O20" s="56"/>
      <c r="P20" s="51"/>
      <c r="Q20" s="52"/>
      <c r="R20" s="52"/>
      <c r="S20" s="52"/>
      <c r="T20" s="52"/>
      <c r="U20" s="53"/>
    </row>
    <row r="21" s="3" customFormat="1" ht="15" customHeight="1" spans="1:21">
      <c r="A21" s="40">
        <v>0.583333333333333</v>
      </c>
      <c r="B21" s="41" t="s">
        <v>11</v>
      </c>
      <c r="C21" s="42"/>
      <c r="D21" s="41">
        <v>234</v>
      </c>
      <c r="E21" s="42"/>
      <c r="F21" s="41">
        <v>216</v>
      </c>
      <c r="G21" s="42"/>
      <c r="H21" s="43">
        <f t="shared" si="0"/>
        <v>450</v>
      </c>
      <c r="I21" s="44">
        <f t="shared" si="1"/>
        <v>225</v>
      </c>
      <c r="J21" s="45">
        <f t="shared" si="2"/>
        <v>2</v>
      </c>
      <c r="K21" s="46">
        <v>0.583333333333333</v>
      </c>
      <c r="L21" s="47">
        <v>3000</v>
      </c>
      <c r="M21" s="54">
        <v>165.59</v>
      </c>
      <c r="N21" s="49">
        <f t="shared" si="3"/>
        <v>479.999999999905</v>
      </c>
      <c r="O21" s="56"/>
      <c r="P21" s="51"/>
      <c r="Q21" s="52"/>
      <c r="R21" s="52"/>
      <c r="S21" s="52"/>
      <c r="T21" s="52"/>
      <c r="U21" s="53"/>
    </row>
    <row r="22" s="3" customFormat="1" ht="15" customHeight="1" spans="1:21">
      <c r="A22" s="40">
        <v>0.625</v>
      </c>
      <c r="B22" s="41" t="s">
        <v>11</v>
      </c>
      <c r="C22" s="42"/>
      <c r="D22" s="41" t="s">
        <v>26</v>
      </c>
      <c r="E22" s="42"/>
      <c r="F22" s="41">
        <v>442</v>
      </c>
      <c r="G22" s="42"/>
      <c r="H22" s="43">
        <f t="shared" si="0"/>
        <v>442</v>
      </c>
      <c r="I22" s="44">
        <f t="shared" si="1"/>
        <v>442</v>
      </c>
      <c r="J22" s="45">
        <f t="shared" si="2"/>
        <v>1</v>
      </c>
      <c r="K22" s="46">
        <v>0.625</v>
      </c>
      <c r="L22" s="47">
        <v>3000</v>
      </c>
      <c r="M22" s="54">
        <v>165.63</v>
      </c>
      <c r="N22" s="49">
        <f t="shared" si="3"/>
        <v>479.999999999905</v>
      </c>
      <c r="O22" s="56"/>
      <c r="P22" s="51"/>
      <c r="Q22" s="52"/>
      <c r="R22" s="52"/>
      <c r="S22" s="52"/>
      <c r="T22" s="52"/>
      <c r="U22" s="53"/>
    </row>
    <row r="23" s="3" customFormat="1" ht="15" customHeight="1" spans="1:21">
      <c r="A23" s="40">
        <v>0.666666666666667</v>
      </c>
      <c r="B23" s="41" t="s">
        <v>11</v>
      </c>
      <c r="C23" s="42"/>
      <c r="D23" s="41" t="s">
        <v>26</v>
      </c>
      <c r="E23" s="42"/>
      <c r="F23" s="41">
        <v>435</v>
      </c>
      <c r="G23" s="42"/>
      <c r="H23" s="43">
        <f t="shared" si="0"/>
        <v>435</v>
      </c>
      <c r="I23" s="44">
        <f t="shared" si="1"/>
        <v>435</v>
      </c>
      <c r="J23" s="45">
        <f t="shared" si="2"/>
        <v>1</v>
      </c>
      <c r="K23" s="46">
        <v>0.666666666666666</v>
      </c>
      <c r="L23" s="47">
        <v>3000</v>
      </c>
      <c r="M23" s="54">
        <v>165.67</v>
      </c>
      <c r="N23" s="49">
        <f t="shared" si="3"/>
        <v>480.000000000246</v>
      </c>
      <c r="O23" s="56"/>
      <c r="P23" s="51"/>
      <c r="Q23" s="52"/>
      <c r="R23" s="52"/>
      <c r="S23" s="52"/>
      <c r="T23" s="52"/>
      <c r="U23" s="53"/>
    </row>
    <row r="24" s="3" customFormat="1" ht="15" customHeight="1" spans="1:21">
      <c r="A24" s="40">
        <v>0.708333333333334</v>
      </c>
      <c r="B24" s="41" t="s">
        <v>11</v>
      </c>
      <c r="C24" s="42"/>
      <c r="D24" s="41">
        <v>439</v>
      </c>
      <c r="E24" s="42"/>
      <c r="F24" s="41" t="s">
        <v>26</v>
      </c>
      <c r="G24" s="42"/>
      <c r="H24" s="43">
        <f t="shared" si="0"/>
        <v>439</v>
      </c>
      <c r="I24" s="44">
        <f t="shared" si="1"/>
        <v>439</v>
      </c>
      <c r="J24" s="45">
        <f t="shared" si="2"/>
        <v>1</v>
      </c>
      <c r="K24" s="46">
        <v>0.708333333333333</v>
      </c>
      <c r="L24" s="47">
        <v>2700</v>
      </c>
      <c r="M24" s="54">
        <v>165.71</v>
      </c>
      <c r="N24" s="49">
        <f t="shared" si="3"/>
        <v>479.999999999905</v>
      </c>
      <c r="O24" s="56"/>
      <c r="P24" s="51"/>
      <c r="Q24" s="52"/>
      <c r="R24" s="52"/>
      <c r="S24" s="52"/>
      <c r="T24" s="52"/>
      <c r="U24" s="53"/>
    </row>
    <row r="25" s="3" customFormat="1" ht="15" customHeight="1" spans="1:21">
      <c r="A25" s="40">
        <v>0.75</v>
      </c>
      <c r="B25" s="41" t="s">
        <v>11</v>
      </c>
      <c r="C25" s="42"/>
      <c r="D25" s="41">
        <v>258</v>
      </c>
      <c r="E25" s="42"/>
      <c r="F25" s="41">
        <v>239</v>
      </c>
      <c r="G25" s="42"/>
      <c r="H25" s="43">
        <f t="shared" si="0"/>
        <v>497</v>
      </c>
      <c r="I25" s="44">
        <f t="shared" si="1"/>
        <v>248.5</v>
      </c>
      <c r="J25" s="45">
        <f t="shared" si="2"/>
        <v>2</v>
      </c>
      <c r="K25" s="46">
        <v>0.75</v>
      </c>
      <c r="L25" s="47">
        <v>2400</v>
      </c>
      <c r="M25" s="54">
        <v>165.75</v>
      </c>
      <c r="N25" s="49">
        <f t="shared" si="3"/>
        <v>720.000000000027</v>
      </c>
      <c r="O25" s="56"/>
      <c r="P25" s="51"/>
      <c r="Q25" s="52"/>
      <c r="R25" s="52"/>
      <c r="S25" s="52"/>
      <c r="T25" s="52"/>
      <c r="U25" s="53"/>
    </row>
    <row r="26" s="3" customFormat="1" ht="15" customHeight="1" spans="1:21">
      <c r="A26" s="40">
        <v>0.791666666666667</v>
      </c>
      <c r="B26" s="41" t="s">
        <v>11</v>
      </c>
      <c r="C26" s="42"/>
      <c r="D26" s="41">
        <v>309</v>
      </c>
      <c r="E26" s="42"/>
      <c r="F26" s="41">
        <v>309</v>
      </c>
      <c r="G26" s="42"/>
      <c r="H26" s="43">
        <f t="shared" si="0"/>
        <v>618</v>
      </c>
      <c r="I26" s="44">
        <f t="shared" si="1"/>
        <v>309</v>
      </c>
      <c r="J26" s="45">
        <f t="shared" si="2"/>
        <v>2</v>
      </c>
      <c r="K26" s="46">
        <v>0.791666666666666</v>
      </c>
      <c r="L26" s="47">
        <v>2100</v>
      </c>
      <c r="M26" s="54">
        <v>165.81</v>
      </c>
      <c r="N26" s="49">
        <f t="shared" si="3"/>
        <v>839.999999999918</v>
      </c>
      <c r="O26" s="56"/>
      <c r="P26" s="51"/>
      <c r="Q26" s="52"/>
      <c r="R26" s="52"/>
      <c r="S26" s="52"/>
      <c r="T26" s="52"/>
      <c r="U26" s="53"/>
    </row>
    <row r="27" s="3" customFormat="1" ht="15" customHeight="1" spans="1:21">
      <c r="A27" s="40">
        <v>0.833333333333334</v>
      </c>
      <c r="B27" s="41" t="s">
        <v>11</v>
      </c>
      <c r="C27" s="42"/>
      <c r="D27" s="41">
        <v>378</v>
      </c>
      <c r="E27" s="42"/>
      <c r="F27" s="41">
        <v>352</v>
      </c>
      <c r="G27" s="42"/>
      <c r="H27" s="43">
        <f t="shared" si="0"/>
        <v>730</v>
      </c>
      <c r="I27" s="44">
        <f t="shared" si="1"/>
        <v>365</v>
      </c>
      <c r="J27" s="45">
        <f t="shared" si="2"/>
        <v>2</v>
      </c>
      <c r="K27" s="46">
        <v>0.833333333333333</v>
      </c>
      <c r="L27" s="47">
        <v>2100</v>
      </c>
      <c r="M27" s="54">
        <v>165.88</v>
      </c>
      <c r="N27" s="49">
        <f t="shared" si="3"/>
        <v>600.000000000136</v>
      </c>
      <c r="O27" s="56"/>
      <c r="P27" s="51"/>
      <c r="Q27" s="52"/>
      <c r="R27" s="52"/>
      <c r="S27" s="52"/>
      <c r="T27" s="52"/>
      <c r="U27" s="53"/>
    </row>
    <row r="28" s="4" customFormat="1" ht="15" customHeight="1" spans="1:21">
      <c r="A28" s="40">
        <v>0.875</v>
      </c>
      <c r="B28" s="41" t="s">
        <v>11</v>
      </c>
      <c r="C28" s="42"/>
      <c r="D28" s="41">
        <v>340</v>
      </c>
      <c r="E28" s="42"/>
      <c r="F28" s="41">
        <v>344</v>
      </c>
      <c r="G28" s="42"/>
      <c r="H28" s="43">
        <f t="shared" si="0"/>
        <v>684</v>
      </c>
      <c r="I28" s="44">
        <f t="shared" si="1"/>
        <v>342</v>
      </c>
      <c r="J28" s="45">
        <f t="shared" si="2"/>
        <v>2</v>
      </c>
      <c r="K28" s="46">
        <v>0.875</v>
      </c>
      <c r="L28" s="47">
        <v>1800</v>
      </c>
      <c r="M28" s="54">
        <v>165.93</v>
      </c>
      <c r="N28" s="49">
        <f t="shared" si="3"/>
        <v>720.000000000027</v>
      </c>
      <c r="O28" s="56"/>
      <c r="P28" s="51"/>
      <c r="Q28" s="52"/>
      <c r="R28" s="52"/>
      <c r="S28" s="52"/>
      <c r="T28" s="52"/>
      <c r="U28" s="53"/>
    </row>
    <row r="29" s="3" customFormat="1" ht="15" customHeight="1" spans="1:21">
      <c r="A29" s="40">
        <v>0.916666666666667</v>
      </c>
      <c r="B29" s="41" t="s">
        <v>11</v>
      </c>
      <c r="C29" s="42"/>
      <c r="D29" s="41">
        <v>317</v>
      </c>
      <c r="E29" s="42"/>
      <c r="F29" s="41">
        <v>309</v>
      </c>
      <c r="G29" s="42"/>
      <c r="H29" s="43">
        <f t="shared" si="0"/>
        <v>626</v>
      </c>
      <c r="I29" s="44">
        <f t="shared" si="1"/>
        <v>313</v>
      </c>
      <c r="J29" s="45">
        <f t="shared" si="2"/>
        <v>2</v>
      </c>
      <c r="K29" s="46">
        <v>0.916666666666666</v>
      </c>
      <c r="L29" s="47">
        <v>1800</v>
      </c>
      <c r="M29" s="54">
        <v>165.99</v>
      </c>
      <c r="N29" s="49">
        <f t="shared" si="3"/>
        <v>599.999999999795</v>
      </c>
      <c r="O29" s="56"/>
      <c r="P29" s="51"/>
      <c r="Q29" s="52"/>
      <c r="R29" s="52"/>
      <c r="S29" s="52"/>
      <c r="T29" s="52"/>
      <c r="U29" s="53"/>
    </row>
    <row r="30" s="3" customFormat="1" ht="15" customHeight="1" spans="1:21">
      <c r="A30" s="40">
        <v>0.958333333333334</v>
      </c>
      <c r="B30" s="41" t="s">
        <v>11</v>
      </c>
      <c r="C30" s="42"/>
      <c r="D30" s="41">
        <v>291</v>
      </c>
      <c r="E30" s="42"/>
      <c r="F30" s="41">
        <v>295</v>
      </c>
      <c r="G30" s="42"/>
      <c r="H30" s="43">
        <f t="shared" si="0"/>
        <v>586</v>
      </c>
      <c r="I30" s="44">
        <f t="shared" si="1"/>
        <v>293</v>
      </c>
      <c r="J30" s="45">
        <f t="shared" si="2"/>
        <v>2</v>
      </c>
      <c r="K30" s="46">
        <v>0.958333333333333</v>
      </c>
      <c r="L30" s="47">
        <v>1800</v>
      </c>
      <c r="M30" s="54">
        <v>166.04</v>
      </c>
      <c r="N30" s="49">
        <f t="shared" si="3"/>
        <v>600.000000000136</v>
      </c>
      <c r="O30" s="56"/>
      <c r="P30" s="51"/>
      <c r="Q30" s="52"/>
      <c r="R30" s="52"/>
      <c r="S30" s="52"/>
      <c r="T30" s="52"/>
      <c r="U30" s="53"/>
    </row>
    <row r="31" s="2" customFormat="1" ht="15" customHeight="1" spans="1:21">
      <c r="A31" s="57">
        <v>1</v>
      </c>
      <c r="B31" s="41" t="s">
        <v>11</v>
      </c>
      <c r="C31" s="42"/>
      <c r="D31" s="41">
        <v>274</v>
      </c>
      <c r="E31" s="42"/>
      <c r="F31" s="41">
        <v>273</v>
      </c>
      <c r="G31" s="42"/>
      <c r="H31" s="43">
        <f t="shared" si="0"/>
        <v>547</v>
      </c>
      <c r="I31" s="58">
        <f t="shared" si="1"/>
        <v>273.5</v>
      </c>
      <c r="J31" s="59">
        <f t="shared" si="2"/>
        <v>2</v>
      </c>
      <c r="K31" s="60">
        <v>1</v>
      </c>
      <c r="L31" s="47">
        <v>4500</v>
      </c>
      <c r="M31" s="61">
        <v>166.09</v>
      </c>
      <c r="N31" s="49">
        <f>H31</f>
        <v>547</v>
      </c>
      <c r="O31" s="56"/>
      <c r="P31" s="51"/>
      <c r="Q31" s="52"/>
      <c r="R31" s="52"/>
      <c r="S31" s="52"/>
      <c r="T31" s="52"/>
      <c r="U31" s="53"/>
    </row>
    <row r="32" s="3" customFormat="1" ht="23.25" customHeight="1" spans="1:21">
      <c r="A32" s="62" t="s">
        <v>12</v>
      </c>
      <c r="B32" s="63">
        <f>SUM(B8:B31)/1000</f>
        <v>0</v>
      </c>
      <c r="C32" s="64"/>
      <c r="D32" s="63">
        <f>SUM(D8:D31)/1000</f>
        <v>5.997</v>
      </c>
      <c r="E32" s="64"/>
      <c r="F32" s="63">
        <f>SUM(F8:F31)/1000</f>
        <v>5.951</v>
      </c>
      <c r="G32" s="64"/>
      <c r="H32" s="65">
        <f>SUM(H8:H31)</f>
        <v>11948</v>
      </c>
      <c r="I32" s="66" t="s">
        <v>13</v>
      </c>
      <c r="J32" s="67"/>
      <c r="K32" s="68"/>
      <c r="L32" s="69"/>
      <c r="M32" s="70">
        <f>SUM(M31-M8+N8)</f>
        <v>481.050000000246</v>
      </c>
      <c r="N32" s="71">
        <f>SUM(N8:N31)</f>
        <v>13147.0000000001</v>
      </c>
      <c r="O32" s="72">
        <f>SUM(O8:O31)</f>
        <v>0</v>
      </c>
      <c r="P32" s="73"/>
      <c r="Q32" s="74"/>
      <c r="R32" s="74"/>
      <c r="S32" s="74"/>
      <c r="T32" s="74"/>
      <c r="U32" s="75"/>
    </row>
    <row r="33" ht="15" customHeight="1" spans="1:29">
      <c r="A33" s="76" t="s">
        <v>14</v>
      </c>
      <c r="B33" s="77" t="str">
        <f>IFERROR((AVERAGE(B8:B31)),"0")</f>
        <v>0</v>
      </c>
      <c r="C33" s="78"/>
      <c r="D33" s="79">
        <f>IFERROR((AVERAGE(D8:D31)),"0")</f>
        <v>272.590909090909</v>
      </c>
      <c r="E33" s="78"/>
      <c r="F33" s="79">
        <f>IFERROR((AVERAGE(F8:F31)),"0")</f>
        <v>283.380952380952</v>
      </c>
      <c r="G33" s="80"/>
      <c r="H33" s="81">
        <f>H32*1000</f>
        <v>11948000</v>
      </c>
      <c r="I33" s="82" t="s">
        <v>15</v>
      </c>
      <c r="J33" s="83"/>
      <c r="K33" s="84"/>
      <c r="L33" s="85"/>
      <c r="M33" s="86"/>
      <c r="N33" s="85"/>
      <c r="O33" s="87"/>
      <c r="P33" s="87"/>
      <c r="Q33" s="88"/>
      <c r="R33" s="88"/>
      <c r="S33" s="89"/>
      <c r="T33" s="89"/>
      <c r="U33" s="89"/>
      <c r="V33" s="89"/>
    </row>
    <row r="34" ht="18.75" customHeight="1" spans="1:29">
      <c r="A34" s="90"/>
      <c r="B34" s="91"/>
      <c r="C34" s="92"/>
      <c r="D34" s="93"/>
      <c r="E34" s="92"/>
      <c r="F34" s="93"/>
      <c r="G34" s="94"/>
      <c r="H34" s="95"/>
      <c r="I34" s="96"/>
      <c r="J34" s="97"/>
      <c r="K34" s="98"/>
      <c r="L34" s="85"/>
      <c r="M34" s="86"/>
      <c r="N34" s="99"/>
      <c r="O34" s="99"/>
      <c r="P34" s="99"/>
      <c r="Q34" s="99"/>
      <c r="R34" s="88"/>
      <c r="S34" s="89"/>
      <c r="T34" s="89"/>
      <c r="U34" s="89"/>
      <c r="V34" s="89"/>
    </row>
    <row r="35" ht="22.5" customHeight="1" spans="1:29">
      <c r="A35" s="100" t="s">
        <v>16</v>
      </c>
      <c r="B35" s="101">
        <f>COUNT(B8:B31)</f>
        <v>0</v>
      </c>
      <c r="C35" s="102"/>
      <c r="D35" s="103">
        <f>COUNT(D8:D31)</f>
        <v>22</v>
      </c>
      <c r="E35" s="102"/>
      <c r="F35" s="103">
        <f>COUNT(F8:F31)</f>
        <v>21</v>
      </c>
      <c r="G35" s="104"/>
      <c r="H35" s="105"/>
      <c r="I35" s="106"/>
      <c r="J35" s="107"/>
      <c r="K35" s="107"/>
      <c r="L35" s="107"/>
      <c r="M35" s="107"/>
      <c r="N35" s="99"/>
      <c r="O35" s="99"/>
      <c r="P35" s="99"/>
      <c r="Q35" s="99"/>
      <c r="R35" s="108"/>
      <c r="S35" s="89"/>
      <c r="T35" s="89"/>
      <c r="U35" s="89"/>
      <c r="V35" s="89"/>
    </row>
    <row r="36" ht="9" customHeight="1" spans="1:29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10"/>
      <c r="N36" s="106"/>
      <c r="O36" s="107"/>
      <c r="P36" s="107"/>
      <c r="Q36" s="107"/>
      <c r="R36" s="107"/>
      <c r="S36" s="107"/>
      <c r="T36" s="107"/>
      <c r="U36" s="111"/>
      <c r="V36" s="112"/>
      <c r="W36" s="108"/>
      <c r="X36" s="108"/>
      <c r="Y36" s="108"/>
      <c r="Z36" s="89"/>
      <c r="AA36" s="89"/>
      <c r="AB36" s="89"/>
      <c r="AC36" s="89"/>
    </row>
    <row r="37" ht="24" customHeight="1" spans="1:29">
      <c r="D37" s="113"/>
      <c r="E37" s="113"/>
      <c r="F37" s="113"/>
      <c r="G37" s="113"/>
      <c r="H37" s="113"/>
      <c r="I37" s="113"/>
      <c r="J37" s="113"/>
      <c r="K37" s="114"/>
      <c r="L37" s="114"/>
      <c r="N37" s="115" t="s">
        <v>17</v>
      </c>
      <c r="O37" s="116"/>
      <c r="P37" s="116"/>
      <c r="Q37" s="117"/>
      <c r="R37" s="118">
        <f>SUM(B35:F35)</f>
        <v>43</v>
      </c>
      <c r="S37" s="69"/>
      <c r="T37" s="69"/>
      <c r="U37" s="69"/>
      <c r="V37" s="69"/>
      <c r="X37" s="119"/>
      <c r="Y37" s="119"/>
      <c r="Z37" s="119"/>
      <c r="AA37" s="119"/>
      <c r="AB37" s="119"/>
      <c r="AC37" s="114"/>
    </row>
    <row r="38" ht="15" spans="1:29">
      <c r="D38" s="113"/>
      <c r="E38" s="113"/>
      <c r="F38" s="113"/>
      <c r="G38" s="113"/>
      <c r="H38" s="113"/>
      <c r="I38" s="113"/>
      <c r="J38" s="113"/>
      <c r="K38" s="114"/>
      <c r="L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</row>
    <row r="39" ht="24.75" customHeight="1" spans="1:29">
      <c r="A39" s="120" t="s">
        <v>18</v>
      </c>
      <c r="B39" s="121"/>
      <c r="C39" s="122">
        <f>MAX(H8:H31)</f>
        <v>730</v>
      </c>
      <c r="D39" s="123"/>
      <c r="E39" s="124">
        <f>VLOOKUP(C39,H8:L31,4,FALSE)</f>
        <v>0.833333333333333</v>
      </c>
      <c r="F39" s="125"/>
      <c r="G39" s="125"/>
      <c r="H39" s="126" t="s">
        <v>19</v>
      </c>
      <c r="I39" s="127"/>
      <c r="J39" s="128"/>
      <c r="K39" s="129">
        <f>MAX(J8:J31)</f>
        <v>2</v>
      </c>
      <c r="L39" s="130"/>
      <c r="N39" s="131" t="s">
        <v>20</v>
      </c>
      <c r="O39" s="132"/>
      <c r="P39" s="132"/>
      <c r="Q39" s="133"/>
      <c r="R39" s="134">
        <f>AVERAGE(H8:H31)</f>
        <v>497.833333333333</v>
      </c>
      <c r="S39" s="135"/>
      <c r="T39" s="135"/>
    </row>
    <row r="40" ht="15" spans="1:29">
      <c r="C40" s="136"/>
      <c r="D40" s="137"/>
      <c r="E40" s="138"/>
      <c r="F40" s="138"/>
      <c r="G40" s="138"/>
      <c r="H40" s="138"/>
      <c r="I40" s="139"/>
      <c r="J40" s="106"/>
      <c r="K40" s="110"/>
      <c r="L40" s="110"/>
      <c r="N40" s="140"/>
      <c r="O40" s="140"/>
      <c r="P40" s="140"/>
      <c r="Q40" s="140"/>
      <c r="R40" s="140"/>
      <c r="X40" s="5"/>
      <c r="Y40" s="5"/>
      <c r="Z40" s="5"/>
      <c r="AA40" s="5"/>
      <c r="AB40" s="5"/>
      <c r="AC40" s="141"/>
    </row>
    <row r="41" ht="24.75" customHeight="1" spans="1:29">
      <c r="A41" s="120" t="s">
        <v>21</v>
      </c>
      <c r="B41" s="121"/>
      <c r="C41" s="122">
        <f>MIN(H8:H31)</f>
        <v>232</v>
      </c>
      <c r="D41" s="123"/>
      <c r="E41" s="124">
        <f>VLOOKUP(C41,H8:L31,4,FALSE)</f>
        <v>0.25</v>
      </c>
      <c r="F41" s="142"/>
      <c r="G41" s="125"/>
      <c r="H41" s="126" t="s">
        <v>22</v>
      </c>
      <c r="I41" s="127"/>
      <c r="J41" s="128"/>
      <c r="K41" s="129">
        <f>MIN(J8:J31)</f>
        <v>1</v>
      </c>
      <c r="L41" s="130"/>
      <c r="N41" s="126" t="s">
        <v>23</v>
      </c>
      <c r="O41" s="127"/>
      <c r="P41" s="127"/>
      <c r="Q41" s="128"/>
      <c r="R41" s="143">
        <f>AVERAGE(I8:I31)</f>
        <v>286.25</v>
      </c>
      <c r="S41" s="144"/>
      <c r="T41" s="144"/>
      <c r="U41" s="144"/>
      <c r="V41" s="144"/>
      <c r="X41" s="145"/>
    </row>
    <row r="42" ht="15" spans="1:29">
      <c r="D42" s="138"/>
      <c r="E42" s="138"/>
      <c r="F42" s="138"/>
      <c r="G42" s="138"/>
      <c r="H42" s="138"/>
      <c r="I42" s="146"/>
      <c r="J42" s="138"/>
      <c r="K42" s="147"/>
      <c r="L42" s="147"/>
      <c r="V42" s="148"/>
      <c r="W42" s="148"/>
      <c r="X42" s="149"/>
      <c r="Y42" s="149"/>
      <c r="Z42" s="150"/>
      <c r="AA42" s="150"/>
      <c r="AB42" s="150"/>
      <c r="AC42" s="150"/>
    </row>
    <row r="43" ht="24.75" customHeight="1" spans="1:29">
      <c r="C43" s="136"/>
      <c r="H43" s="151"/>
      <c r="I43" s="151"/>
      <c r="J43" s="151"/>
      <c r="K43" s="145"/>
      <c r="L43" s="139"/>
      <c r="N43" s="152" t="s">
        <v>24</v>
      </c>
      <c r="O43" s="153"/>
      <c r="P43" s="153"/>
      <c r="Q43" s="154"/>
      <c r="R43" s="155" t="e">
        <f>AVERAGE(T8:T31)</f>
        <v>#DIV/0!</v>
      </c>
      <c r="X43" s="156"/>
      <c r="Z43" s="157"/>
      <c r="AA43" s="157"/>
      <c r="AB43" s="157"/>
      <c r="AC43" s="157"/>
    </row>
    <row r="44" ht="19.5" spans="1:29">
      <c r="I44" s="158"/>
      <c r="K44" s="159"/>
      <c r="L44" s="159"/>
      <c r="Z44" s="160"/>
      <c r="AA44" s="160"/>
      <c r="AB44" s="160"/>
      <c r="AC44" s="160"/>
    </row>
    <row r="45" ht="24.75" customHeight="1" spans="1:29">
      <c r="D45" s="158"/>
      <c r="E45" s="158"/>
      <c r="F45" s="158"/>
      <c r="G45" s="158"/>
      <c r="H45" s="158"/>
      <c r="N45" s="126" t="s">
        <v>25</v>
      </c>
      <c r="O45" s="127"/>
      <c r="P45" s="127"/>
      <c r="Q45" s="128"/>
      <c r="R45" s="161">
        <f>SUM(M32-H32)/24</f>
        <v>-477.789583333323</v>
      </c>
      <c r="X45" s="162"/>
      <c r="Z45" s="163"/>
      <c r="AA45" s="163"/>
      <c r="AB45" s="163"/>
      <c r="AC45" s="163"/>
    </row>
    <row r="46" spans="1:29">
      <c r="Z46" s="164"/>
      <c r="AA46" s="164"/>
      <c r="AB46" s="164"/>
      <c r="AC46" s="164"/>
    </row>
    <row r="47" spans="1:29">
      <c r="Z47" s="139"/>
      <c r="AA47" s="139"/>
      <c r="AB47" s="139"/>
      <c r="AC47" s="139"/>
    </row>
    <row r="48" spans="1:29">
      <c r="Z48" s="139"/>
      <c r="AA48" s="139"/>
      <c r="AB48" s="139"/>
      <c r="AC48" s="139"/>
    </row>
    <row r="49" spans="11:29">
      <c r="Z49" s="157"/>
      <c r="AA49" s="157"/>
      <c r="AB49" s="157"/>
      <c r="AC49" s="157"/>
    </row>
    <row r="50" spans="11:29">
      <c r="Z50" s="157"/>
      <c r="AA50" s="157"/>
      <c r="AB50" s="157"/>
      <c r="AC50" s="157"/>
    </row>
    <row r="51" spans="11:29">
      <c r="K51" s="150"/>
      <c r="L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0"/>
      <c r="AC51" s="150"/>
    </row>
    <row r="52" spans="11:29">
      <c r="K52" s="150"/>
      <c r="L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  <c r="AB52" s="150"/>
      <c r="AC52" s="150"/>
    </row>
    <row r="53" spans="11:29">
      <c r="K53" s="150"/>
      <c r="L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50"/>
      <c r="AB53" s="150"/>
      <c r="AC53" s="150"/>
    </row>
    <row r="60" spans="11:29">
      <c r="O60" s="165"/>
      <c r="P60" s="165"/>
      <c r="Q60" s="165"/>
      <c r="R60" s="165"/>
      <c r="S60" s="165"/>
      <c r="T60" s="165"/>
    </row>
    <row r="61" spans="11:29">
      <c r="O61" s="165"/>
      <c r="P61" s="165"/>
      <c r="Q61" s="165"/>
      <c r="R61" s="165"/>
      <c r="S61" s="165"/>
      <c r="T61" s="165"/>
    </row>
    <row r="62" spans="11:29">
      <c r="O62" s="165"/>
      <c r="P62" s="165"/>
      <c r="Q62" s="165"/>
      <c r="R62" s="165"/>
      <c r="S62" s="165"/>
      <c r="T62" s="165"/>
    </row>
    <row r="63" spans="11:29">
      <c r="O63" s="165"/>
      <c r="P63" s="165"/>
      <c r="Q63" s="165"/>
      <c r="R63" s="165"/>
      <c r="S63" s="165"/>
      <c r="T63" s="165"/>
    </row>
    <row r="64" spans="11:29">
      <c r="O64" s="165"/>
      <c r="P64" s="165"/>
      <c r="Q64" s="165"/>
      <c r="R64" s="165"/>
      <c r="S64" s="165"/>
      <c r="T64" s="165"/>
    </row>
    <row r="65" spans="15:20">
      <c r="O65" s="165"/>
      <c r="P65" s="165"/>
      <c r="Q65" s="165"/>
      <c r="R65" s="165"/>
      <c r="S65" s="165"/>
      <c r="T65" s="165"/>
    </row>
    <row r="66" spans="15:20">
      <c r="O66" s="165"/>
      <c r="P66" s="165"/>
      <c r="Q66" s="165"/>
      <c r="R66" s="165"/>
      <c r="S66" s="165"/>
      <c r="T66" s="165"/>
    </row>
    <row r="67" spans="15:20">
      <c r="O67" s="165"/>
      <c r="P67" s="165"/>
      <c r="Q67" s="165"/>
      <c r="R67" s="165"/>
      <c r="S67" s="165"/>
      <c r="T67" s="165"/>
    </row>
    <row r="68" spans="15:20">
      <c r="O68" s="165"/>
      <c r="P68" s="165"/>
      <c r="Q68" s="165"/>
      <c r="R68" s="165"/>
      <c r="S68" s="165"/>
      <c r="T68" s="165"/>
    </row>
  </sheetData>
  <mergeCells count="116">
    <mergeCell ref="H4:K4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B29:C29"/>
    <mergeCell ref="D29:E29"/>
    <mergeCell ref="F29:G2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N34:Q34"/>
    <mergeCell ref="B35:C35"/>
    <mergeCell ref="D35:E35"/>
    <mergeCell ref="F35:G35"/>
    <mergeCell ref="N35:Q35"/>
    <mergeCell ref="N37:Q37"/>
    <mergeCell ref="A39:B39"/>
    <mergeCell ref="C39:D39"/>
    <mergeCell ref="H39:J39"/>
    <mergeCell ref="N39:Q39"/>
    <mergeCell ref="A41:B41"/>
    <mergeCell ref="C41:D41"/>
    <mergeCell ref="H41:J41"/>
    <mergeCell ref="N41:Q41"/>
    <mergeCell ref="H43:J43"/>
    <mergeCell ref="N43:Q43"/>
    <mergeCell ref="N45:Q45"/>
    <mergeCell ref="A6:A7"/>
    <mergeCell ref="A33:A34"/>
    <mergeCell ref="H6:H7"/>
    <mergeCell ref="H33:H34"/>
    <mergeCell ref="I6:I7"/>
    <mergeCell ref="I33:I34"/>
    <mergeCell ref="J6:J7"/>
    <mergeCell ref="K6:K7"/>
    <mergeCell ref="L6:L7"/>
    <mergeCell ref="M6:M7"/>
    <mergeCell ref="N6:N7"/>
    <mergeCell ref="O6:O7"/>
    <mergeCell ref="T6:T7"/>
    <mergeCell ref="U6:U7"/>
    <mergeCell ref="B33:C34"/>
    <mergeCell ref="D33:E34"/>
    <mergeCell ref="F33:G34"/>
  </mergeCells>
  <conditionalFormatting sqref="O8">
    <cfRule type="cellIs" dxfId="0" priority="10" operator="equal">
      <formula>"N/A"</formula>
    </cfRule>
  </conditionalFormatting>
  <conditionalFormatting sqref="A30">
    <cfRule type="cellIs" dxfId="1" priority="11" operator="equal">
      <formula>"STB"</formula>
    </cfRule>
    <cfRule type="cellIs" dxfId="0" priority="12" operator="equal">
      <formula>"BD"</formula>
    </cfRule>
  </conditionalFormatting>
  <conditionalFormatting sqref="B8:B31">
    <cfRule type="cellIs" dxfId="1" priority="1" operator="equal">
      <formula>"STB"</formula>
    </cfRule>
    <cfRule type="cellIs" dxfId="0" priority="2" operator="equal">
      <formula>"BD"</formula>
    </cfRule>
  </conditionalFormatting>
  <conditionalFormatting sqref="D8:D31">
    <cfRule type="cellIs" dxfId="1" priority="8" operator="equal">
      <formula>"STB"</formula>
    </cfRule>
    <cfRule type="cellIs" dxfId="0" priority="9" operator="equal">
      <formula>"BD"</formula>
    </cfRule>
  </conditionalFormatting>
  <conditionalFormatting sqref="F8:F31">
    <cfRule type="cellIs" dxfId="1" priority="3" operator="equal">
      <formula>"STB"</formula>
    </cfRule>
    <cfRule type="cellIs" dxfId="0" priority="4" operator="equal">
      <formula>"BD"</formula>
    </cfRule>
  </conditionalFormatting>
  <conditionalFormatting sqref="H8:H31">
    <cfRule type="top10" dxfId="2" priority="5" bottom="1" rank="1"/>
    <cfRule type="top10" dxfId="3" priority="6" rank="1"/>
    <cfRule type="cellIs" dxfId="4" priority="7" stopIfTrue="1" operator="equal">
      <formula>28000</formula>
    </cfRule>
  </conditionalFormatting>
  <conditionalFormatting sqref="H32:H33">
    <cfRule type="top10" dxfId="2" priority="14" bottom="1" rank="1"/>
    <cfRule type="top10" dxfId="3" priority="15" rank="1"/>
    <cfRule type="cellIs" dxfId="4" priority="17" stopIfTrue="1" operator="equal">
      <formula>28000</formula>
    </cfRule>
  </conditionalFormatting>
  <conditionalFormatting sqref="Y8:Y31">
    <cfRule type="containsText" dxfId="5" priority="13" operator="between" text="-">
      <formula>NOT(ISERROR(SEARCH("-",Y8)))</formula>
    </cfRule>
  </conditionalFormatting>
  <conditionalFormatting sqref="N8 N9:O31">
    <cfRule type="cellIs" dxfId="0" priority="16" operator="equal">
      <formula>"BD"</formula>
    </cfRule>
  </conditionalFormatting>
  <pageMargins left="0.7" right="0.7" top="0.75" bottom="0.75" header="0.3" footer="0.3"/>
  <pageSetup paperSize="1" orientation="portrait" verticalDpi="36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C68"/>
  <sheetViews>
    <sheetView zoomScale="80" zoomScaleNormal="80" workbookViewId="0">
      <pane ySplit="7" topLeftCell="A9" activePane="bottomLeft" state="frozen"/>
      <selection/>
      <selection pane="bottomLeft" activeCell="A3" sqref="$A3:$XFD3"/>
    </sheetView>
  </sheetViews>
  <sheetFormatPr defaultColWidth="8.81666666666667" defaultRowHeight="14.25"/>
  <cols>
    <col min="1" max="1" width="16.725" customWidth="1"/>
    <col min="2" max="2" width="8.725" customWidth="1"/>
    <col min="3" max="7" width="5.725" customWidth="1"/>
    <col min="8" max="8" width="14.2666666666667" customWidth="1"/>
    <col min="9" max="9" width="15.1833333333333" customWidth="1"/>
    <col min="10" max="10" width="15.5416666666667" customWidth="1"/>
    <col min="11" max="11" width="7" customWidth="1"/>
    <col min="12" max="12" width="8.54166666666667" customWidth="1"/>
    <col min="13" max="13" width="11.725" style="5" customWidth="1"/>
    <col min="14" max="14" width="17.1833333333333" customWidth="1"/>
    <col min="15" max="15" width="15.45" customWidth="1"/>
    <col min="16" max="16" width="7.45" customWidth="1"/>
    <col min="17" max="17" width="9.54166666666667" customWidth="1"/>
    <col min="18" max="18" width="10" customWidth="1"/>
    <col min="19" max="20" width="9.81666666666667" customWidth="1"/>
    <col min="21" max="21" width="6.725" customWidth="1"/>
    <col min="22" max="22" width="13.8166666666667" customWidth="1"/>
    <col min="23" max="23" width="11.2666666666667" customWidth="1"/>
    <col min="24" max="24" width="9.26666666666667" customWidth="1"/>
    <col min="25" max="25" width="3.725" customWidth="1"/>
    <col min="26" max="29" width="7.725" customWidth="1"/>
    <col min="30" max="30" width="6.725" customWidth="1"/>
  </cols>
  <sheetData>
    <row r="1" ht="3" customHeight="1"/>
    <row r="2" ht="6" customHeight="1" spans="1:2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="1" customFormat="1" ht="6.75" customHeight="1" spans="1:29">
      <c r="K3" s="7"/>
      <c r="L3" s="8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17.25" customHeight="1" spans="1:29">
      <c r="A4" s="1"/>
      <c r="B4" s="10"/>
      <c r="C4" s="10"/>
      <c r="D4" s="10"/>
      <c r="E4" s="11"/>
      <c r="F4" s="11"/>
      <c r="G4" s="11"/>
      <c r="H4" s="12">
        <f>'[12]Taniwel daily'!C4</f>
        <v>45303</v>
      </c>
      <c r="I4" s="13"/>
      <c r="J4" s="13"/>
      <c r="K4" s="14"/>
      <c r="L4" s="15"/>
      <c r="M4" s="16"/>
      <c r="N4" s="10"/>
      <c r="O4" s="10"/>
      <c r="P4" s="10"/>
      <c r="Q4" s="10"/>
      <c r="R4" s="10"/>
      <c r="S4" s="10"/>
      <c r="T4" s="10"/>
      <c r="U4" s="10"/>
      <c r="V4" s="7"/>
      <c r="W4" s="7"/>
      <c r="X4" s="7"/>
      <c r="Y4" s="7"/>
      <c r="Z4" s="7"/>
      <c r="AA4" s="7"/>
      <c r="AB4" s="7"/>
      <c r="AC4" s="7"/>
    </row>
    <row r="5" ht="7.5" customHeight="1" spans="1:29">
      <c r="A5" s="1"/>
      <c r="B5" s="17"/>
      <c r="C5" s="1"/>
      <c r="D5" s="1"/>
      <c r="E5" s="1"/>
      <c r="F5" s="1"/>
      <c r="G5" s="1"/>
      <c r="H5" s="1"/>
      <c r="I5" s="1"/>
      <c r="J5" s="1"/>
      <c r="K5" s="18"/>
      <c r="L5" s="7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ht="17.25" customHeight="1" spans="1:29">
      <c r="A6" s="19" t="s">
        <v>0</v>
      </c>
      <c r="B6" s="20" t="s">
        <v>1</v>
      </c>
      <c r="C6" s="21"/>
      <c r="D6" s="20" t="s">
        <v>2</v>
      </c>
      <c r="E6" s="21"/>
      <c r="F6" s="20" t="s">
        <v>3</v>
      </c>
      <c r="G6" s="21"/>
      <c r="H6" s="22" t="s">
        <v>4</v>
      </c>
      <c r="I6" s="22" t="s">
        <v>5</v>
      </c>
      <c r="J6" s="23" t="s">
        <v>6</v>
      </c>
      <c r="K6" s="19" t="s">
        <v>0</v>
      </c>
      <c r="L6" s="24" t="s">
        <v>7</v>
      </c>
      <c r="M6" s="25" t="s">
        <v>8</v>
      </c>
      <c r="N6" s="26" t="s">
        <v>9</v>
      </c>
      <c r="O6" s="25" t="s">
        <v>10</v>
      </c>
      <c r="P6" s="27"/>
      <c r="Q6" s="28"/>
      <c r="R6" s="28"/>
      <c r="S6" s="28"/>
      <c r="T6" s="28"/>
      <c r="U6" s="29"/>
    </row>
    <row r="7" ht="15.75" customHeight="1" spans="1:29">
      <c r="A7" s="30"/>
      <c r="B7" s="31">
        <v>1</v>
      </c>
      <c r="C7" s="32"/>
      <c r="D7" s="31">
        <v>2</v>
      </c>
      <c r="E7" s="32"/>
      <c r="F7" s="31">
        <v>3</v>
      </c>
      <c r="G7" s="32"/>
      <c r="H7" s="33"/>
      <c r="I7" s="33"/>
      <c r="J7" s="34"/>
      <c r="K7" s="30"/>
      <c r="L7" s="35"/>
      <c r="M7" s="36"/>
      <c r="N7" s="37"/>
      <c r="O7" s="38"/>
      <c r="P7" s="27"/>
      <c r="Q7" s="28"/>
      <c r="R7" s="28"/>
      <c r="S7" s="28"/>
      <c r="T7" s="28"/>
      <c r="U7" s="29"/>
      <c r="X7" s="39"/>
    </row>
    <row r="8" s="2" customFormat="1" ht="15" customHeight="1" spans="1:29">
      <c r="A8" s="40">
        <v>0.0416666666666666</v>
      </c>
      <c r="B8" s="41" t="s">
        <v>11</v>
      </c>
      <c r="C8" s="42"/>
      <c r="D8" s="41">
        <v>247</v>
      </c>
      <c r="E8" s="42"/>
      <c r="F8" s="41">
        <v>249</v>
      </c>
      <c r="G8" s="42"/>
      <c r="H8" s="43">
        <f t="shared" ref="H8:H31" si="0">IF(SUM(B8:G8)/1000=0,"0",SUM(B8:G8))</f>
        <v>496</v>
      </c>
      <c r="I8" s="44">
        <f t="shared" ref="I8:I31" si="1">IFERROR(AVERAGE(B8:G8),"0")</f>
        <v>248</v>
      </c>
      <c r="J8" s="45">
        <f t="shared" ref="J8:J31" si="2">COUNT(B8:G8)</f>
        <v>2</v>
      </c>
      <c r="K8" s="46">
        <v>0.0416666666666667</v>
      </c>
      <c r="L8" s="47">
        <v>4500</v>
      </c>
      <c r="M8" s="48">
        <v>166.14</v>
      </c>
      <c r="N8" s="49">
        <f>(M9-M8)*12000</f>
        <v>600.000000000136</v>
      </c>
      <c r="O8" s="50"/>
      <c r="P8" s="51"/>
      <c r="Q8" s="52"/>
      <c r="R8" s="52"/>
      <c r="S8" s="52"/>
      <c r="T8" s="52"/>
      <c r="U8" s="53"/>
    </row>
    <row r="9" s="3" customFormat="1" ht="15" customHeight="1" spans="1:29">
      <c r="A9" s="40">
        <v>0.0833333333333333</v>
      </c>
      <c r="B9" s="41" t="s">
        <v>11</v>
      </c>
      <c r="C9" s="42"/>
      <c r="D9" s="41">
        <v>236</v>
      </c>
      <c r="E9" s="42"/>
      <c r="F9" s="41">
        <v>238</v>
      </c>
      <c r="G9" s="42"/>
      <c r="H9" s="43">
        <f t="shared" si="0"/>
        <v>474</v>
      </c>
      <c r="I9" s="44">
        <f t="shared" si="1"/>
        <v>237</v>
      </c>
      <c r="J9" s="45">
        <f t="shared" si="2"/>
        <v>2</v>
      </c>
      <c r="K9" s="46">
        <v>0.0833333333333333</v>
      </c>
      <c r="L9" s="47">
        <v>4200</v>
      </c>
      <c r="M9" s="54">
        <v>166.19</v>
      </c>
      <c r="N9" s="49">
        <f t="shared" ref="N9:N30" si="3">(M10-M9)*12000</f>
        <v>600.000000000136</v>
      </c>
      <c r="O9" s="55"/>
      <c r="P9" s="51"/>
      <c r="Q9" s="52"/>
      <c r="R9" s="52"/>
      <c r="S9" s="52"/>
      <c r="T9" s="52"/>
      <c r="U9" s="53"/>
    </row>
    <row r="10" s="3" customFormat="1" ht="15" customHeight="1" spans="1:29">
      <c r="A10" s="40">
        <v>0.125</v>
      </c>
      <c r="B10" s="41" t="s">
        <v>11</v>
      </c>
      <c r="C10" s="42"/>
      <c r="D10" s="41">
        <v>226</v>
      </c>
      <c r="E10" s="42"/>
      <c r="F10" s="41">
        <v>264</v>
      </c>
      <c r="G10" s="42"/>
      <c r="H10" s="43">
        <f t="shared" si="0"/>
        <v>490</v>
      </c>
      <c r="I10" s="44">
        <f t="shared" si="1"/>
        <v>245</v>
      </c>
      <c r="J10" s="45">
        <f t="shared" si="2"/>
        <v>2</v>
      </c>
      <c r="K10" s="46">
        <v>0.125</v>
      </c>
      <c r="L10" s="47">
        <v>4200</v>
      </c>
      <c r="M10" s="54">
        <v>166.24</v>
      </c>
      <c r="N10" s="49">
        <f t="shared" si="3"/>
        <v>479.999999999905</v>
      </c>
      <c r="O10" s="56"/>
      <c r="P10" s="51"/>
      <c r="Q10" s="52"/>
      <c r="R10" s="52"/>
      <c r="S10" s="52"/>
      <c r="T10" s="52"/>
      <c r="U10" s="53"/>
    </row>
    <row r="11" s="3" customFormat="1" ht="15" customHeight="1" spans="1:29">
      <c r="A11" s="40">
        <v>0.166666666666667</v>
      </c>
      <c r="B11" s="41" t="s">
        <v>11</v>
      </c>
      <c r="C11" s="42"/>
      <c r="D11" s="41">
        <v>239</v>
      </c>
      <c r="E11" s="42"/>
      <c r="F11" s="41">
        <v>249</v>
      </c>
      <c r="G11" s="42"/>
      <c r="H11" s="43">
        <f t="shared" si="0"/>
        <v>488</v>
      </c>
      <c r="I11" s="44">
        <f t="shared" si="1"/>
        <v>244</v>
      </c>
      <c r="J11" s="45">
        <f t="shared" si="2"/>
        <v>2</v>
      </c>
      <c r="K11" s="46">
        <v>0.166666666666667</v>
      </c>
      <c r="L11" s="47">
        <v>4000</v>
      </c>
      <c r="M11" s="54">
        <v>166.28</v>
      </c>
      <c r="N11" s="49">
        <f t="shared" si="3"/>
        <v>600.000000000136</v>
      </c>
      <c r="O11" s="56"/>
      <c r="P11" s="51"/>
      <c r="Q11" s="52"/>
      <c r="R11" s="52"/>
      <c r="S11" s="52"/>
      <c r="T11" s="52"/>
      <c r="U11" s="53"/>
    </row>
    <row r="12" s="3" customFormat="1" ht="15" customHeight="1" spans="1:29">
      <c r="A12" s="40">
        <v>0.208333333333333</v>
      </c>
      <c r="B12" s="41" t="s">
        <v>11</v>
      </c>
      <c r="C12" s="42"/>
      <c r="D12" s="41">
        <v>246</v>
      </c>
      <c r="E12" s="42"/>
      <c r="F12" s="41">
        <v>242</v>
      </c>
      <c r="G12" s="42"/>
      <c r="H12" s="43">
        <f t="shared" si="0"/>
        <v>488</v>
      </c>
      <c r="I12" s="44">
        <f t="shared" si="1"/>
        <v>244</v>
      </c>
      <c r="J12" s="45">
        <f t="shared" si="2"/>
        <v>2</v>
      </c>
      <c r="K12" s="46">
        <v>0.208333333333333</v>
      </c>
      <c r="L12" s="47">
        <v>3900</v>
      </c>
      <c r="M12" s="54">
        <v>166.33</v>
      </c>
      <c r="N12" s="49">
        <f t="shared" si="3"/>
        <v>599.999999999795</v>
      </c>
      <c r="O12" s="56"/>
      <c r="P12" s="51"/>
      <c r="Q12" s="52"/>
      <c r="R12" s="52"/>
      <c r="S12" s="52"/>
      <c r="T12" s="52"/>
      <c r="U12" s="53"/>
    </row>
    <row r="13" s="3" customFormat="1" ht="15" customHeight="1" spans="1:29">
      <c r="A13" s="40">
        <v>0.25</v>
      </c>
      <c r="B13" s="41" t="s">
        <v>11</v>
      </c>
      <c r="C13" s="42"/>
      <c r="D13" s="41">
        <v>271</v>
      </c>
      <c r="E13" s="42"/>
      <c r="F13" s="41">
        <v>243</v>
      </c>
      <c r="G13" s="42"/>
      <c r="H13" s="43">
        <f t="shared" si="0"/>
        <v>514</v>
      </c>
      <c r="I13" s="44">
        <f t="shared" si="1"/>
        <v>257</v>
      </c>
      <c r="J13" s="45">
        <f t="shared" si="2"/>
        <v>2</v>
      </c>
      <c r="K13" s="46">
        <v>0.25</v>
      </c>
      <c r="L13" s="47">
        <v>3600</v>
      </c>
      <c r="M13" s="54">
        <v>166.38</v>
      </c>
      <c r="N13" s="49">
        <f t="shared" si="3"/>
        <v>600.000000000136</v>
      </c>
      <c r="O13" s="56"/>
      <c r="P13" s="51"/>
      <c r="Q13" s="52"/>
      <c r="R13" s="52"/>
      <c r="S13" s="52"/>
      <c r="T13" s="52"/>
      <c r="U13" s="53"/>
    </row>
    <row r="14" s="3" customFormat="1" ht="15" customHeight="1" spans="1:29">
      <c r="A14" s="40">
        <v>0.291666666666667</v>
      </c>
      <c r="B14" s="41" t="s">
        <v>11</v>
      </c>
      <c r="C14" s="42"/>
      <c r="D14" s="41">
        <v>269.275</v>
      </c>
      <c r="E14" s="42"/>
      <c r="F14" s="41">
        <v>275</v>
      </c>
      <c r="G14" s="42"/>
      <c r="H14" s="43">
        <f t="shared" si="0"/>
        <v>544.275</v>
      </c>
      <c r="I14" s="44">
        <f t="shared" si="1"/>
        <v>272.1375</v>
      </c>
      <c r="J14" s="45">
        <f t="shared" si="2"/>
        <v>2</v>
      </c>
      <c r="K14" s="46">
        <v>0.291666666666667</v>
      </c>
      <c r="L14" s="47">
        <v>3600</v>
      </c>
      <c r="M14" s="54">
        <v>166.43</v>
      </c>
      <c r="N14" s="49">
        <f t="shared" si="3"/>
        <v>479.999999999905</v>
      </c>
      <c r="O14" s="56"/>
      <c r="P14" s="51"/>
      <c r="Q14" s="52"/>
      <c r="R14" s="52"/>
      <c r="S14" s="52"/>
      <c r="T14" s="52"/>
      <c r="U14" s="53"/>
    </row>
    <row r="15" s="3" customFormat="1" ht="15" customHeight="1" spans="1:29">
      <c r="A15" s="40">
        <v>0.333333333333333</v>
      </c>
      <c r="B15" s="41" t="s">
        <v>11</v>
      </c>
      <c r="C15" s="42"/>
      <c r="D15" s="41" t="s">
        <v>26</v>
      </c>
      <c r="E15" s="42"/>
      <c r="F15" s="41">
        <v>233</v>
      </c>
      <c r="G15" s="42"/>
      <c r="H15" s="43">
        <f t="shared" si="0"/>
        <v>233</v>
      </c>
      <c r="I15" s="44">
        <f t="shared" si="1"/>
        <v>233</v>
      </c>
      <c r="J15" s="45">
        <f t="shared" si="2"/>
        <v>1</v>
      </c>
      <c r="K15" s="46">
        <v>0.333333333333333</v>
      </c>
      <c r="L15" s="47">
        <v>3600</v>
      </c>
      <c r="M15" s="54">
        <v>166.47</v>
      </c>
      <c r="N15" s="49">
        <f t="shared" si="3"/>
        <v>360.000000000014</v>
      </c>
      <c r="O15" s="56"/>
      <c r="P15" s="51"/>
      <c r="Q15" s="52"/>
      <c r="R15" s="52"/>
      <c r="S15" s="52"/>
      <c r="T15" s="52"/>
      <c r="U15" s="53"/>
    </row>
    <row r="16" s="3" customFormat="1" ht="15" customHeight="1" spans="1:29">
      <c r="A16" s="40">
        <v>0.375</v>
      </c>
      <c r="B16" s="41" t="s">
        <v>11</v>
      </c>
      <c r="C16" s="42"/>
      <c r="D16" s="41">
        <v>393</v>
      </c>
      <c r="E16" s="42"/>
      <c r="F16" s="41" t="s">
        <v>26</v>
      </c>
      <c r="G16" s="42"/>
      <c r="H16" s="43">
        <f t="shared" si="0"/>
        <v>393</v>
      </c>
      <c r="I16" s="44">
        <f t="shared" si="1"/>
        <v>393</v>
      </c>
      <c r="J16" s="45">
        <f t="shared" si="2"/>
        <v>1</v>
      </c>
      <c r="K16" s="46">
        <v>0.375</v>
      </c>
      <c r="L16" s="47">
        <v>3600</v>
      </c>
      <c r="M16" s="54">
        <v>166.5</v>
      </c>
      <c r="N16" s="49">
        <f t="shared" si="3"/>
        <v>479.999999999905</v>
      </c>
      <c r="O16" s="56"/>
      <c r="P16" s="51"/>
      <c r="Q16" s="52"/>
      <c r="R16" s="52"/>
      <c r="S16" s="52"/>
      <c r="T16" s="52"/>
      <c r="U16" s="53"/>
    </row>
    <row r="17" s="3" customFormat="1" ht="15" customHeight="1" spans="1:21">
      <c r="A17" s="40">
        <v>0.416666666666667</v>
      </c>
      <c r="B17" s="41" t="s">
        <v>11</v>
      </c>
      <c r="C17" s="42"/>
      <c r="D17" s="41">
        <v>443</v>
      </c>
      <c r="E17" s="42"/>
      <c r="F17" s="41" t="s">
        <v>26</v>
      </c>
      <c r="G17" s="42"/>
      <c r="H17" s="43">
        <f t="shared" si="0"/>
        <v>443</v>
      </c>
      <c r="I17" s="44">
        <f t="shared" si="1"/>
        <v>443</v>
      </c>
      <c r="J17" s="45">
        <f t="shared" si="2"/>
        <v>1</v>
      </c>
      <c r="K17" s="46">
        <v>0.416666666666666</v>
      </c>
      <c r="L17" s="47">
        <v>3400</v>
      </c>
      <c r="M17" s="54">
        <v>166.54</v>
      </c>
      <c r="N17" s="49">
        <f t="shared" si="3"/>
        <v>480.000000000246</v>
      </c>
      <c r="O17" s="56"/>
      <c r="P17" s="51"/>
      <c r="Q17" s="52"/>
      <c r="R17" s="52"/>
      <c r="S17" s="52"/>
      <c r="T17" s="52"/>
      <c r="U17" s="53"/>
    </row>
    <row r="18" s="3" customFormat="1" ht="15" customHeight="1" spans="1:21">
      <c r="A18" s="40">
        <v>0.458333333333333</v>
      </c>
      <c r="B18" s="41" t="s">
        <v>11</v>
      </c>
      <c r="C18" s="42"/>
      <c r="D18" s="41" t="s">
        <v>26</v>
      </c>
      <c r="E18" s="42"/>
      <c r="F18" s="41">
        <v>440</v>
      </c>
      <c r="G18" s="42"/>
      <c r="H18" s="43">
        <f t="shared" si="0"/>
        <v>440</v>
      </c>
      <c r="I18" s="44">
        <f t="shared" si="1"/>
        <v>440</v>
      </c>
      <c r="J18" s="45">
        <f t="shared" si="2"/>
        <v>1</v>
      </c>
      <c r="K18" s="46">
        <v>0.458333333333333</v>
      </c>
      <c r="L18" s="47">
        <v>3300</v>
      </c>
      <c r="M18" s="54">
        <v>166.58</v>
      </c>
      <c r="N18" s="49">
        <f t="shared" si="3"/>
        <v>479.999999999905</v>
      </c>
      <c r="O18" s="56"/>
      <c r="P18" s="51"/>
      <c r="Q18" s="52"/>
      <c r="R18" s="52"/>
      <c r="S18" s="52"/>
      <c r="T18" s="52"/>
      <c r="U18" s="53"/>
    </row>
    <row r="19" s="3" customFormat="1" ht="15" customHeight="1" spans="1:21">
      <c r="A19" s="40">
        <v>0.5</v>
      </c>
      <c r="B19" s="41" t="s">
        <v>11</v>
      </c>
      <c r="C19" s="42"/>
      <c r="D19" s="41" t="s">
        <v>26</v>
      </c>
      <c r="E19" s="42"/>
      <c r="F19" s="41">
        <v>432</v>
      </c>
      <c r="G19" s="42"/>
      <c r="H19" s="43">
        <f t="shared" si="0"/>
        <v>432</v>
      </c>
      <c r="I19" s="44">
        <f t="shared" si="1"/>
        <v>432</v>
      </c>
      <c r="J19" s="45">
        <f t="shared" si="2"/>
        <v>1</v>
      </c>
      <c r="K19" s="46">
        <v>0.5</v>
      </c>
      <c r="L19" s="47">
        <v>3300</v>
      </c>
      <c r="M19" s="54">
        <v>166.62</v>
      </c>
      <c r="N19" s="49">
        <f t="shared" si="3"/>
        <v>360.000000000014</v>
      </c>
      <c r="O19" s="56"/>
      <c r="P19" s="51"/>
      <c r="Q19" s="52"/>
      <c r="R19" s="52"/>
      <c r="S19" s="52"/>
      <c r="T19" s="52"/>
      <c r="U19" s="53"/>
    </row>
    <row r="20" s="3" customFormat="1" ht="15" customHeight="1" spans="1:21">
      <c r="A20" s="40">
        <v>0.541666666666667</v>
      </c>
      <c r="B20" s="41" t="s">
        <v>11</v>
      </c>
      <c r="C20" s="42"/>
      <c r="D20" s="41">
        <v>495</v>
      </c>
      <c r="E20" s="42"/>
      <c r="F20" s="41" t="s">
        <v>26</v>
      </c>
      <c r="G20" s="42"/>
      <c r="H20" s="43">
        <f t="shared" si="0"/>
        <v>495</v>
      </c>
      <c r="I20" s="44">
        <f t="shared" si="1"/>
        <v>495</v>
      </c>
      <c r="J20" s="45">
        <f t="shared" si="2"/>
        <v>1</v>
      </c>
      <c r="K20" s="46">
        <v>0.541666666666667</v>
      </c>
      <c r="L20" s="47">
        <v>3000</v>
      </c>
      <c r="M20" s="54">
        <v>166.65</v>
      </c>
      <c r="N20" s="49">
        <f t="shared" si="3"/>
        <v>479.999999999905</v>
      </c>
      <c r="O20" s="56"/>
      <c r="P20" s="51"/>
      <c r="Q20" s="52"/>
      <c r="R20" s="52"/>
      <c r="S20" s="52"/>
      <c r="T20" s="52"/>
      <c r="U20" s="53"/>
    </row>
    <row r="21" s="3" customFormat="1" ht="15" customHeight="1" spans="1:21">
      <c r="A21" s="40">
        <v>0.583333333333333</v>
      </c>
      <c r="B21" s="41" t="s">
        <v>11</v>
      </c>
      <c r="C21" s="42"/>
      <c r="D21" s="41">
        <v>394</v>
      </c>
      <c r="E21" s="42"/>
      <c r="F21" s="41" t="s">
        <v>26</v>
      </c>
      <c r="G21" s="42"/>
      <c r="H21" s="43">
        <f t="shared" si="0"/>
        <v>394</v>
      </c>
      <c r="I21" s="44">
        <f t="shared" si="1"/>
        <v>394</v>
      </c>
      <c r="J21" s="45">
        <f t="shared" si="2"/>
        <v>1</v>
      </c>
      <c r="K21" s="46">
        <v>0.583333333333333</v>
      </c>
      <c r="L21" s="47">
        <v>3000</v>
      </c>
      <c r="M21" s="54">
        <v>166.69</v>
      </c>
      <c r="N21" s="49">
        <f t="shared" si="3"/>
        <v>360.000000000014</v>
      </c>
      <c r="O21" s="56"/>
      <c r="P21" s="51"/>
      <c r="Q21" s="52"/>
      <c r="R21" s="52"/>
      <c r="S21" s="52"/>
      <c r="T21" s="52"/>
      <c r="U21" s="53"/>
    </row>
    <row r="22" s="3" customFormat="1" ht="15" customHeight="1" spans="1:21">
      <c r="A22" s="40">
        <v>0.625</v>
      </c>
      <c r="B22" s="41" t="s">
        <v>11</v>
      </c>
      <c r="C22" s="42"/>
      <c r="D22" s="41" t="s">
        <v>26</v>
      </c>
      <c r="E22" s="42"/>
      <c r="F22" s="41">
        <v>376</v>
      </c>
      <c r="G22" s="42"/>
      <c r="H22" s="43">
        <f t="shared" si="0"/>
        <v>376</v>
      </c>
      <c r="I22" s="44">
        <f t="shared" si="1"/>
        <v>376</v>
      </c>
      <c r="J22" s="45">
        <f t="shared" si="2"/>
        <v>1</v>
      </c>
      <c r="K22" s="46">
        <v>0.625</v>
      </c>
      <c r="L22" s="47">
        <v>3000</v>
      </c>
      <c r="M22" s="54">
        <v>166.72</v>
      </c>
      <c r="N22" s="49">
        <f t="shared" si="3"/>
        <v>479.999999999905</v>
      </c>
      <c r="O22" s="56"/>
      <c r="P22" s="51"/>
      <c r="Q22" s="52"/>
      <c r="R22" s="52"/>
      <c r="S22" s="52"/>
      <c r="T22" s="52"/>
      <c r="U22" s="53"/>
    </row>
    <row r="23" s="3" customFormat="1" ht="15" customHeight="1" spans="1:21">
      <c r="A23" s="40">
        <v>0.666666666666667</v>
      </c>
      <c r="B23" s="41" t="s">
        <v>11</v>
      </c>
      <c r="C23" s="42"/>
      <c r="D23" s="41">
        <v>382</v>
      </c>
      <c r="E23" s="42"/>
      <c r="F23" s="41" t="s">
        <v>26</v>
      </c>
      <c r="G23" s="42"/>
      <c r="H23" s="43">
        <f t="shared" si="0"/>
        <v>382</v>
      </c>
      <c r="I23" s="44">
        <f t="shared" si="1"/>
        <v>382</v>
      </c>
      <c r="J23" s="45">
        <f t="shared" si="2"/>
        <v>1</v>
      </c>
      <c r="K23" s="46">
        <v>0.666666666666666</v>
      </c>
      <c r="L23" s="47">
        <v>3000</v>
      </c>
      <c r="M23" s="54">
        <v>166.76</v>
      </c>
      <c r="N23" s="49">
        <f t="shared" si="3"/>
        <v>480.000000000246</v>
      </c>
      <c r="O23" s="56"/>
      <c r="P23" s="51"/>
      <c r="Q23" s="52"/>
      <c r="R23" s="52"/>
      <c r="S23" s="52"/>
      <c r="T23" s="52"/>
      <c r="U23" s="53"/>
    </row>
    <row r="24" s="3" customFormat="1" ht="15" customHeight="1" spans="1:21">
      <c r="A24" s="40">
        <v>0.708333333333334</v>
      </c>
      <c r="B24" s="41" t="s">
        <v>11</v>
      </c>
      <c r="C24" s="42"/>
      <c r="D24" s="41">
        <v>389</v>
      </c>
      <c r="E24" s="42"/>
      <c r="F24" s="41" t="s">
        <v>26</v>
      </c>
      <c r="G24" s="42"/>
      <c r="H24" s="43">
        <f t="shared" si="0"/>
        <v>389</v>
      </c>
      <c r="I24" s="44">
        <f t="shared" si="1"/>
        <v>389</v>
      </c>
      <c r="J24" s="45">
        <f t="shared" si="2"/>
        <v>1</v>
      </c>
      <c r="K24" s="46">
        <v>0.708333333333333</v>
      </c>
      <c r="L24" s="47">
        <v>2700</v>
      </c>
      <c r="M24" s="54">
        <v>166.8</v>
      </c>
      <c r="N24" s="49">
        <f t="shared" si="3"/>
        <v>479.999999999905</v>
      </c>
      <c r="O24" s="56"/>
      <c r="P24" s="51"/>
      <c r="Q24" s="52"/>
      <c r="R24" s="52"/>
      <c r="S24" s="52"/>
      <c r="T24" s="52"/>
      <c r="U24" s="53"/>
    </row>
    <row r="25" s="3" customFormat="1" ht="15" customHeight="1" spans="1:21">
      <c r="A25" s="40">
        <v>0.75</v>
      </c>
      <c r="B25" s="41" t="s">
        <v>11</v>
      </c>
      <c r="C25" s="42"/>
      <c r="D25" s="41">
        <v>232</v>
      </c>
      <c r="E25" s="42"/>
      <c r="F25" s="41">
        <v>190</v>
      </c>
      <c r="G25" s="42"/>
      <c r="H25" s="43">
        <f t="shared" si="0"/>
        <v>422</v>
      </c>
      <c r="I25" s="44">
        <f t="shared" si="1"/>
        <v>211</v>
      </c>
      <c r="J25" s="45">
        <f t="shared" si="2"/>
        <v>2</v>
      </c>
      <c r="K25" s="46">
        <v>0.75</v>
      </c>
      <c r="L25" s="47">
        <v>2400</v>
      </c>
      <c r="M25" s="54">
        <v>166.84</v>
      </c>
      <c r="N25" s="49">
        <f t="shared" si="3"/>
        <v>479.999999999905</v>
      </c>
      <c r="O25" s="56"/>
      <c r="P25" s="51"/>
      <c r="Q25" s="52"/>
      <c r="R25" s="52"/>
      <c r="S25" s="52"/>
      <c r="T25" s="52"/>
      <c r="U25" s="53"/>
    </row>
    <row r="26" s="3" customFormat="1" ht="15" customHeight="1" spans="1:21">
      <c r="A26" s="40">
        <v>0.791666666666667</v>
      </c>
      <c r="B26" s="41" t="s">
        <v>11</v>
      </c>
      <c r="C26" s="42"/>
      <c r="D26" s="41">
        <v>297</v>
      </c>
      <c r="E26" s="42"/>
      <c r="F26" s="41">
        <v>281</v>
      </c>
      <c r="G26" s="42"/>
      <c r="H26" s="43">
        <f t="shared" si="0"/>
        <v>578</v>
      </c>
      <c r="I26" s="44">
        <f t="shared" si="1"/>
        <v>289</v>
      </c>
      <c r="J26" s="45">
        <f t="shared" si="2"/>
        <v>2</v>
      </c>
      <c r="K26" s="46">
        <v>0.791666666666666</v>
      </c>
      <c r="L26" s="47">
        <v>2100</v>
      </c>
      <c r="M26" s="54">
        <v>166.88</v>
      </c>
      <c r="N26" s="49">
        <f t="shared" si="3"/>
        <v>720.000000000027</v>
      </c>
      <c r="O26" s="56"/>
      <c r="P26" s="51"/>
      <c r="Q26" s="52"/>
      <c r="R26" s="52"/>
      <c r="S26" s="52"/>
      <c r="T26" s="52"/>
      <c r="U26" s="53"/>
    </row>
    <row r="27" s="3" customFormat="1" ht="15" customHeight="1" spans="1:21">
      <c r="A27" s="40">
        <v>0.833333333333334</v>
      </c>
      <c r="B27" s="41" t="s">
        <v>11</v>
      </c>
      <c r="C27" s="42"/>
      <c r="D27" s="41">
        <v>298</v>
      </c>
      <c r="E27" s="42"/>
      <c r="F27" s="41">
        <v>314</v>
      </c>
      <c r="G27" s="42"/>
      <c r="H27" s="43">
        <f t="shared" si="0"/>
        <v>612</v>
      </c>
      <c r="I27" s="44">
        <f t="shared" si="1"/>
        <v>306</v>
      </c>
      <c r="J27" s="45">
        <f t="shared" si="2"/>
        <v>2</v>
      </c>
      <c r="K27" s="46">
        <v>0.833333333333333</v>
      </c>
      <c r="L27" s="47">
        <v>2100</v>
      </c>
      <c r="M27" s="54">
        <v>166.94</v>
      </c>
      <c r="N27" s="49">
        <f t="shared" si="3"/>
        <v>720.000000000027</v>
      </c>
      <c r="O27" s="56"/>
      <c r="P27" s="51"/>
      <c r="Q27" s="52"/>
      <c r="R27" s="52"/>
      <c r="S27" s="52"/>
      <c r="T27" s="52"/>
      <c r="U27" s="53"/>
    </row>
    <row r="28" s="4" customFormat="1" ht="15" customHeight="1" spans="1:21">
      <c r="A28" s="40">
        <v>0.875</v>
      </c>
      <c r="B28" s="41" t="s">
        <v>11</v>
      </c>
      <c r="C28" s="42"/>
      <c r="D28" s="41">
        <v>274</v>
      </c>
      <c r="E28" s="42"/>
      <c r="F28" s="41">
        <v>296</v>
      </c>
      <c r="G28" s="42"/>
      <c r="H28" s="43">
        <f t="shared" si="0"/>
        <v>570</v>
      </c>
      <c r="I28" s="44">
        <f t="shared" si="1"/>
        <v>285</v>
      </c>
      <c r="J28" s="45">
        <f t="shared" si="2"/>
        <v>2</v>
      </c>
      <c r="K28" s="46">
        <v>0.875</v>
      </c>
      <c r="L28" s="47">
        <v>1800</v>
      </c>
      <c r="M28" s="54">
        <v>167</v>
      </c>
      <c r="N28" s="49">
        <f t="shared" si="3"/>
        <v>600.000000000136</v>
      </c>
      <c r="O28" s="56"/>
      <c r="P28" s="51"/>
      <c r="Q28" s="52"/>
      <c r="R28" s="52"/>
      <c r="S28" s="52"/>
      <c r="T28" s="52"/>
      <c r="U28" s="53"/>
    </row>
    <row r="29" s="3" customFormat="1" ht="15" customHeight="1" spans="1:21">
      <c r="A29" s="40">
        <v>0.916666666666667</v>
      </c>
      <c r="B29" s="41" t="s">
        <v>11</v>
      </c>
      <c r="C29" s="42"/>
      <c r="D29" s="41">
        <v>276</v>
      </c>
      <c r="E29" s="42"/>
      <c r="F29" s="41">
        <v>250</v>
      </c>
      <c r="G29" s="42"/>
      <c r="H29" s="43">
        <f t="shared" si="0"/>
        <v>526</v>
      </c>
      <c r="I29" s="44">
        <f t="shared" si="1"/>
        <v>263</v>
      </c>
      <c r="J29" s="45">
        <f t="shared" si="2"/>
        <v>2</v>
      </c>
      <c r="K29" s="46">
        <v>0.916666666666666</v>
      </c>
      <c r="L29" s="47">
        <v>1800</v>
      </c>
      <c r="M29" s="54">
        <v>167.05</v>
      </c>
      <c r="N29" s="49">
        <f t="shared" si="3"/>
        <v>479.999999999905</v>
      </c>
      <c r="O29" s="56"/>
      <c r="P29" s="51"/>
      <c r="Q29" s="52"/>
      <c r="R29" s="52"/>
      <c r="S29" s="52"/>
      <c r="T29" s="52"/>
      <c r="U29" s="53"/>
    </row>
    <row r="30" s="3" customFormat="1" ht="15" customHeight="1" spans="1:21">
      <c r="A30" s="40">
        <v>0.958333333333334</v>
      </c>
      <c r="B30" s="41" t="s">
        <v>11</v>
      </c>
      <c r="C30" s="42"/>
      <c r="D30" s="41">
        <v>251</v>
      </c>
      <c r="E30" s="42"/>
      <c r="F30" s="41">
        <v>234</v>
      </c>
      <c r="G30" s="42"/>
      <c r="H30" s="43">
        <f t="shared" si="0"/>
        <v>485</v>
      </c>
      <c r="I30" s="44">
        <f t="shared" si="1"/>
        <v>242.5</v>
      </c>
      <c r="J30" s="45">
        <f t="shared" si="2"/>
        <v>2</v>
      </c>
      <c r="K30" s="46">
        <v>0.958333333333333</v>
      </c>
      <c r="L30" s="47">
        <v>1800</v>
      </c>
      <c r="M30" s="54">
        <v>167.09</v>
      </c>
      <c r="N30" s="49">
        <f t="shared" si="3"/>
        <v>599.999999999795</v>
      </c>
      <c r="O30" s="56"/>
      <c r="P30" s="51"/>
      <c r="Q30" s="52"/>
      <c r="R30" s="52"/>
      <c r="S30" s="52"/>
      <c r="T30" s="52"/>
      <c r="U30" s="53"/>
    </row>
    <row r="31" s="2" customFormat="1" ht="15" customHeight="1" spans="1:21">
      <c r="A31" s="57">
        <v>1</v>
      </c>
      <c r="B31" s="41" t="s">
        <v>11</v>
      </c>
      <c r="C31" s="42"/>
      <c r="D31" s="41">
        <v>222</v>
      </c>
      <c r="E31" s="42"/>
      <c r="F31" s="41">
        <v>237</v>
      </c>
      <c r="G31" s="42"/>
      <c r="H31" s="43">
        <f t="shared" si="0"/>
        <v>459</v>
      </c>
      <c r="I31" s="58">
        <f t="shared" si="1"/>
        <v>229.5</v>
      </c>
      <c r="J31" s="59">
        <f t="shared" si="2"/>
        <v>2</v>
      </c>
      <c r="K31" s="60">
        <v>1</v>
      </c>
      <c r="L31" s="47">
        <v>4500</v>
      </c>
      <c r="M31" s="61">
        <v>167.14</v>
      </c>
      <c r="N31" s="49">
        <f>H31</f>
        <v>459</v>
      </c>
      <c r="O31" s="56"/>
      <c r="P31" s="51"/>
      <c r="Q31" s="52"/>
      <c r="R31" s="52"/>
      <c r="S31" s="52"/>
      <c r="T31" s="52"/>
      <c r="U31" s="53"/>
    </row>
    <row r="32" s="3" customFormat="1" ht="23.25" customHeight="1" spans="1:21">
      <c r="A32" s="62" t="s">
        <v>12</v>
      </c>
      <c r="B32" s="63">
        <f>SUM(B8:B31)/1000</f>
        <v>0</v>
      </c>
      <c r="C32" s="64"/>
      <c r="D32" s="63">
        <f>SUM(D8:D31)/1000</f>
        <v>6.080275</v>
      </c>
      <c r="E32" s="64"/>
      <c r="F32" s="63">
        <f>SUM(F8:F31)/1000</f>
        <v>5.043</v>
      </c>
      <c r="G32" s="64"/>
      <c r="H32" s="65">
        <f>SUM(H8:H31)</f>
        <v>11123.275</v>
      </c>
      <c r="I32" s="66" t="s">
        <v>13</v>
      </c>
      <c r="J32" s="67"/>
      <c r="K32" s="68"/>
      <c r="L32" s="69"/>
      <c r="M32" s="70">
        <f>SUM(M31-M8+N8)</f>
        <v>601.000000000136</v>
      </c>
      <c r="N32" s="71">
        <f>SUM(N8:N31)</f>
        <v>12459</v>
      </c>
      <c r="O32" s="72">
        <f>SUM(O8:O31)</f>
        <v>0</v>
      </c>
      <c r="P32" s="73"/>
      <c r="Q32" s="74"/>
      <c r="R32" s="74"/>
      <c r="S32" s="74"/>
      <c r="T32" s="74"/>
      <c r="U32" s="75"/>
    </row>
    <row r="33" ht="15" customHeight="1" spans="1:29">
      <c r="A33" s="76" t="s">
        <v>14</v>
      </c>
      <c r="B33" s="77" t="str">
        <f>IFERROR((AVERAGE(B8:B31)),"0")</f>
        <v>0</v>
      </c>
      <c r="C33" s="78"/>
      <c r="D33" s="79">
        <f>IFERROR((AVERAGE(D8:D31)),"0")</f>
        <v>304.01375</v>
      </c>
      <c r="E33" s="78"/>
      <c r="F33" s="79">
        <f>IFERROR((AVERAGE(F8:F31)),"0")</f>
        <v>280.166666666667</v>
      </c>
      <c r="G33" s="80"/>
      <c r="H33" s="81">
        <f>H32*1000</f>
        <v>11123275</v>
      </c>
      <c r="I33" s="82" t="s">
        <v>15</v>
      </c>
      <c r="J33" s="83"/>
      <c r="K33" s="84"/>
      <c r="L33" s="85"/>
      <c r="M33" s="86"/>
      <c r="N33" s="85"/>
      <c r="O33" s="87"/>
      <c r="P33" s="87"/>
      <c r="Q33" s="88"/>
      <c r="R33" s="88"/>
      <c r="S33" s="89"/>
      <c r="T33" s="89"/>
      <c r="U33" s="89"/>
      <c r="V33" s="89"/>
    </row>
    <row r="34" ht="18.75" customHeight="1" spans="1:29">
      <c r="A34" s="90"/>
      <c r="B34" s="91"/>
      <c r="C34" s="92"/>
      <c r="D34" s="93"/>
      <c r="E34" s="92"/>
      <c r="F34" s="93"/>
      <c r="G34" s="94"/>
      <c r="H34" s="95"/>
      <c r="I34" s="96"/>
      <c r="J34" s="97"/>
      <c r="K34" s="98"/>
      <c r="L34" s="85"/>
      <c r="M34" s="86"/>
      <c r="N34" s="99"/>
      <c r="O34" s="99"/>
      <c r="P34" s="99"/>
      <c r="Q34" s="99"/>
      <c r="R34" s="88"/>
      <c r="S34" s="89"/>
      <c r="T34" s="89"/>
      <c r="U34" s="89"/>
      <c r="V34" s="89"/>
    </row>
    <row r="35" ht="22.5" customHeight="1" spans="1:29">
      <c r="A35" s="100" t="s">
        <v>16</v>
      </c>
      <c r="B35" s="101">
        <f>COUNT(B8:B31)</f>
        <v>0</v>
      </c>
      <c r="C35" s="102"/>
      <c r="D35" s="103">
        <f>COUNT(D8:D31)</f>
        <v>20</v>
      </c>
      <c r="E35" s="102"/>
      <c r="F35" s="103">
        <f>COUNT(F8:F31)</f>
        <v>18</v>
      </c>
      <c r="G35" s="104"/>
      <c r="H35" s="105"/>
      <c r="I35" s="106"/>
      <c r="J35" s="107"/>
      <c r="K35" s="107"/>
      <c r="L35" s="107"/>
      <c r="M35" s="107"/>
      <c r="N35" s="99"/>
      <c r="O35" s="99"/>
      <c r="P35" s="99"/>
      <c r="Q35" s="99"/>
      <c r="R35" s="108"/>
      <c r="S35" s="89"/>
      <c r="T35" s="89"/>
      <c r="U35" s="89"/>
      <c r="V35" s="89"/>
    </row>
    <row r="36" ht="9" customHeight="1" spans="1:29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10"/>
      <c r="N36" s="106"/>
      <c r="O36" s="107"/>
      <c r="P36" s="107"/>
      <c r="Q36" s="107"/>
      <c r="R36" s="107"/>
      <c r="S36" s="107"/>
      <c r="T36" s="107"/>
      <c r="U36" s="111"/>
      <c r="V36" s="112"/>
      <c r="W36" s="108"/>
      <c r="X36" s="108"/>
      <c r="Y36" s="108"/>
      <c r="Z36" s="89"/>
      <c r="AA36" s="89"/>
      <c r="AB36" s="89"/>
      <c r="AC36" s="89"/>
    </row>
    <row r="37" ht="24" customHeight="1" spans="1:29">
      <c r="D37" s="113"/>
      <c r="E37" s="113"/>
      <c r="F37" s="113"/>
      <c r="G37" s="113"/>
      <c r="H37" s="113"/>
      <c r="I37" s="113"/>
      <c r="J37" s="113"/>
      <c r="K37" s="114"/>
      <c r="L37" s="114"/>
      <c r="N37" s="115" t="s">
        <v>17</v>
      </c>
      <c r="O37" s="116"/>
      <c r="P37" s="116"/>
      <c r="Q37" s="117"/>
      <c r="R37" s="118">
        <f>SUM(B35:F35)</f>
        <v>38</v>
      </c>
      <c r="S37" s="69"/>
      <c r="T37" s="69"/>
      <c r="U37" s="69"/>
      <c r="V37" s="69"/>
      <c r="X37" s="119"/>
      <c r="Y37" s="119"/>
      <c r="Z37" s="119"/>
      <c r="AA37" s="119"/>
      <c r="AB37" s="119"/>
      <c r="AC37" s="114"/>
    </row>
    <row r="38" ht="15" spans="1:29">
      <c r="D38" s="113"/>
      <c r="E38" s="113"/>
      <c r="F38" s="113"/>
      <c r="G38" s="113"/>
      <c r="H38" s="113"/>
      <c r="I38" s="113"/>
      <c r="J38" s="113"/>
      <c r="K38" s="114"/>
      <c r="L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</row>
    <row r="39" ht="24.75" customHeight="1" spans="1:29">
      <c r="A39" s="120" t="s">
        <v>18</v>
      </c>
      <c r="B39" s="121"/>
      <c r="C39" s="122">
        <f>MAX(H8:H31)</f>
        <v>612</v>
      </c>
      <c r="D39" s="123"/>
      <c r="E39" s="124">
        <f>VLOOKUP(C39,H8:L31,4,FALSE)</f>
        <v>0.833333333333333</v>
      </c>
      <c r="F39" s="125"/>
      <c r="G39" s="125"/>
      <c r="H39" s="126" t="s">
        <v>19</v>
      </c>
      <c r="I39" s="127"/>
      <c r="J39" s="128"/>
      <c r="K39" s="129">
        <f>MAX(J8:J31)</f>
        <v>2</v>
      </c>
      <c r="L39" s="130"/>
      <c r="N39" s="131" t="s">
        <v>20</v>
      </c>
      <c r="O39" s="132"/>
      <c r="P39" s="132"/>
      <c r="Q39" s="133"/>
      <c r="R39" s="134">
        <f>AVERAGE(H8:H31)</f>
        <v>463.469791666667</v>
      </c>
      <c r="S39" s="135"/>
      <c r="T39" s="135"/>
    </row>
    <row r="40" ht="15" spans="1:29">
      <c r="C40" s="136"/>
      <c r="D40" s="137"/>
      <c r="E40" s="138"/>
      <c r="F40" s="138"/>
      <c r="G40" s="138"/>
      <c r="H40" s="138"/>
      <c r="I40" s="139"/>
      <c r="J40" s="106"/>
      <c r="K40" s="110"/>
      <c r="L40" s="110"/>
      <c r="N40" s="140"/>
      <c r="O40" s="140"/>
      <c r="P40" s="140"/>
      <c r="Q40" s="140"/>
      <c r="R40" s="140"/>
      <c r="X40" s="5"/>
      <c r="Y40" s="5"/>
      <c r="Z40" s="5"/>
      <c r="AA40" s="5"/>
      <c r="AB40" s="5"/>
      <c r="AC40" s="141"/>
    </row>
    <row r="41" ht="24.75" customHeight="1" spans="1:29">
      <c r="A41" s="120" t="s">
        <v>21</v>
      </c>
      <c r="B41" s="121"/>
      <c r="C41" s="122">
        <f>MIN(H8:H31)</f>
        <v>233</v>
      </c>
      <c r="D41" s="123"/>
      <c r="E41" s="124">
        <f>VLOOKUP(C41,H8:L31,4,FALSE)</f>
        <v>0.333333333333333</v>
      </c>
      <c r="F41" s="142"/>
      <c r="G41" s="125"/>
      <c r="H41" s="126" t="s">
        <v>22</v>
      </c>
      <c r="I41" s="127"/>
      <c r="J41" s="128"/>
      <c r="K41" s="129">
        <f>MIN(J8:J31)</f>
        <v>1</v>
      </c>
      <c r="L41" s="130"/>
      <c r="N41" s="126" t="s">
        <v>23</v>
      </c>
      <c r="O41" s="127"/>
      <c r="P41" s="127"/>
      <c r="Q41" s="128"/>
      <c r="R41" s="143">
        <f>AVERAGE(I8:I31)</f>
        <v>314.5890625</v>
      </c>
      <c r="S41" s="144"/>
      <c r="T41" s="144"/>
      <c r="U41" s="144"/>
      <c r="V41" s="144"/>
      <c r="X41" s="145"/>
    </row>
    <row r="42" ht="15" spans="1:29">
      <c r="D42" s="138"/>
      <c r="E42" s="138"/>
      <c r="F42" s="138"/>
      <c r="G42" s="138"/>
      <c r="H42" s="138"/>
      <c r="I42" s="146"/>
      <c r="J42" s="138"/>
      <c r="K42" s="147"/>
      <c r="L42" s="147"/>
      <c r="V42" s="148"/>
      <c r="W42" s="148"/>
      <c r="X42" s="149"/>
      <c r="Y42" s="149"/>
      <c r="Z42" s="150"/>
      <c r="AA42" s="150"/>
      <c r="AB42" s="150"/>
      <c r="AC42" s="150"/>
    </row>
    <row r="43" ht="24.75" customHeight="1" spans="1:29">
      <c r="C43" s="136"/>
      <c r="H43" s="151"/>
      <c r="I43" s="151"/>
      <c r="J43" s="151"/>
      <c r="K43" s="145"/>
      <c r="L43" s="139"/>
      <c r="N43" s="152" t="s">
        <v>24</v>
      </c>
      <c r="O43" s="153"/>
      <c r="P43" s="153"/>
      <c r="Q43" s="154"/>
      <c r="R43" s="155" t="e">
        <f>AVERAGE(T8:T31)</f>
        <v>#DIV/0!</v>
      </c>
      <c r="X43" s="156"/>
      <c r="Z43" s="157"/>
      <c r="AA43" s="157"/>
      <c r="AB43" s="157"/>
      <c r="AC43" s="157"/>
    </row>
    <row r="44" ht="19.5" spans="1:29">
      <c r="I44" s="158"/>
      <c r="K44" s="159"/>
      <c r="L44" s="159"/>
      <c r="Z44" s="160"/>
      <c r="AA44" s="160"/>
      <c r="AB44" s="160"/>
      <c r="AC44" s="160"/>
    </row>
    <row r="45" ht="24.75" customHeight="1" spans="1:29">
      <c r="D45" s="158"/>
      <c r="E45" s="158"/>
      <c r="F45" s="158"/>
      <c r="G45" s="158"/>
      <c r="H45" s="158"/>
      <c r="N45" s="126" t="s">
        <v>25</v>
      </c>
      <c r="O45" s="127"/>
      <c r="P45" s="127"/>
      <c r="Q45" s="128"/>
      <c r="R45" s="161">
        <f>SUM(M32-H32)/24</f>
        <v>-438.428124999994</v>
      </c>
      <c r="X45" s="162"/>
      <c r="Z45" s="163"/>
      <c r="AA45" s="163"/>
      <c r="AB45" s="163"/>
      <c r="AC45" s="163"/>
    </row>
    <row r="46" spans="1:29">
      <c r="Z46" s="164"/>
      <c r="AA46" s="164"/>
      <c r="AB46" s="164"/>
      <c r="AC46" s="164"/>
    </row>
    <row r="47" spans="1:29">
      <c r="Z47" s="139"/>
      <c r="AA47" s="139"/>
      <c r="AB47" s="139"/>
      <c r="AC47" s="139"/>
    </row>
    <row r="48" spans="1:29">
      <c r="Z48" s="139"/>
      <c r="AA48" s="139"/>
      <c r="AB48" s="139"/>
      <c r="AC48" s="139"/>
    </row>
    <row r="49" spans="11:29">
      <c r="Z49" s="157"/>
      <c r="AA49" s="157"/>
      <c r="AB49" s="157"/>
      <c r="AC49" s="157"/>
    </row>
    <row r="50" spans="11:29">
      <c r="Z50" s="157"/>
      <c r="AA50" s="157"/>
      <c r="AB50" s="157"/>
      <c r="AC50" s="157"/>
    </row>
    <row r="51" spans="11:29">
      <c r="K51" s="150"/>
      <c r="L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0"/>
      <c r="AC51" s="150"/>
    </row>
    <row r="52" spans="11:29">
      <c r="K52" s="150"/>
      <c r="L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  <c r="AB52" s="150"/>
      <c r="AC52" s="150"/>
    </row>
    <row r="53" spans="11:29">
      <c r="K53" s="150"/>
      <c r="L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50"/>
      <c r="AB53" s="150"/>
      <c r="AC53" s="150"/>
    </row>
    <row r="60" spans="11:29">
      <c r="O60" s="165"/>
      <c r="P60" s="165"/>
      <c r="Q60" s="165"/>
      <c r="R60" s="165"/>
      <c r="S60" s="165"/>
      <c r="T60" s="165"/>
    </row>
    <row r="61" spans="11:29">
      <c r="O61" s="165"/>
      <c r="P61" s="165"/>
      <c r="Q61" s="165"/>
      <c r="R61" s="165"/>
      <c r="S61" s="165"/>
      <c r="T61" s="165"/>
    </row>
    <row r="62" spans="11:29">
      <c r="O62" s="165"/>
      <c r="P62" s="165"/>
      <c r="Q62" s="165"/>
      <c r="R62" s="165"/>
      <c r="S62" s="165"/>
      <c r="T62" s="165"/>
    </row>
    <row r="63" spans="11:29">
      <c r="O63" s="165"/>
      <c r="P63" s="165"/>
      <c r="Q63" s="165"/>
      <c r="R63" s="165"/>
      <c r="S63" s="165"/>
      <c r="T63" s="165"/>
    </row>
    <row r="64" spans="11:29">
      <c r="O64" s="165"/>
      <c r="P64" s="165"/>
      <c r="Q64" s="165"/>
      <c r="R64" s="165"/>
      <c r="S64" s="165"/>
      <c r="T64" s="165"/>
    </row>
    <row r="65" spans="15:20">
      <c r="O65" s="165"/>
      <c r="P65" s="165"/>
      <c r="Q65" s="165"/>
      <c r="R65" s="165"/>
      <c r="S65" s="165"/>
      <c r="T65" s="165"/>
    </row>
    <row r="66" spans="15:20">
      <c r="O66" s="165"/>
      <c r="P66" s="165"/>
      <c r="Q66" s="165"/>
      <c r="R66" s="165"/>
      <c r="S66" s="165"/>
      <c r="T66" s="165"/>
    </row>
    <row r="67" spans="15:20">
      <c r="O67" s="165"/>
      <c r="P67" s="165"/>
      <c r="Q67" s="165"/>
      <c r="R67" s="165"/>
      <c r="S67" s="165"/>
      <c r="T67" s="165"/>
    </row>
    <row r="68" spans="15:20">
      <c r="O68" s="165"/>
      <c r="P68" s="165"/>
      <c r="Q68" s="165"/>
      <c r="R68" s="165"/>
      <c r="S68" s="165"/>
      <c r="T68" s="165"/>
    </row>
  </sheetData>
  <mergeCells count="116">
    <mergeCell ref="H4:K4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B29:C29"/>
    <mergeCell ref="D29:E29"/>
    <mergeCell ref="F29:G2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N34:Q34"/>
    <mergeCell ref="B35:C35"/>
    <mergeCell ref="D35:E35"/>
    <mergeCell ref="F35:G35"/>
    <mergeCell ref="N35:Q35"/>
    <mergeCell ref="N37:Q37"/>
    <mergeCell ref="A39:B39"/>
    <mergeCell ref="C39:D39"/>
    <mergeCell ref="H39:J39"/>
    <mergeCell ref="N39:Q39"/>
    <mergeCell ref="A41:B41"/>
    <mergeCell ref="C41:D41"/>
    <mergeCell ref="H41:J41"/>
    <mergeCell ref="N41:Q41"/>
    <mergeCell ref="H43:J43"/>
    <mergeCell ref="N43:Q43"/>
    <mergeCell ref="N45:Q45"/>
    <mergeCell ref="A6:A7"/>
    <mergeCell ref="A33:A34"/>
    <mergeCell ref="H6:H7"/>
    <mergeCell ref="H33:H34"/>
    <mergeCell ref="I6:I7"/>
    <mergeCell ref="I33:I34"/>
    <mergeCell ref="J6:J7"/>
    <mergeCell ref="K6:K7"/>
    <mergeCell ref="L6:L7"/>
    <mergeCell ref="M6:M7"/>
    <mergeCell ref="N6:N7"/>
    <mergeCell ref="O6:O7"/>
    <mergeCell ref="T6:T7"/>
    <mergeCell ref="U6:U7"/>
    <mergeCell ref="B33:C34"/>
    <mergeCell ref="D33:E34"/>
    <mergeCell ref="F33:G34"/>
  </mergeCells>
  <conditionalFormatting sqref="O8">
    <cfRule type="cellIs" dxfId="0" priority="10" operator="equal">
      <formula>"N/A"</formula>
    </cfRule>
  </conditionalFormatting>
  <conditionalFormatting sqref="A30">
    <cfRule type="cellIs" dxfId="1" priority="11" operator="equal">
      <formula>"STB"</formula>
    </cfRule>
    <cfRule type="cellIs" dxfId="0" priority="12" operator="equal">
      <formula>"BD"</formula>
    </cfRule>
  </conditionalFormatting>
  <conditionalFormatting sqref="B8:B31">
    <cfRule type="cellIs" dxfId="1" priority="1" operator="equal">
      <formula>"STB"</formula>
    </cfRule>
    <cfRule type="cellIs" dxfId="0" priority="2" operator="equal">
      <formula>"BD"</formula>
    </cfRule>
  </conditionalFormatting>
  <conditionalFormatting sqref="D8:D31">
    <cfRule type="cellIs" dxfId="1" priority="8" operator="equal">
      <formula>"STB"</formula>
    </cfRule>
    <cfRule type="cellIs" dxfId="0" priority="9" operator="equal">
      <formula>"BD"</formula>
    </cfRule>
  </conditionalFormatting>
  <conditionalFormatting sqref="F8:F31">
    <cfRule type="cellIs" dxfId="1" priority="3" operator="equal">
      <formula>"STB"</formula>
    </cfRule>
    <cfRule type="cellIs" dxfId="0" priority="4" operator="equal">
      <formula>"BD"</formula>
    </cfRule>
  </conditionalFormatting>
  <conditionalFormatting sqref="H8:H31">
    <cfRule type="top10" dxfId="2" priority="5" bottom="1" rank="1"/>
    <cfRule type="top10" dxfId="3" priority="6" rank="1"/>
    <cfRule type="cellIs" dxfId="4" priority="7" stopIfTrue="1" operator="equal">
      <formula>28000</formula>
    </cfRule>
  </conditionalFormatting>
  <conditionalFormatting sqref="H32:H33">
    <cfRule type="top10" dxfId="2" priority="14" bottom="1" rank="1"/>
    <cfRule type="top10" dxfId="3" priority="15" rank="1"/>
    <cfRule type="cellIs" dxfId="4" priority="17" stopIfTrue="1" operator="equal">
      <formula>28000</formula>
    </cfRule>
  </conditionalFormatting>
  <conditionalFormatting sqref="Y8:Y31">
    <cfRule type="containsText" dxfId="5" priority="13" operator="between" text="-">
      <formula>NOT(ISERROR(SEARCH("-",Y8)))</formula>
    </cfRule>
  </conditionalFormatting>
  <conditionalFormatting sqref="N8 N9:O31">
    <cfRule type="cellIs" dxfId="0" priority="16" operator="equal">
      <formula>"BD"</formula>
    </cfRule>
  </conditionalFormatting>
  <pageMargins left="0.7" right="0.7" top="0.75" bottom="0.75" header="0.3" footer="0.3"/>
  <pageSetup paperSize="1" orientation="portrait" verticalDpi="36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C68"/>
  <sheetViews>
    <sheetView zoomScale="80" zoomScaleNormal="80" workbookViewId="0">
      <pane ySplit="7" topLeftCell="A9" activePane="bottomLeft" state="frozen"/>
      <selection/>
      <selection pane="bottomLeft" activeCell="A3" sqref="$A3:$XFD3"/>
    </sheetView>
  </sheetViews>
  <sheetFormatPr defaultColWidth="8.81666666666667" defaultRowHeight="14.25"/>
  <cols>
    <col min="1" max="1" width="16.725" customWidth="1"/>
    <col min="2" max="2" width="8.725" customWidth="1"/>
    <col min="3" max="7" width="5.725" customWidth="1"/>
    <col min="8" max="8" width="14.2666666666667" customWidth="1"/>
    <col min="9" max="9" width="15.1833333333333" customWidth="1"/>
    <col min="10" max="10" width="15.5416666666667" customWidth="1"/>
    <col min="11" max="11" width="7" customWidth="1"/>
    <col min="12" max="12" width="8.54166666666667" customWidth="1"/>
    <col min="13" max="13" width="11.725" style="5" customWidth="1"/>
    <col min="14" max="14" width="17.1833333333333" customWidth="1"/>
    <col min="15" max="15" width="15.45" customWidth="1"/>
    <col min="16" max="16" width="7.45" customWidth="1"/>
    <col min="17" max="17" width="9.54166666666667" customWidth="1"/>
    <col min="18" max="18" width="10" customWidth="1"/>
    <col min="19" max="20" width="9.81666666666667" customWidth="1"/>
    <col min="21" max="21" width="6.725" customWidth="1"/>
    <col min="22" max="22" width="13.8166666666667" customWidth="1"/>
    <col min="23" max="23" width="11.2666666666667" customWidth="1"/>
    <col min="24" max="24" width="9.26666666666667" customWidth="1"/>
    <col min="25" max="25" width="3.725" customWidth="1"/>
    <col min="26" max="29" width="7.725" customWidth="1"/>
    <col min="30" max="30" width="6.725" customWidth="1"/>
  </cols>
  <sheetData>
    <row r="1" ht="3" customHeight="1"/>
    <row r="2" ht="6" customHeight="1" spans="1:2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="1" customFormat="1" ht="6.75" customHeight="1" spans="1:29">
      <c r="K3" s="7"/>
      <c r="L3" s="8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17.25" customHeight="1" spans="1:29">
      <c r="A4" s="1"/>
      <c r="B4" s="10"/>
      <c r="C4" s="10"/>
      <c r="D4" s="10"/>
      <c r="E4" s="11"/>
      <c r="F4" s="11"/>
      <c r="G4" s="11"/>
      <c r="H4" s="12">
        <f>'[13]Taniwel daily'!C4</f>
        <v>45304</v>
      </c>
      <c r="I4" s="13"/>
      <c r="J4" s="13"/>
      <c r="K4" s="14"/>
      <c r="L4" s="15"/>
      <c r="M4" s="16"/>
      <c r="N4" s="10"/>
      <c r="O4" s="10"/>
      <c r="P4" s="10"/>
      <c r="Q4" s="10"/>
      <c r="R4" s="10"/>
      <c r="S4" s="10"/>
      <c r="T4" s="10"/>
      <c r="U4" s="10"/>
      <c r="V4" s="7"/>
      <c r="W4" s="7"/>
      <c r="X4" s="7"/>
      <c r="Y4" s="7"/>
      <c r="Z4" s="7"/>
      <c r="AA4" s="7"/>
      <c r="AB4" s="7"/>
      <c r="AC4" s="7"/>
    </row>
    <row r="5" ht="7.5" customHeight="1" spans="1:29">
      <c r="A5" s="1"/>
      <c r="B5" s="17"/>
      <c r="C5" s="1"/>
      <c r="D5" s="1"/>
      <c r="E5" s="1"/>
      <c r="F5" s="1"/>
      <c r="G5" s="1"/>
      <c r="H5" s="1"/>
      <c r="I5" s="1"/>
      <c r="J5" s="1"/>
      <c r="K5" s="18"/>
      <c r="L5" s="7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ht="17.25" customHeight="1" spans="1:29">
      <c r="A6" s="19" t="s">
        <v>0</v>
      </c>
      <c r="B6" s="20" t="s">
        <v>1</v>
      </c>
      <c r="C6" s="21"/>
      <c r="D6" s="20" t="s">
        <v>2</v>
      </c>
      <c r="E6" s="21"/>
      <c r="F6" s="20" t="s">
        <v>3</v>
      </c>
      <c r="G6" s="21"/>
      <c r="H6" s="22" t="s">
        <v>4</v>
      </c>
      <c r="I6" s="22" t="s">
        <v>5</v>
      </c>
      <c r="J6" s="23" t="s">
        <v>6</v>
      </c>
      <c r="K6" s="19" t="s">
        <v>0</v>
      </c>
      <c r="L6" s="24" t="s">
        <v>7</v>
      </c>
      <c r="M6" s="25" t="s">
        <v>8</v>
      </c>
      <c r="N6" s="26" t="s">
        <v>9</v>
      </c>
      <c r="O6" s="25" t="s">
        <v>10</v>
      </c>
      <c r="P6" s="27"/>
      <c r="Q6" s="28"/>
      <c r="R6" s="28"/>
      <c r="S6" s="28"/>
      <c r="T6" s="28"/>
      <c r="U6" s="29"/>
    </row>
    <row r="7" ht="15.75" customHeight="1" spans="1:29">
      <c r="A7" s="30"/>
      <c r="B7" s="31">
        <v>1</v>
      </c>
      <c r="C7" s="32"/>
      <c r="D7" s="31">
        <v>2</v>
      </c>
      <c r="E7" s="32"/>
      <c r="F7" s="31">
        <v>3</v>
      </c>
      <c r="G7" s="32"/>
      <c r="H7" s="33"/>
      <c r="I7" s="33"/>
      <c r="J7" s="34"/>
      <c r="K7" s="30"/>
      <c r="L7" s="35"/>
      <c r="M7" s="36"/>
      <c r="N7" s="37"/>
      <c r="O7" s="38"/>
      <c r="P7" s="27"/>
      <c r="Q7" s="28"/>
      <c r="R7" s="28"/>
      <c r="S7" s="28"/>
      <c r="T7" s="28"/>
      <c r="U7" s="29"/>
      <c r="X7" s="39"/>
    </row>
    <row r="8" s="2" customFormat="1" ht="15" customHeight="1" spans="1:29">
      <c r="A8" s="40">
        <v>0.0416666666666666</v>
      </c>
      <c r="B8" s="41" t="s">
        <v>11</v>
      </c>
      <c r="C8" s="42"/>
      <c r="D8" s="41">
        <v>230</v>
      </c>
      <c r="E8" s="42"/>
      <c r="F8" s="41">
        <v>284</v>
      </c>
      <c r="G8" s="42"/>
      <c r="H8" s="43">
        <f t="shared" ref="H8:H31" si="0">IF(SUM(B8:G8)/1000=0,"0",SUM(B8:G8))</f>
        <v>514</v>
      </c>
      <c r="I8" s="44">
        <f t="shared" ref="I8:I31" si="1">IFERROR(AVERAGE(B8:G8),"0")</f>
        <v>257</v>
      </c>
      <c r="J8" s="45">
        <f t="shared" ref="J8:J31" si="2">COUNT(B8:G8)</f>
        <v>2</v>
      </c>
      <c r="K8" s="46">
        <v>0.0416666666666667</v>
      </c>
      <c r="L8" s="47">
        <v>4500</v>
      </c>
      <c r="M8" s="48">
        <v>167.18</v>
      </c>
      <c r="N8" s="49">
        <f>(M9-M8)*12000</f>
        <v>599.999999999795</v>
      </c>
      <c r="O8" s="50"/>
      <c r="P8" s="51"/>
      <c r="Q8" s="52"/>
      <c r="R8" s="52"/>
      <c r="S8" s="52"/>
      <c r="T8" s="52"/>
      <c r="U8" s="53"/>
    </row>
    <row r="9" s="3" customFormat="1" ht="15" customHeight="1" spans="1:29">
      <c r="A9" s="40">
        <v>0.0833333333333333</v>
      </c>
      <c r="B9" s="41" t="s">
        <v>11</v>
      </c>
      <c r="C9" s="42"/>
      <c r="D9" s="41">
        <v>259</v>
      </c>
      <c r="E9" s="42"/>
      <c r="F9" s="41">
        <v>245</v>
      </c>
      <c r="G9" s="42"/>
      <c r="H9" s="43">
        <f t="shared" si="0"/>
        <v>504</v>
      </c>
      <c r="I9" s="44">
        <f t="shared" si="1"/>
        <v>252</v>
      </c>
      <c r="J9" s="45">
        <f t="shared" si="2"/>
        <v>2</v>
      </c>
      <c r="K9" s="46">
        <v>0.0833333333333333</v>
      </c>
      <c r="L9" s="47">
        <v>4200</v>
      </c>
      <c r="M9" s="54">
        <v>167.23</v>
      </c>
      <c r="N9" s="49">
        <f t="shared" ref="N9:N30" si="3">(M10-M9)*12000</f>
        <v>600.000000000136</v>
      </c>
      <c r="O9" s="55"/>
      <c r="P9" s="51"/>
      <c r="Q9" s="52"/>
      <c r="R9" s="52"/>
      <c r="S9" s="52"/>
      <c r="T9" s="52"/>
      <c r="U9" s="53"/>
    </row>
    <row r="10" s="3" customFormat="1" ht="15" customHeight="1" spans="1:29">
      <c r="A10" s="40">
        <v>0.125</v>
      </c>
      <c r="B10" s="41" t="s">
        <v>11</v>
      </c>
      <c r="C10" s="42"/>
      <c r="D10" s="41">
        <v>256</v>
      </c>
      <c r="E10" s="42"/>
      <c r="F10" s="41">
        <v>229</v>
      </c>
      <c r="G10" s="42"/>
      <c r="H10" s="43">
        <f t="shared" si="0"/>
        <v>485</v>
      </c>
      <c r="I10" s="44">
        <f t="shared" si="1"/>
        <v>242.5</v>
      </c>
      <c r="J10" s="45">
        <f t="shared" si="2"/>
        <v>2</v>
      </c>
      <c r="K10" s="46">
        <v>0.125</v>
      </c>
      <c r="L10" s="47">
        <v>4200</v>
      </c>
      <c r="M10" s="54">
        <v>167.28</v>
      </c>
      <c r="N10" s="49">
        <f t="shared" si="3"/>
        <v>479.999999999905</v>
      </c>
      <c r="O10" s="56"/>
      <c r="P10" s="51"/>
      <c r="Q10" s="52"/>
      <c r="R10" s="52"/>
      <c r="S10" s="52"/>
      <c r="T10" s="52"/>
      <c r="U10" s="53"/>
    </row>
    <row r="11" s="3" customFormat="1" ht="15" customHeight="1" spans="1:29">
      <c r="A11" s="40">
        <v>0.166666666666667</v>
      </c>
      <c r="B11" s="41" t="s">
        <v>11</v>
      </c>
      <c r="C11" s="42"/>
      <c r="D11" s="41">
        <v>242</v>
      </c>
      <c r="E11" s="42"/>
      <c r="F11" s="41">
        <v>246</v>
      </c>
      <c r="G11" s="42"/>
      <c r="H11" s="43">
        <f t="shared" si="0"/>
        <v>488</v>
      </c>
      <c r="I11" s="44">
        <f t="shared" si="1"/>
        <v>244</v>
      </c>
      <c r="J11" s="45">
        <f t="shared" si="2"/>
        <v>2</v>
      </c>
      <c r="K11" s="46">
        <v>0.166666666666667</v>
      </c>
      <c r="L11" s="47">
        <v>4000</v>
      </c>
      <c r="M11" s="54">
        <v>167.32</v>
      </c>
      <c r="N11" s="49">
        <f t="shared" si="3"/>
        <v>480.000000000246</v>
      </c>
      <c r="O11" s="56"/>
      <c r="P11" s="51"/>
      <c r="Q11" s="52"/>
      <c r="R11" s="52"/>
      <c r="S11" s="52"/>
      <c r="T11" s="52"/>
      <c r="U11" s="53"/>
    </row>
    <row r="12" s="3" customFormat="1" ht="15" customHeight="1" spans="1:29">
      <c r="A12" s="40">
        <v>0.208333333333333</v>
      </c>
      <c r="B12" s="41" t="s">
        <v>11</v>
      </c>
      <c r="C12" s="42"/>
      <c r="D12" s="41">
        <v>241</v>
      </c>
      <c r="E12" s="42"/>
      <c r="F12" s="41">
        <v>250</v>
      </c>
      <c r="G12" s="42"/>
      <c r="H12" s="43">
        <f t="shared" si="0"/>
        <v>491</v>
      </c>
      <c r="I12" s="44">
        <f t="shared" si="1"/>
        <v>245.5</v>
      </c>
      <c r="J12" s="45">
        <f t="shared" si="2"/>
        <v>2</v>
      </c>
      <c r="K12" s="46">
        <v>0.208333333333333</v>
      </c>
      <c r="L12" s="47">
        <v>3900</v>
      </c>
      <c r="M12" s="54">
        <v>167.36</v>
      </c>
      <c r="N12" s="49">
        <f t="shared" si="3"/>
        <v>839.999999999918</v>
      </c>
      <c r="O12" s="56"/>
      <c r="P12" s="51"/>
      <c r="Q12" s="52"/>
      <c r="R12" s="52"/>
      <c r="S12" s="52"/>
      <c r="T12" s="52"/>
      <c r="U12" s="53"/>
    </row>
    <row r="13" s="3" customFormat="1" ht="15" customHeight="1" spans="1:29">
      <c r="A13" s="40">
        <v>0.25</v>
      </c>
      <c r="B13" s="41" t="s">
        <v>11</v>
      </c>
      <c r="C13" s="42"/>
      <c r="D13" s="41">
        <v>283</v>
      </c>
      <c r="E13" s="42"/>
      <c r="F13" s="41">
        <v>248</v>
      </c>
      <c r="G13" s="42"/>
      <c r="H13" s="43">
        <f t="shared" si="0"/>
        <v>531</v>
      </c>
      <c r="I13" s="44">
        <f t="shared" si="1"/>
        <v>265.5</v>
      </c>
      <c r="J13" s="45">
        <f t="shared" si="2"/>
        <v>2</v>
      </c>
      <c r="K13" s="46">
        <v>0.25</v>
      </c>
      <c r="L13" s="47">
        <v>3600</v>
      </c>
      <c r="M13" s="54">
        <v>167.43</v>
      </c>
      <c r="N13" s="49">
        <f t="shared" si="3"/>
        <v>479.999999999905</v>
      </c>
      <c r="O13" s="56"/>
      <c r="P13" s="51"/>
      <c r="Q13" s="52"/>
      <c r="R13" s="52"/>
      <c r="S13" s="52"/>
      <c r="T13" s="52"/>
      <c r="U13" s="53"/>
    </row>
    <row r="14" s="3" customFormat="1" ht="15" customHeight="1" spans="1:29">
      <c r="A14" s="40">
        <v>0.291666666666667</v>
      </c>
      <c r="B14" s="41" t="s">
        <v>11</v>
      </c>
      <c r="C14" s="42"/>
      <c r="D14" s="41">
        <v>259</v>
      </c>
      <c r="E14" s="42"/>
      <c r="F14" s="41">
        <v>294</v>
      </c>
      <c r="G14" s="42"/>
      <c r="H14" s="43">
        <f t="shared" si="0"/>
        <v>553</v>
      </c>
      <c r="I14" s="44">
        <f t="shared" si="1"/>
        <v>276.5</v>
      </c>
      <c r="J14" s="45">
        <f t="shared" si="2"/>
        <v>2</v>
      </c>
      <c r="K14" s="46">
        <v>0.291666666666667</v>
      </c>
      <c r="L14" s="47">
        <v>3600</v>
      </c>
      <c r="M14" s="54">
        <v>167.47</v>
      </c>
      <c r="N14" s="49">
        <f t="shared" si="3"/>
        <v>479.999999999905</v>
      </c>
      <c r="O14" s="56"/>
      <c r="P14" s="51"/>
      <c r="Q14" s="52"/>
      <c r="R14" s="52"/>
      <c r="S14" s="52"/>
      <c r="T14" s="52"/>
      <c r="U14" s="53"/>
    </row>
    <row r="15" s="3" customFormat="1" ht="15" customHeight="1" spans="1:29">
      <c r="A15" s="40">
        <v>0.333333333333333</v>
      </c>
      <c r="B15" s="41" t="s">
        <v>11</v>
      </c>
      <c r="C15" s="42"/>
      <c r="D15" s="41">
        <v>259</v>
      </c>
      <c r="E15" s="42"/>
      <c r="F15" s="41">
        <v>279</v>
      </c>
      <c r="G15" s="42"/>
      <c r="H15" s="43">
        <f t="shared" si="0"/>
        <v>538</v>
      </c>
      <c r="I15" s="44">
        <f t="shared" si="1"/>
        <v>269</v>
      </c>
      <c r="J15" s="45">
        <f t="shared" si="2"/>
        <v>2</v>
      </c>
      <c r="K15" s="46">
        <v>0.333333333333333</v>
      </c>
      <c r="L15" s="47">
        <v>3600</v>
      </c>
      <c r="M15" s="54">
        <v>167.51</v>
      </c>
      <c r="N15" s="49">
        <f t="shared" si="3"/>
        <v>600.000000000136</v>
      </c>
      <c r="O15" s="56"/>
      <c r="P15" s="51"/>
      <c r="Q15" s="52"/>
      <c r="R15" s="52"/>
      <c r="S15" s="52"/>
      <c r="T15" s="52"/>
      <c r="U15" s="53"/>
    </row>
    <row r="16" s="3" customFormat="1" ht="15" customHeight="1" spans="1:29">
      <c r="A16" s="40">
        <v>0.375</v>
      </c>
      <c r="B16" s="41" t="s">
        <v>11</v>
      </c>
      <c r="C16" s="42"/>
      <c r="D16" s="41">
        <v>261</v>
      </c>
      <c r="E16" s="42"/>
      <c r="F16" s="41">
        <v>260</v>
      </c>
      <c r="G16" s="42"/>
      <c r="H16" s="43">
        <f t="shared" si="0"/>
        <v>521</v>
      </c>
      <c r="I16" s="44">
        <f t="shared" si="1"/>
        <v>260.5</v>
      </c>
      <c r="J16" s="45">
        <f t="shared" si="2"/>
        <v>2</v>
      </c>
      <c r="K16" s="46">
        <v>0.375</v>
      </c>
      <c r="L16" s="47">
        <v>3600</v>
      </c>
      <c r="M16" s="54">
        <v>167.56</v>
      </c>
      <c r="N16" s="49">
        <f t="shared" si="3"/>
        <v>600.000000000136</v>
      </c>
      <c r="O16" s="56"/>
      <c r="P16" s="51"/>
      <c r="Q16" s="52"/>
      <c r="R16" s="52"/>
      <c r="S16" s="52"/>
      <c r="T16" s="52"/>
      <c r="U16" s="53"/>
    </row>
    <row r="17" s="3" customFormat="1" ht="15" customHeight="1" spans="1:21">
      <c r="A17" s="40">
        <v>0.416666666666667</v>
      </c>
      <c r="B17" s="41" t="s">
        <v>11</v>
      </c>
      <c r="C17" s="42"/>
      <c r="D17" s="41">
        <v>252</v>
      </c>
      <c r="E17" s="42"/>
      <c r="F17" s="41">
        <v>260</v>
      </c>
      <c r="G17" s="42"/>
      <c r="H17" s="43">
        <f t="shared" si="0"/>
        <v>512</v>
      </c>
      <c r="I17" s="44">
        <f t="shared" si="1"/>
        <v>256</v>
      </c>
      <c r="J17" s="45">
        <f t="shared" si="2"/>
        <v>2</v>
      </c>
      <c r="K17" s="46">
        <v>0.416666666666666</v>
      </c>
      <c r="L17" s="47">
        <v>3400</v>
      </c>
      <c r="M17" s="54">
        <v>167.61</v>
      </c>
      <c r="N17" s="49">
        <f t="shared" si="3"/>
        <v>599.999999999795</v>
      </c>
      <c r="O17" s="56"/>
      <c r="P17" s="51"/>
      <c r="Q17" s="52"/>
      <c r="R17" s="52"/>
      <c r="S17" s="52"/>
      <c r="T17" s="52"/>
      <c r="U17" s="53"/>
    </row>
    <row r="18" s="3" customFormat="1" ht="15" customHeight="1" spans="1:21">
      <c r="A18" s="40">
        <v>0.458333333333333</v>
      </c>
      <c r="B18" s="41" t="s">
        <v>11</v>
      </c>
      <c r="C18" s="42"/>
      <c r="D18" s="41">
        <v>230</v>
      </c>
      <c r="E18" s="42"/>
      <c r="F18" s="41">
        <v>233</v>
      </c>
      <c r="G18" s="42"/>
      <c r="H18" s="43">
        <f t="shared" si="0"/>
        <v>463</v>
      </c>
      <c r="I18" s="44">
        <f t="shared" si="1"/>
        <v>231.5</v>
      </c>
      <c r="J18" s="45">
        <f t="shared" si="2"/>
        <v>2</v>
      </c>
      <c r="K18" s="46">
        <v>0.458333333333333</v>
      </c>
      <c r="L18" s="47">
        <v>3300</v>
      </c>
      <c r="M18" s="54">
        <v>167.66</v>
      </c>
      <c r="N18" s="49">
        <f t="shared" si="3"/>
        <v>479.999999999905</v>
      </c>
      <c r="O18" s="56"/>
      <c r="P18" s="51"/>
      <c r="Q18" s="52"/>
      <c r="R18" s="52"/>
      <c r="S18" s="52"/>
      <c r="T18" s="52"/>
      <c r="U18" s="53"/>
    </row>
    <row r="19" s="3" customFormat="1" ht="15" customHeight="1" spans="1:21">
      <c r="A19" s="40">
        <v>0.5</v>
      </c>
      <c r="B19" s="41" t="s">
        <v>11</v>
      </c>
      <c r="C19" s="42"/>
      <c r="D19" s="41">
        <v>238</v>
      </c>
      <c r="E19" s="42"/>
      <c r="F19" s="41">
        <v>227</v>
      </c>
      <c r="G19" s="42"/>
      <c r="H19" s="43">
        <f t="shared" si="0"/>
        <v>465</v>
      </c>
      <c r="I19" s="44">
        <f t="shared" si="1"/>
        <v>232.5</v>
      </c>
      <c r="J19" s="45">
        <f t="shared" si="2"/>
        <v>2</v>
      </c>
      <c r="K19" s="46">
        <v>0.5</v>
      </c>
      <c r="L19" s="47">
        <v>3300</v>
      </c>
      <c r="M19" s="54">
        <v>167.7</v>
      </c>
      <c r="N19" s="49">
        <f t="shared" si="3"/>
        <v>600.000000000136</v>
      </c>
      <c r="O19" s="56"/>
      <c r="P19" s="51"/>
      <c r="Q19" s="52"/>
      <c r="R19" s="52"/>
      <c r="S19" s="52"/>
      <c r="T19" s="52"/>
      <c r="U19" s="53"/>
    </row>
    <row r="20" s="3" customFormat="1" ht="15" customHeight="1" spans="1:21">
      <c r="A20" s="40">
        <v>0.541666666666667</v>
      </c>
      <c r="B20" s="41" t="s">
        <v>11</v>
      </c>
      <c r="C20" s="42"/>
      <c r="D20" s="41">
        <v>444</v>
      </c>
      <c r="E20" s="42"/>
      <c r="F20" s="41" t="s">
        <v>26</v>
      </c>
      <c r="G20" s="42"/>
      <c r="H20" s="43">
        <f t="shared" si="0"/>
        <v>444</v>
      </c>
      <c r="I20" s="44">
        <f t="shared" si="1"/>
        <v>444</v>
      </c>
      <c r="J20" s="45">
        <f t="shared" si="2"/>
        <v>1</v>
      </c>
      <c r="K20" s="46">
        <v>0.541666666666667</v>
      </c>
      <c r="L20" s="47">
        <v>3000</v>
      </c>
      <c r="M20" s="54">
        <v>167.75</v>
      </c>
      <c r="N20" s="49">
        <f t="shared" si="3"/>
        <v>479.999999999905</v>
      </c>
      <c r="O20" s="56"/>
      <c r="P20" s="51"/>
      <c r="Q20" s="52"/>
      <c r="R20" s="52"/>
      <c r="S20" s="52"/>
      <c r="T20" s="52"/>
      <c r="U20" s="53"/>
    </row>
    <row r="21" s="3" customFormat="1" ht="15" customHeight="1" spans="1:21">
      <c r="A21" s="40">
        <v>0.583333333333333</v>
      </c>
      <c r="B21" s="41" t="s">
        <v>11</v>
      </c>
      <c r="C21" s="42"/>
      <c r="D21" s="41">
        <v>432</v>
      </c>
      <c r="E21" s="42"/>
      <c r="F21" s="41" t="s">
        <v>26</v>
      </c>
      <c r="G21" s="42"/>
      <c r="H21" s="43">
        <f t="shared" si="0"/>
        <v>432</v>
      </c>
      <c r="I21" s="44">
        <f t="shared" si="1"/>
        <v>432</v>
      </c>
      <c r="J21" s="45">
        <f t="shared" si="2"/>
        <v>1</v>
      </c>
      <c r="K21" s="46">
        <v>0.583333333333333</v>
      </c>
      <c r="L21" s="47">
        <v>3000</v>
      </c>
      <c r="M21" s="54">
        <v>167.79</v>
      </c>
      <c r="N21" s="49">
        <f t="shared" si="3"/>
        <v>480.000000000246</v>
      </c>
      <c r="O21" s="56"/>
      <c r="P21" s="51"/>
      <c r="Q21" s="52"/>
      <c r="R21" s="52"/>
      <c r="S21" s="52"/>
      <c r="T21" s="52"/>
      <c r="U21" s="53"/>
    </row>
    <row r="22" s="3" customFormat="1" ht="15" customHeight="1" spans="1:21">
      <c r="A22" s="40">
        <v>0.625</v>
      </c>
      <c r="B22" s="41" t="s">
        <v>11</v>
      </c>
      <c r="C22" s="42"/>
      <c r="D22" s="41">
        <v>423</v>
      </c>
      <c r="E22" s="42"/>
      <c r="F22" s="41" t="s">
        <v>26</v>
      </c>
      <c r="G22" s="42"/>
      <c r="H22" s="43">
        <f t="shared" si="0"/>
        <v>423</v>
      </c>
      <c r="I22" s="44">
        <f t="shared" si="1"/>
        <v>423</v>
      </c>
      <c r="J22" s="45">
        <f t="shared" si="2"/>
        <v>1</v>
      </c>
      <c r="K22" s="46">
        <v>0.625</v>
      </c>
      <c r="L22" s="47">
        <v>3000</v>
      </c>
      <c r="M22" s="54">
        <v>167.83</v>
      </c>
      <c r="N22" s="49">
        <f t="shared" si="3"/>
        <v>479.999999999905</v>
      </c>
      <c r="O22" s="56"/>
      <c r="P22" s="51"/>
      <c r="Q22" s="52"/>
      <c r="R22" s="52"/>
      <c r="S22" s="52"/>
      <c r="T22" s="52"/>
      <c r="U22" s="53"/>
    </row>
    <row r="23" s="3" customFormat="1" ht="15" customHeight="1" spans="1:21">
      <c r="A23" s="40">
        <v>0.666666666666667</v>
      </c>
      <c r="B23" s="41" t="s">
        <v>11</v>
      </c>
      <c r="C23" s="42"/>
      <c r="D23" s="41">
        <v>416</v>
      </c>
      <c r="E23" s="42"/>
      <c r="F23" s="41" t="s">
        <v>26</v>
      </c>
      <c r="G23" s="42"/>
      <c r="H23" s="43">
        <f t="shared" si="0"/>
        <v>416</v>
      </c>
      <c r="I23" s="44">
        <f t="shared" si="1"/>
        <v>416</v>
      </c>
      <c r="J23" s="45">
        <f t="shared" si="2"/>
        <v>1</v>
      </c>
      <c r="K23" s="46">
        <v>0.666666666666666</v>
      </c>
      <c r="L23" s="47">
        <v>3000</v>
      </c>
      <c r="M23" s="54">
        <v>167.87</v>
      </c>
      <c r="N23" s="49">
        <f t="shared" si="3"/>
        <v>479.999999999905</v>
      </c>
      <c r="O23" s="56"/>
      <c r="P23" s="51"/>
      <c r="Q23" s="52"/>
      <c r="R23" s="52"/>
      <c r="S23" s="52"/>
      <c r="T23" s="52"/>
      <c r="U23" s="53"/>
    </row>
    <row r="24" s="3" customFormat="1" ht="15" customHeight="1" spans="1:21">
      <c r="A24" s="40">
        <v>0.708333333333334</v>
      </c>
      <c r="B24" s="41" t="s">
        <v>11</v>
      </c>
      <c r="C24" s="42"/>
      <c r="D24" s="41">
        <v>441</v>
      </c>
      <c r="E24" s="42"/>
      <c r="F24" s="41" t="s">
        <v>26</v>
      </c>
      <c r="G24" s="42"/>
      <c r="H24" s="43">
        <f t="shared" si="0"/>
        <v>441</v>
      </c>
      <c r="I24" s="44">
        <f t="shared" si="1"/>
        <v>441</v>
      </c>
      <c r="J24" s="45">
        <f t="shared" si="2"/>
        <v>1</v>
      </c>
      <c r="K24" s="46">
        <v>0.708333333333333</v>
      </c>
      <c r="L24" s="47">
        <v>2700</v>
      </c>
      <c r="M24" s="54">
        <v>167.91</v>
      </c>
      <c r="N24" s="49">
        <f t="shared" si="3"/>
        <v>479.999999999905</v>
      </c>
      <c r="O24" s="56"/>
      <c r="P24" s="51"/>
      <c r="Q24" s="52"/>
      <c r="R24" s="52"/>
      <c r="S24" s="52"/>
      <c r="T24" s="52"/>
      <c r="U24" s="53"/>
    </row>
    <row r="25" s="3" customFormat="1" ht="15" customHeight="1" spans="1:21">
      <c r="A25" s="40">
        <v>0.75</v>
      </c>
      <c r="B25" s="41" t="s">
        <v>11</v>
      </c>
      <c r="C25" s="42"/>
      <c r="D25" s="41">
        <v>257</v>
      </c>
      <c r="E25" s="42"/>
      <c r="F25" s="41">
        <v>266</v>
      </c>
      <c r="G25" s="42"/>
      <c r="H25" s="43">
        <f t="shared" si="0"/>
        <v>523</v>
      </c>
      <c r="I25" s="44">
        <f t="shared" si="1"/>
        <v>261.5</v>
      </c>
      <c r="J25" s="45">
        <f t="shared" si="2"/>
        <v>2</v>
      </c>
      <c r="K25" s="46">
        <v>0.75</v>
      </c>
      <c r="L25" s="47">
        <v>2400</v>
      </c>
      <c r="M25" s="54">
        <v>167.95</v>
      </c>
      <c r="N25" s="49">
        <f t="shared" si="3"/>
        <v>720.000000000027</v>
      </c>
      <c r="O25" s="56"/>
      <c r="P25" s="51"/>
      <c r="Q25" s="52"/>
      <c r="R25" s="52"/>
      <c r="S25" s="52"/>
      <c r="T25" s="52"/>
      <c r="U25" s="53"/>
    </row>
    <row r="26" s="3" customFormat="1" ht="15" customHeight="1" spans="1:21">
      <c r="A26" s="40">
        <v>0.791666666666667</v>
      </c>
      <c r="B26" s="41" t="s">
        <v>11</v>
      </c>
      <c r="C26" s="42"/>
      <c r="D26" s="41">
        <v>324</v>
      </c>
      <c r="E26" s="42"/>
      <c r="F26" s="41">
        <v>363</v>
      </c>
      <c r="G26" s="42"/>
      <c r="H26" s="43">
        <f t="shared" si="0"/>
        <v>687</v>
      </c>
      <c r="I26" s="44">
        <f t="shared" si="1"/>
        <v>343.5</v>
      </c>
      <c r="J26" s="45">
        <f t="shared" si="2"/>
        <v>2</v>
      </c>
      <c r="K26" s="46">
        <v>0.791666666666666</v>
      </c>
      <c r="L26" s="47">
        <v>2100</v>
      </c>
      <c r="M26" s="54">
        <v>168.01</v>
      </c>
      <c r="N26" s="49">
        <f t="shared" si="3"/>
        <v>720.000000000027</v>
      </c>
      <c r="O26" s="56"/>
      <c r="P26" s="51"/>
      <c r="Q26" s="52"/>
      <c r="R26" s="52"/>
      <c r="S26" s="52"/>
      <c r="T26" s="52"/>
      <c r="U26" s="53"/>
    </row>
    <row r="27" s="3" customFormat="1" ht="15" customHeight="1" spans="1:21">
      <c r="A27" s="40">
        <v>0.833333333333334</v>
      </c>
      <c r="B27" s="41" t="s">
        <v>11</v>
      </c>
      <c r="C27" s="42"/>
      <c r="D27" s="41">
        <v>328</v>
      </c>
      <c r="E27" s="42"/>
      <c r="F27" s="41">
        <v>345</v>
      </c>
      <c r="G27" s="42"/>
      <c r="H27" s="43">
        <f t="shared" si="0"/>
        <v>673</v>
      </c>
      <c r="I27" s="44">
        <f t="shared" si="1"/>
        <v>336.5</v>
      </c>
      <c r="J27" s="45">
        <f t="shared" si="2"/>
        <v>2</v>
      </c>
      <c r="K27" s="46">
        <v>0.833333333333333</v>
      </c>
      <c r="L27" s="47">
        <v>2100</v>
      </c>
      <c r="M27" s="54">
        <v>168.07</v>
      </c>
      <c r="N27" s="49">
        <f t="shared" si="3"/>
        <v>720.000000000027</v>
      </c>
      <c r="O27" s="56"/>
      <c r="P27" s="51"/>
      <c r="Q27" s="52"/>
      <c r="R27" s="52"/>
      <c r="S27" s="52"/>
      <c r="T27" s="52"/>
      <c r="U27" s="53"/>
    </row>
    <row r="28" s="4" customFormat="1" ht="15" customHeight="1" spans="1:21">
      <c r="A28" s="40">
        <v>0.875</v>
      </c>
      <c r="B28" s="41" t="s">
        <v>11</v>
      </c>
      <c r="C28" s="42"/>
      <c r="D28" s="41">
        <v>285</v>
      </c>
      <c r="E28" s="42"/>
      <c r="F28" s="41">
        <v>308</v>
      </c>
      <c r="G28" s="42"/>
      <c r="H28" s="43">
        <f t="shared" si="0"/>
        <v>593</v>
      </c>
      <c r="I28" s="44">
        <f t="shared" si="1"/>
        <v>296.5</v>
      </c>
      <c r="J28" s="45">
        <f t="shared" si="2"/>
        <v>2</v>
      </c>
      <c r="K28" s="46">
        <v>0.875</v>
      </c>
      <c r="L28" s="47">
        <v>1800</v>
      </c>
      <c r="M28" s="54">
        <v>168.13</v>
      </c>
      <c r="N28" s="49">
        <f t="shared" si="3"/>
        <v>600.000000000136</v>
      </c>
      <c r="O28" s="56"/>
      <c r="P28" s="51"/>
      <c r="Q28" s="52"/>
      <c r="R28" s="52"/>
      <c r="S28" s="52"/>
      <c r="T28" s="52"/>
      <c r="U28" s="53"/>
    </row>
    <row r="29" s="3" customFormat="1" ht="15" customHeight="1" spans="1:21">
      <c r="A29" s="40">
        <v>0.916666666666667</v>
      </c>
      <c r="B29" s="41" t="s">
        <v>11</v>
      </c>
      <c r="C29" s="42"/>
      <c r="D29" s="41">
        <v>280</v>
      </c>
      <c r="E29" s="42"/>
      <c r="F29" s="41">
        <v>318</v>
      </c>
      <c r="G29" s="42"/>
      <c r="H29" s="43">
        <f t="shared" si="0"/>
        <v>598</v>
      </c>
      <c r="I29" s="44">
        <f t="shared" si="1"/>
        <v>299</v>
      </c>
      <c r="J29" s="45">
        <f t="shared" si="2"/>
        <v>2</v>
      </c>
      <c r="K29" s="46">
        <v>0.916666666666666</v>
      </c>
      <c r="L29" s="47">
        <v>1800</v>
      </c>
      <c r="M29" s="54">
        <v>168.18</v>
      </c>
      <c r="N29" s="49">
        <f t="shared" si="3"/>
        <v>479.999999999905</v>
      </c>
      <c r="O29" s="56"/>
      <c r="P29" s="51"/>
      <c r="Q29" s="52"/>
      <c r="R29" s="52"/>
      <c r="S29" s="52"/>
      <c r="T29" s="52"/>
      <c r="U29" s="53"/>
    </row>
    <row r="30" s="3" customFormat="1" ht="15" customHeight="1" spans="1:21">
      <c r="A30" s="40">
        <v>0.958333333333334</v>
      </c>
      <c r="B30" s="41" t="s">
        <v>11</v>
      </c>
      <c r="C30" s="42"/>
      <c r="D30" s="41">
        <v>264</v>
      </c>
      <c r="E30" s="42"/>
      <c r="F30" s="41">
        <v>303</v>
      </c>
      <c r="G30" s="42"/>
      <c r="H30" s="43">
        <f t="shared" si="0"/>
        <v>567</v>
      </c>
      <c r="I30" s="44">
        <f t="shared" si="1"/>
        <v>283.5</v>
      </c>
      <c r="J30" s="45">
        <f t="shared" si="2"/>
        <v>2</v>
      </c>
      <c r="K30" s="46">
        <v>0.958333333333333</v>
      </c>
      <c r="L30" s="47">
        <v>1800</v>
      </c>
      <c r="M30" s="54">
        <v>168.22</v>
      </c>
      <c r="N30" s="49">
        <f t="shared" si="3"/>
        <v>600.000000000136</v>
      </c>
      <c r="O30" s="56"/>
      <c r="P30" s="51"/>
      <c r="Q30" s="52"/>
      <c r="R30" s="52"/>
      <c r="S30" s="52"/>
      <c r="T30" s="52"/>
      <c r="U30" s="53"/>
    </row>
    <row r="31" s="2" customFormat="1" ht="15" customHeight="1" spans="1:21">
      <c r="A31" s="57">
        <v>1</v>
      </c>
      <c r="B31" s="41" t="s">
        <v>11</v>
      </c>
      <c r="C31" s="42"/>
      <c r="D31" s="41">
        <v>256</v>
      </c>
      <c r="E31" s="42"/>
      <c r="F31" s="41">
        <v>263</v>
      </c>
      <c r="G31" s="42"/>
      <c r="H31" s="43">
        <f t="shared" si="0"/>
        <v>519</v>
      </c>
      <c r="I31" s="58">
        <f t="shared" si="1"/>
        <v>259.5</v>
      </c>
      <c r="J31" s="59">
        <f t="shared" si="2"/>
        <v>2</v>
      </c>
      <c r="K31" s="60">
        <v>1</v>
      </c>
      <c r="L31" s="47">
        <v>4500</v>
      </c>
      <c r="M31" s="61">
        <v>168.27</v>
      </c>
      <c r="N31" s="49">
        <f>H31</f>
        <v>519</v>
      </c>
      <c r="O31" s="56"/>
      <c r="P31" s="51"/>
      <c r="Q31" s="52"/>
      <c r="R31" s="52"/>
      <c r="S31" s="52"/>
      <c r="T31" s="52"/>
      <c r="U31" s="53"/>
    </row>
    <row r="32" s="3" customFormat="1" ht="23.25" customHeight="1" spans="1:21">
      <c r="A32" s="62" t="s">
        <v>12</v>
      </c>
      <c r="B32" s="63">
        <f>SUM(B8:B31)/1000</f>
        <v>0</v>
      </c>
      <c r="C32" s="64"/>
      <c r="D32" s="63">
        <f>SUM(D8:D31)/1000</f>
        <v>7.16</v>
      </c>
      <c r="E32" s="64"/>
      <c r="F32" s="63">
        <f>SUM(F8:F31)/1000</f>
        <v>5.221</v>
      </c>
      <c r="G32" s="64"/>
      <c r="H32" s="65">
        <f>SUM(H8:H31)</f>
        <v>12381</v>
      </c>
      <c r="I32" s="66" t="s">
        <v>13</v>
      </c>
      <c r="J32" s="67"/>
      <c r="K32" s="68"/>
      <c r="L32" s="69"/>
      <c r="M32" s="70">
        <f>SUM(M31-M8+N8)</f>
        <v>601.089999999795</v>
      </c>
      <c r="N32" s="71">
        <f>SUM(N8:N31)</f>
        <v>13599</v>
      </c>
      <c r="O32" s="72">
        <f>SUM(O8:O31)</f>
        <v>0</v>
      </c>
      <c r="P32" s="73"/>
      <c r="Q32" s="74"/>
      <c r="R32" s="74"/>
      <c r="S32" s="74"/>
      <c r="T32" s="74"/>
      <c r="U32" s="75"/>
    </row>
    <row r="33" ht="15" customHeight="1" spans="1:29">
      <c r="A33" s="76" t="s">
        <v>14</v>
      </c>
      <c r="B33" s="77" t="str">
        <f>IFERROR((AVERAGE(B8:B31)),"0")</f>
        <v>0</v>
      </c>
      <c r="C33" s="78"/>
      <c r="D33" s="79">
        <f>IFERROR((AVERAGE(D8:D31)),"0")</f>
        <v>298.333333333333</v>
      </c>
      <c r="E33" s="78"/>
      <c r="F33" s="79">
        <f>IFERROR((AVERAGE(F8:F31)),"0")</f>
        <v>274.789473684211</v>
      </c>
      <c r="G33" s="80"/>
      <c r="H33" s="81">
        <f>H32*1000</f>
        <v>12381000</v>
      </c>
      <c r="I33" s="82" t="s">
        <v>15</v>
      </c>
      <c r="J33" s="83"/>
      <c r="K33" s="84"/>
      <c r="L33" s="85"/>
      <c r="M33" s="86"/>
      <c r="N33" s="85"/>
      <c r="O33" s="87"/>
      <c r="P33" s="87"/>
      <c r="Q33" s="88"/>
      <c r="R33" s="88"/>
      <c r="S33" s="89"/>
      <c r="T33" s="89"/>
      <c r="U33" s="89"/>
      <c r="V33" s="89"/>
    </row>
    <row r="34" ht="18.75" customHeight="1" spans="1:29">
      <c r="A34" s="90"/>
      <c r="B34" s="91"/>
      <c r="C34" s="92"/>
      <c r="D34" s="93"/>
      <c r="E34" s="92"/>
      <c r="F34" s="93"/>
      <c r="G34" s="94"/>
      <c r="H34" s="95"/>
      <c r="I34" s="96"/>
      <c r="J34" s="97"/>
      <c r="K34" s="98"/>
      <c r="L34" s="85"/>
      <c r="M34" s="86"/>
      <c r="N34" s="99"/>
      <c r="O34" s="99"/>
      <c r="P34" s="99"/>
      <c r="Q34" s="99"/>
      <c r="R34" s="88"/>
      <c r="S34" s="89"/>
      <c r="T34" s="89"/>
      <c r="U34" s="89"/>
      <c r="V34" s="89"/>
    </row>
    <row r="35" ht="22.5" customHeight="1" spans="1:29">
      <c r="A35" s="100" t="s">
        <v>16</v>
      </c>
      <c r="B35" s="101">
        <f>COUNT(B8:B31)</f>
        <v>0</v>
      </c>
      <c r="C35" s="102"/>
      <c r="D35" s="103">
        <f>COUNT(D8:D31)</f>
        <v>24</v>
      </c>
      <c r="E35" s="102"/>
      <c r="F35" s="103">
        <f>COUNT(F8:F31)</f>
        <v>19</v>
      </c>
      <c r="G35" s="104"/>
      <c r="H35" s="105"/>
      <c r="I35" s="106"/>
      <c r="J35" s="107"/>
      <c r="K35" s="107"/>
      <c r="L35" s="107"/>
      <c r="M35" s="107"/>
      <c r="N35" s="99"/>
      <c r="O35" s="99"/>
      <c r="P35" s="99"/>
      <c r="Q35" s="99"/>
      <c r="R35" s="108"/>
      <c r="S35" s="89"/>
      <c r="T35" s="89"/>
      <c r="U35" s="89"/>
      <c r="V35" s="89"/>
    </row>
    <row r="36" ht="9" customHeight="1" spans="1:29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10"/>
      <c r="N36" s="106"/>
      <c r="O36" s="107"/>
      <c r="P36" s="107"/>
      <c r="Q36" s="107"/>
      <c r="R36" s="107"/>
      <c r="S36" s="107"/>
      <c r="T36" s="107"/>
      <c r="U36" s="111"/>
      <c r="V36" s="112"/>
      <c r="W36" s="108"/>
      <c r="X36" s="108"/>
      <c r="Y36" s="108"/>
      <c r="Z36" s="89"/>
      <c r="AA36" s="89"/>
      <c r="AB36" s="89"/>
      <c r="AC36" s="89"/>
    </row>
    <row r="37" ht="24" customHeight="1" spans="1:29">
      <c r="D37" s="113"/>
      <c r="E37" s="113"/>
      <c r="F37" s="113"/>
      <c r="G37" s="113"/>
      <c r="H37" s="113"/>
      <c r="I37" s="113"/>
      <c r="J37" s="113"/>
      <c r="K37" s="114"/>
      <c r="L37" s="114"/>
      <c r="N37" s="115" t="s">
        <v>17</v>
      </c>
      <c r="O37" s="116"/>
      <c r="P37" s="116"/>
      <c r="Q37" s="117"/>
      <c r="R37" s="118">
        <f>SUM(B35:F35)</f>
        <v>43</v>
      </c>
      <c r="S37" s="69"/>
      <c r="T37" s="69"/>
      <c r="U37" s="69"/>
      <c r="V37" s="69"/>
      <c r="X37" s="119"/>
      <c r="Y37" s="119"/>
      <c r="Z37" s="119"/>
      <c r="AA37" s="119"/>
      <c r="AB37" s="119"/>
      <c r="AC37" s="114"/>
    </row>
    <row r="38" ht="15" spans="1:29">
      <c r="D38" s="113"/>
      <c r="E38" s="113"/>
      <c r="F38" s="113"/>
      <c r="G38" s="113"/>
      <c r="H38" s="113"/>
      <c r="I38" s="113"/>
      <c r="J38" s="113"/>
      <c r="K38" s="114"/>
      <c r="L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</row>
    <row r="39" ht="24.75" customHeight="1" spans="1:29">
      <c r="A39" s="120" t="s">
        <v>18</v>
      </c>
      <c r="B39" s="121"/>
      <c r="C39" s="122">
        <f>MAX(H8:H31)</f>
        <v>687</v>
      </c>
      <c r="D39" s="123"/>
      <c r="E39" s="124">
        <f>VLOOKUP(C39,H8:L31,4,FALSE)</f>
        <v>0.791666666666666</v>
      </c>
      <c r="F39" s="125"/>
      <c r="G39" s="125"/>
      <c r="H39" s="126" t="s">
        <v>19</v>
      </c>
      <c r="I39" s="127"/>
      <c r="J39" s="128"/>
      <c r="K39" s="129">
        <f>MAX(J8:J31)</f>
        <v>2</v>
      </c>
      <c r="L39" s="130"/>
      <c r="N39" s="131" t="s">
        <v>20</v>
      </c>
      <c r="O39" s="132"/>
      <c r="P39" s="132"/>
      <c r="Q39" s="133"/>
      <c r="R39" s="134">
        <f>AVERAGE(H8:H31)</f>
        <v>515.875</v>
      </c>
      <c r="S39" s="135"/>
      <c r="T39" s="135"/>
    </row>
    <row r="40" ht="15" spans="1:29">
      <c r="C40" s="136"/>
      <c r="D40" s="137"/>
      <c r="E40" s="138"/>
      <c r="F40" s="138"/>
      <c r="G40" s="138"/>
      <c r="H40" s="138"/>
      <c r="I40" s="139"/>
      <c r="J40" s="106"/>
      <c r="K40" s="110"/>
      <c r="L40" s="110"/>
      <c r="N40" s="140"/>
      <c r="O40" s="140"/>
      <c r="P40" s="140"/>
      <c r="Q40" s="140"/>
      <c r="R40" s="140"/>
      <c r="X40" s="5"/>
      <c r="Y40" s="5"/>
      <c r="Z40" s="5"/>
      <c r="AA40" s="5"/>
      <c r="AB40" s="5"/>
      <c r="AC40" s="141"/>
    </row>
    <row r="41" ht="24.75" customHeight="1" spans="1:29">
      <c r="A41" s="120" t="s">
        <v>21</v>
      </c>
      <c r="B41" s="121"/>
      <c r="C41" s="122">
        <f>MIN(H8:H31)</f>
        <v>416</v>
      </c>
      <c r="D41" s="123"/>
      <c r="E41" s="124">
        <f>VLOOKUP(C41,H8:L31,4,FALSE)</f>
        <v>0.666666666666666</v>
      </c>
      <c r="F41" s="142"/>
      <c r="G41" s="125"/>
      <c r="H41" s="126" t="s">
        <v>22</v>
      </c>
      <c r="I41" s="127"/>
      <c r="J41" s="128"/>
      <c r="K41" s="129">
        <f>MIN(J8:J31)</f>
        <v>1</v>
      </c>
      <c r="L41" s="130"/>
      <c r="N41" s="126" t="s">
        <v>23</v>
      </c>
      <c r="O41" s="127"/>
      <c r="P41" s="127"/>
      <c r="Q41" s="128"/>
      <c r="R41" s="143">
        <f>AVERAGE(I8:I31)</f>
        <v>302.854166666667</v>
      </c>
      <c r="S41" s="144"/>
      <c r="T41" s="144"/>
      <c r="U41" s="144"/>
      <c r="V41" s="144"/>
      <c r="X41" s="145"/>
    </row>
    <row r="42" ht="15" spans="1:29">
      <c r="D42" s="138"/>
      <c r="E42" s="138"/>
      <c r="F42" s="138"/>
      <c r="G42" s="138"/>
      <c r="H42" s="138"/>
      <c r="I42" s="146"/>
      <c r="J42" s="138"/>
      <c r="K42" s="147"/>
      <c r="L42" s="147"/>
      <c r="V42" s="148"/>
      <c r="W42" s="148"/>
      <c r="X42" s="149"/>
      <c r="Y42" s="149"/>
      <c r="Z42" s="150"/>
      <c r="AA42" s="150"/>
      <c r="AB42" s="150"/>
      <c r="AC42" s="150"/>
    </row>
    <row r="43" ht="24.75" customHeight="1" spans="1:29">
      <c r="C43" s="136"/>
      <c r="H43" s="151"/>
      <c r="I43" s="151"/>
      <c r="J43" s="151"/>
      <c r="K43" s="145"/>
      <c r="L43" s="139"/>
      <c r="N43" s="152" t="s">
        <v>24</v>
      </c>
      <c r="O43" s="153"/>
      <c r="P43" s="153"/>
      <c r="Q43" s="154"/>
      <c r="R43" s="155" t="e">
        <f>AVERAGE(T8:T31)</f>
        <v>#DIV/0!</v>
      </c>
      <c r="X43" s="156"/>
      <c r="Z43" s="157"/>
      <c r="AA43" s="157"/>
      <c r="AB43" s="157"/>
      <c r="AC43" s="157"/>
    </row>
    <row r="44" ht="19.5" spans="1:29">
      <c r="I44" s="158"/>
      <c r="K44" s="159"/>
      <c r="L44" s="159"/>
      <c r="Z44" s="160"/>
      <c r="AA44" s="160"/>
      <c r="AB44" s="160"/>
      <c r="AC44" s="160"/>
    </row>
    <row r="45" ht="24.75" customHeight="1" spans="1:29">
      <c r="D45" s="158"/>
      <c r="E45" s="158"/>
      <c r="F45" s="158"/>
      <c r="G45" s="158"/>
      <c r="H45" s="158"/>
      <c r="N45" s="126" t="s">
        <v>25</v>
      </c>
      <c r="O45" s="127"/>
      <c r="P45" s="127"/>
      <c r="Q45" s="128"/>
      <c r="R45" s="161">
        <f>SUM(M32-H32)/24</f>
        <v>-490.829583333342</v>
      </c>
      <c r="X45" s="162"/>
      <c r="Z45" s="163"/>
      <c r="AA45" s="163"/>
      <c r="AB45" s="163"/>
      <c r="AC45" s="163"/>
    </row>
    <row r="46" spans="1:29">
      <c r="Z46" s="164"/>
      <c r="AA46" s="164"/>
      <c r="AB46" s="164"/>
      <c r="AC46" s="164"/>
    </row>
    <row r="47" spans="1:29">
      <c r="Z47" s="139"/>
      <c r="AA47" s="139"/>
      <c r="AB47" s="139"/>
      <c r="AC47" s="139"/>
    </row>
    <row r="48" spans="1:29">
      <c r="Z48" s="139"/>
      <c r="AA48" s="139"/>
      <c r="AB48" s="139"/>
      <c r="AC48" s="139"/>
    </row>
    <row r="49" spans="11:29">
      <c r="Z49" s="157"/>
      <c r="AA49" s="157"/>
      <c r="AB49" s="157"/>
      <c r="AC49" s="157"/>
    </row>
    <row r="50" spans="11:29">
      <c r="Z50" s="157"/>
      <c r="AA50" s="157"/>
      <c r="AB50" s="157"/>
      <c r="AC50" s="157"/>
    </row>
    <row r="51" spans="11:29">
      <c r="K51" s="150"/>
      <c r="L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0"/>
      <c r="AC51" s="150"/>
    </row>
    <row r="52" spans="11:29">
      <c r="K52" s="150"/>
      <c r="L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  <c r="AB52" s="150"/>
      <c r="AC52" s="150"/>
    </row>
    <row r="53" spans="11:29">
      <c r="K53" s="150"/>
      <c r="L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50"/>
      <c r="AB53" s="150"/>
      <c r="AC53" s="150"/>
    </row>
    <row r="60" spans="11:29">
      <c r="O60" s="165"/>
      <c r="P60" s="165"/>
      <c r="Q60" s="165"/>
      <c r="R60" s="165"/>
      <c r="S60" s="165"/>
      <c r="T60" s="165"/>
    </row>
    <row r="61" spans="11:29">
      <c r="O61" s="165"/>
      <c r="P61" s="165"/>
      <c r="Q61" s="165"/>
      <c r="R61" s="165"/>
      <c r="S61" s="165"/>
      <c r="T61" s="165"/>
    </row>
    <row r="62" spans="11:29">
      <c r="O62" s="165"/>
      <c r="P62" s="165"/>
      <c r="Q62" s="165"/>
      <c r="R62" s="165"/>
      <c r="S62" s="165"/>
      <c r="T62" s="165"/>
    </row>
    <row r="63" spans="11:29">
      <c r="O63" s="165"/>
      <c r="P63" s="165"/>
      <c r="Q63" s="165"/>
      <c r="R63" s="165"/>
      <c r="S63" s="165"/>
      <c r="T63" s="165"/>
    </row>
    <row r="64" spans="11:29">
      <c r="O64" s="165"/>
      <c r="P64" s="165"/>
      <c r="Q64" s="165"/>
      <c r="R64" s="165"/>
      <c r="S64" s="165"/>
      <c r="T64" s="165"/>
    </row>
    <row r="65" spans="15:20">
      <c r="O65" s="165"/>
      <c r="P65" s="165"/>
      <c r="Q65" s="165"/>
      <c r="R65" s="165"/>
      <c r="S65" s="165"/>
      <c r="T65" s="165"/>
    </row>
    <row r="66" spans="15:20">
      <c r="O66" s="165"/>
      <c r="P66" s="165"/>
      <c r="Q66" s="165"/>
      <c r="R66" s="165"/>
      <c r="S66" s="165"/>
      <c r="T66" s="165"/>
    </row>
    <row r="67" spans="15:20">
      <c r="O67" s="165"/>
      <c r="P67" s="165"/>
      <c r="Q67" s="165"/>
      <c r="R67" s="165"/>
      <c r="S67" s="165"/>
      <c r="T67" s="165"/>
    </row>
    <row r="68" spans="15:20">
      <c r="O68" s="165"/>
      <c r="P68" s="165"/>
      <c r="Q68" s="165"/>
      <c r="R68" s="165"/>
      <c r="S68" s="165"/>
      <c r="T68" s="165"/>
    </row>
  </sheetData>
  <mergeCells count="116">
    <mergeCell ref="H4:K4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B29:C29"/>
    <mergeCell ref="D29:E29"/>
    <mergeCell ref="F29:G2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N34:Q34"/>
    <mergeCell ref="B35:C35"/>
    <mergeCell ref="D35:E35"/>
    <mergeCell ref="F35:G35"/>
    <mergeCell ref="N35:Q35"/>
    <mergeCell ref="N37:Q37"/>
    <mergeCell ref="A39:B39"/>
    <mergeCell ref="C39:D39"/>
    <mergeCell ref="H39:J39"/>
    <mergeCell ref="N39:Q39"/>
    <mergeCell ref="A41:B41"/>
    <mergeCell ref="C41:D41"/>
    <mergeCell ref="H41:J41"/>
    <mergeCell ref="N41:Q41"/>
    <mergeCell ref="H43:J43"/>
    <mergeCell ref="N43:Q43"/>
    <mergeCell ref="N45:Q45"/>
    <mergeCell ref="A6:A7"/>
    <mergeCell ref="A33:A34"/>
    <mergeCell ref="H6:H7"/>
    <mergeCell ref="H33:H34"/>
    <mergeCell ref="I6:I7"/>
    <mergeCell ref="I33:I34"/>
    <mergeCell ref="J6:J7"/>
    <mergeCell ref="K6:K7"/>
    <mergeCell ref="L6:L7"/>
    <mergeCell ref="M6:M7"/>
    <mergeCell ref="N6:N7"/>
    <mergeCell ref="O6:O7"/>
    <mergeCell ref="T6:T7"/>
    <mergeCell ref="U6:U7"/>
    <mergeCell ref="B33:C34"/>
    <mergeCell ref="D33:E34"/>
    <mergeCell ref="F33:G34"/>
  </mergeCells>
  <conditionalFormatting sqref="O8">
    <cfRule type="cellIs" dxfId="0" priority="10" operator="equal">
      <formula>"N/A"</formula>
    </cfRule>
  </conditionalFormatting>
  <conditionalFormatting sqref="A30">
    <cfRule type="cellIs" dxfId="1" priority="11" operator="equal">
      <formula>"STB"</formula>
    </cfRule>
    <cfRule type="cellIs" dxfId="0" priority="12" operator="equal">
      <formula>"BD"</formula>
    </cfRule>
  </conditionalFormatting>
  <conditionalFormatting sqref="B8:B31">
    <cfRule type="cellIs" dxfId="1" priority="1" operator="equal">
      <formula>"STB"</formula>
    </cfRule>
    <cfRule type="cellIs" dxfId="0" priority="2" operator="equal">
      <formula>"BD"</formula>
    </cfRule>
  </conditionalFormatting>
  <conditionalFormatting sqref="D8:D31">
    <cfRule type="cellIs" dxfId="1" priority="8" operator="equal">
      <formula>"STB"</formula>
    </cfRule>
    <cfRule type="cellIs" dxfId="0" priority="9" operator="equal">
      <formula>"BD"</formula>
    </cfRule>
  </conditionalFormatting>
  <conditionalFormatting sqref="F8:F31">
    <cfRule type="cellIs" dxfId="1" priority="3" operator="equal">
      <formula>"STB"</formula>
    </cfRule>
    <cfRule type="cellIs" dxfId="0" priority="4" operator="equal">
      <formula>"BD"</formula>
    </cfRule>
  </conditionalFormatting>
  <conditionalFormatting sqref="H8:H31">
    <cfRule type="top10" dxfId="2" priority="5" bottom="1" rank="1"/>
    <cfRule type="top10" dxfId="3" priority="6" rank="1"/>
    <cfRule type="cellIs" dxfId="4" priority="7" stopIfTrue="1" operator="equal">
      <formula>28000</formula>
    </cfRule>
  </conditionalFormatting>
  <conditionalFormatting sqref="H32:H33">
    <cfRule type="top10" dxfId="2" priority="14" bottom="1" rank="1"/>
    <cfRule type="top10" dxfId="3" priority="15" rank="1"/>
    <cfRule type="cellIs" dxfId="4" priority="17" stopIfTrue="1" operator="equal">
      <formula>28000</formula>
    </cfRule>
  </conditionalFormatting>
  <conditionalFormatting sqref="Y8:Y31">
    <cfRule type="containsText" dxfId="5" priority="13" operator="between" text="-">
      <formula>NOT(ISERROR(SEARCH("-",Y8)))</formula>
    </cfRule>
  </conditionalFormatting>
  <conditionalFormatting sqref="N8 N9:O31">
    <cfRule type="cellIs" dxfId="0" priority="16" operator="equal">
      <formula>"BD"</formula>
    </cfRule>
  </conditionalFormatting>
  <pageMargins left="0.7" right="0.7" top="0.75" bottom="0.75" header="0.3" footer="0.3"/>
  <pageSetup paperSize="1" orientation="portrait" verticalDpi="360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C68"/>
  <sheetViews>
    <sheetView zoomScale="80" zoomScaleNormal="80" workbookViewId="0">
      <pane ySplit="7" topLeftCell="A8" activePane="bottomLeft" state="frozen"/>
      <selection/>
      <selection pane="bottomLeft" activeCell="T23" sqref="T23"/>
    </sheetView>
  </sheetViews>
  <sheetFormatPr defaultColWidth="8.81666666666667" defaultRowHeight="14.25"/>
  <cols>
    <col min="1" max="1" width="16.725" customWidth="1"/>
    <col min="2" max="2" width="8.725" customWidth="1"/>
    <col min="3" max="7" width="5.725" customWidth="1"/>
    <col min="8" max="8" width="14.2666666666667" customWidth="1"/>
    <col min="9" max="9" width="15.1833333333333" customWidth="1"/>
    <col min="10" max="10" width="15.5416666666667" customWidth="1"/>
    <col min="11" max="11" width="7" customWidth="1"/>
    <col min="12" max="12" width="8.54166666666667" customWidth="1"/>
    <col min="13" max="13" width="11.725" style="5" customWidth="1"/>
    <col min="14" max="14" width="17.1833333333333" customWidth="1"/>
    <col min="15" max="15" width="15.45" customWidth="1"/>
    <col min="16" max="16" width="7.45" customWidth="1"/>
    <col min="17" max="17" width="9.54166666666667" customWidth="1"/>
    <col min="18" max="18" width="10" customWidth="1"/>
    <col min="19" max="20" width="9.81666666666667" customWidth="1"/>
    <col min="21" max="21" width="6.725" customWidth="1"/>
    <col min="22" max="22" width="13.8166666666667" customWidth="1"/>
    <col min="23" max="23" width="11.2666666666667" customWidth="1"/>
    <col min="24" max="24" width="9.26666666666667" customWidth="1"/>
    <col min="25" max="25" width="3.725" customWidth="1"/>
    <col min="26" max="29" width="7.725" customWidth="1"/>
    <col min="30" max="30" width="6.725" customWidth="1"/>
  </cols>
  <sheetData>
    <row r="1" ht="3" customHeight="1"/>
    <row r="2" ht="6" customHeight="1" spans="1:2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="1" customFormat="1" ht="6.75" customHeight="1" spans="1:29">
      <c r="K3" s="7"/>
      <c r="L3" s="8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17.25" customHeight="1" spans="1:29">
      <c r="A4" s="1"/>
      <c r="B4" s="10"/>
      <c r="C4" s="10"/>
      <c r="D4" s="10"/>
      <c r="E4" s="11"/>
      <c r="F4" s="11"/>
      <c r="G4" s="11"/>
      <c r="H4" s="12">
        <f>'[14]Taniwel daily'!C4</f>
        <v>45305</v>
      </c>
      <c r="I4" s="13"/>
      <c r="J4" s="13"/>
      <c r="K4" s="14"/>
      <c r="L4" s="15"/>
      <c r="M4" s="16"/>
      <c r="N4" s="10"/>
      <c r="O4" s="10"/>
      <c r="P4" s="10"/>
      <c r="Q4" s="10"/>
      <c r="R4" s="10"/>
      <c r="S4" s="10"/>
      <c r="T4" s="10"/>
      <c r="U4" s="10"/>
      <c r="V4" s="7"/>
      <c r="W4" s="7"/>
      <c r="X4" s="7"/>
      <c r="Y4" s="7"/>
      <c r="Z4" s="7"/>
      <c r="AA4" s="7"/>
      <c r="AB4" s="7"/>
      <c r="AC4" s="7"/>
    </row>
    <row r="5" ht="7.5" customHeight="1" spans="1:29">
      <c r="A5" s="1"/>
      <c r="B5" s="17"/>
      <c r="C5" s="1"/>
      <c r="D5" s="1"/>
      <c r="E5" s="1"/>
      <c r="F5" s="1"/>
      <c r="G5" s="1"/>
      <c r="H5" s="1"/>
      <c r="I5" s="1"/>
      <c r="J5" s="1"/>
      <c r="K5" s="18"/>
      <c r="L5" s="7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ht="17.25" customHeight="1" spans="1:29">
      <c r="A6" s="19" t="s">
        <v>0</v>
      </c>
      <c r="B6" s="20" t="s">
        <v>1</v>
      </c>
      <c r="C6" s="21"/>
      <c r="D6" s="20" t="s">
        <v>2</v>
      </c>
      <c r="E6" s="21"/>
      <c r="F6" s="20" t="s">
        <v>3</v>
      </c>
      <c r="G6" s="21"/>
      <c r="H6" s="22" t="s">
        <v>4</v>
      </c>
      <c r="I6" s="22" t="s">
        <v>5</v>
      </c>
      <c r="J6" s="23" t="s">
        <v>6</v>
      </c>
      <c r="K6" s="19" t="s">
        <v>0</v>
      </c>
      <c r="L6" s="24" t="s">
        <v>7</v>
      </c>
      <c r="M6" s="25" t="s">
        <v>8</v>
      </c>
      <c r="N6" s="26" t="s">
        <v>9</v>
      </c>
      <c r="O6" s="25" t="s">
        <v>10</v>
      </c>
      <c r="P6" s="27"/>
      <c r="Q6" s="28"/>
      <c r="R6" s="28"/>
      <c r="S6" s="28"/>
      <c r="T6" s="28"/>
      <c r="U6" s="29"/>
    </row>
    <row r="7" ht="15.75" customHeight="1" spans="1:29">
      <c r="A7" s="30"/>
      <c r="B7" s="31">
        <v>1</v>
      </c>
      <c r="C7" s="32"/>
      <c r="D7" s="31">
        <v>2</v>
      </c>
      <c r="E7" s="32"/>
      <c r="F7" s="31">
        <v>3</v>
      </c>
      <c r="G7" s="32"/>
      <c r="H7" s="33"/>
      <c r="I7" s="33"/>
      <c r="J7" s="34"/>
      <c r="K7" s="30"/>
      <c r="L7" s="35"/>
      <c r="M7" s="36"/>
      <c r="N7" s="37"/>
      <c r="O7" s="38"/>
      <c r="P7" s="27"/>
      <c r="Q7" s="28"/>
      <c r="R7" s="28"/>
      <c r="S7" s="28"/>
      <c r="T7" s="28"/>
      <c r="U7" s="29"/>
      <c r="X7" s="39"/>
    </row>
    <row r="8" s="2" customFormat="1" ht="15" customHeight="1" spans="1:29">
      <c r="A8" s="40">
        <v>0.0416666666666666</v>
      </c>
      <c r="B8" s="41" t="s">
        <v>11</v>
      </c>
      <c r="C8" s="42"/>
      <c r="D8" s="41">
        <v>249</v>
      </c>
      <c r="E8" s="42"/>
      <c r="F8" s="41">
        <v>260</v>
      </c>
      <c r="G8" s="42"/>
      <c r="H8" s="43">
        <f t="shared" ref="H8:H31" si="0">IF(SUM(B8:G8)/1000=0,"0",SUM(B8:G8))</f>
        <v>509</v>
      </c>
      <c r="I8" s="44">
        <f t="shared" ref="I8:I31" si="1">IFERROR(AVERAGE(B8:G8),"0")</f>
        <v>254.5</v>
      </c>
      <c r="J8" s="45">
        <f t="shared" ref="J8:J31" si="2">COUNT(B8:G8)</f>
        <v>2</v>
      </c>
      <c r="K8" s="46">
        <v>0.0416666666666667</v>
      </c>
      <c r="L8" s="47">
        <v>4500</v>
      </c>
      <c r="M8" s="48">
        <v>168.32</v>
      </c>
      <c r="N8" s="49">
        <f>(M9-M8)*12000</f>
        <v>600.000000000136</v>
      </c>
      <c r="O8" s="50"/>
      <c r="P8" s="51"/>
      <c r="Q8" s="52"/>
      <c r="R8" s="52"/>
      <c r="S8" s="52"/>
      <c r="T8" s="52"/>
      <c r="U8" s="53"/>
    </row>
    <row r="9" s="3" customFormat="1" ht="15" customHeight="1" spans="1:29">
      <c r="A9" s="40">
        <v>0.0833333333333333</v>
      </c>
      <c r="B9" s="41" t="s">
        <v>11</v>
      </c>
      <c r="C9" s="42"/>
      <c r="D9" s="41">
        <v>246</v>
      </c>
      <c r="E9" s="42"/>
      <c r="F9" s="41">
        <v>239</v>
      </c>
      <c r="G9" s="42"/>
      <c r="H9" s="43">
        <f t="shared" si="0"/>
        <v>485</v>
      </c>
      <c r="I9" s="44">
        <f t="shared" si="1"/>
        <v>242.5</v>
      </c>
      <c r="J9" s="45">
        <f t="shared" si="2"/>
        <v>2</v>
      </c>
      <c r="K9" s="46">
        <v>0.0833333333333333</v>
      </c>
      <c r="L9" s="47">
        <v>4200</v>
      </c>
      <c r="M9" s="54">
        <v>168.37</v>
      </c>
      <c r="N9" s="49">
        <f t="shared" ref="N9:N30" si="3">(M10-M9)*12000</f>
        <v>479.999999999905</v>
      </c>
      <c r="O9" s="55"/>
      <c r="P9" s="51"/>
      <c r="Q9" s="52"/>
      <c r="R9" s="52"/>
      <c r="S9" s="52"/>
      <c r="T9" s="52"/>
      <c r="U9" s="53"/>
    </row>
    <row r="10" s="3" customFormat="1" ht="15" customHeight="1" spans="1:29">
      <c r="A10" s="40">
        <v>0.125</v>
      </c>
      <c r="B10" s="41" t="s">
        <v>11</v>
      </c>
      <c r="C10" s="42"/>
      <c r="D10" s="41">
        <v>237</v>
      </c>
      <c r="E10" s="42"/>
      <c r="F10" s="41">
        <v>241</v>
      </c>
      <c r="G10" s="42"/>
      <c r="H10" s="43">
        <f t="shared" si="0"/>
        <v>478</v>
      </c>
      <c r="I10" s="44">
        <f t="shared" si="1"/>
        <v>239</v>
      </c>
      <c r="J10" s="45">
        <f t="shared" si="2"/>
        <v>2</v>
      </c>
      <c r="K10" s="46">
        <v>0.125</v>
      </c>
      <c r="L10" s="47">
        <v>4200</v>
      </c>
      <c r="M10" s="54">
        <v>168.41</v>
      </c>
      <c r="N10" s="49">
        <f t="shared" si="3"/>
        <v>600.000000000136</v>
      </c>
      <c r="O10" s="56"/>
      <c r="P10" s="51"/>
      <c r="Q10" s="52"/>
      <c r="R10" s="52"/>
      <c r="S10" s="52"/>
      <c r="T10" s="52"/>
      <c r="U10" s="53"/>
    </row>
    <row r="11" s="3" customFormat="1" ht="15" customHeight="1" spans="1:29">
      <c r="A11" s="40">
        <v>0.166666666666667</v>
      </c>
      <c r="B11" s="41" t="s">
        <v>11</v>
      </c>
      <c r="C11" s="42"/>
      <c r="D11" s="41">
        <v>239</v>
      </c>
      <c r="E11" s="42"/>
      <c r="F11" s="41">
        <v>240</v>
      </c>
      <c r="G11" s="42"/>
      <c r="H11" s="43">
        <f t="shared" si="0"/>
        <v>479</v>
      </c>
      <c r="I11" s="44">
        <f t="shared" si="1"/>
        <v>239.5</v>
      </c>
      <c r="J11" s="45">
        <f t="shared" si="2"/>
        <v>2</v>
      </c>
      <c r="K11" s="46">
        <v>0.166666666666667</v>
      </c>
      <c r="L11" s="47">
        <v>4000</v>
      </c>
      <c r="M11" s="54">
        <v>168.46</v>
      </c>
      <c r="N11" s="49">
        <f t="shared" si="3"/>
        <v>479.999999999905</v>
      </c>
      <c r="O11" s="56"/>
      <c r="P11" s="51"/>
      <c r="Q11" s="52"/>
      <c r="R11" s="52"/>
      <c r="S11" s="52"/>
      <c r="T11" s="52"/>
      <c r="U11" s="53"/>
    </row>
    <row r="12" s="3" customFormat="1" ht="15" customHeight="1" spans="1:29">
      <c r="A12" s="40">
        <v>0.208333333333333</v>
      </c>
      <c r="B12" s="41" t="s">
        <v>11</v>
      </c>
      <c r="C12" s="42"/>
      <c r="D12" s="41">
        <v>236</v>
      </c>
      <c r="E12" s="42"/>
      <c r="F12" s="41">
        <v>233</v>
      </c>
      <c r="G12" s="42"/>
      <c r="H12" s="43">
        <f t="shared" si="0"/>
        <v>469</v>
      </c>
      <c r="I12" s="44">
        <f t="shared" si="1"/>
        <v>234.5</v>
      </c>
      <c r="J12" s="45">
        <f t="shared" si="2"/>
        <v>2</v>
      </c>
      <c r="K12" s="46">
        <v>0.208333333333333</v>
      </c>
      <c r="L12" s="47">
        <v>3900</v>
      </c>
      <c r="M12" s="54">
        <v>168.5</v>
      </c>
      <c r="N12" s="49">
        <f t="shared" si="3"/>
        <v>600.000000000136</v>
      </c>
      <c r="O12" s="56"/>
      <c r="P12" s="51"/>
      <c r="Q12" s="52"/>
      <c r="R12" s="52"/>
      <c r="S12" s="52"/>
      <c r="T12" s="52"/>
      <c r="U12" s="53"/>
    </row>
    <row r="13" s="3" customFormat="1" ht="15" customHeight="1" spans="1:29">
      <c r="A13" s="40">
        <v>0.25</v>
      </c>
      <c r="B13" s="41" t="s">
        <v>11</v>
      </c>
      <c r="C13" s="42"/>
      <c r="D13" s="41">
        <v>248</v>
      </c>
      <c r="E13" s="42"/>
      <c r="F13" s="41">
        <v>238</v>
      </c>
      <c r="G13" s="42"/>
      <c r="H13" s="43">
        <f t="shared" si="0"/>
        <v>486</v>
      </c>
      <c r="I13" s="44">
        <f t="shared" si="1"/>
        <v>243</v>
      </c>
      <c r="J13" s="45">
        <f t="shared" si="2"/>
        <v>2</v>
      </c>
      <c r="K13" s="46">
        <v>0.25</v>
      </c>
      <c r="L13" s="47">
        <v>3600</v>
      </c>
      <c r="M13" s="54">
        <v>168.55</v>
      </c>
      <c r="N13" s="49">
        <f t="shared" si="3"/>
        <v>479.999999999905</v>
      </c>
      <c r="O13" s="56"/>
      <c r="P13" s="51"/>
      <c r="Q13" s="52"/>
      <c r="R13" s="52"/>
      <c r="S13" s="52"/>
      <c r="T13" s="52"/>
      <c r="U13" s="53"/>
    </row>
    <row r="14" s="3" customFormat="1" ht="15" customHeight="1" spans="1:29">
      <c r="A14" s="40">
        <v>0.291666666666667</v>
      </c>
      <c r="B14" s="41" t="s">
        <v>11</v>
      </c>
      <c r="C14" s="42"/>
      <c r="D14" s="41">
        <v>279</v>
      </c>
      <c r="E14" s="42"/>
      <c r="F14" s="41">
        <v>261</v>
      </c>
      <c r="G14" s="42"/>
      <c r="H14" s="43">
        <f t="shared" si="0"/>
        <v>540</v>
      </c>
      <c r="I14" s="44">
        <f t="shared" si="1"/>
        <v>270</v>
      </c>
      <c r="J14" s="45">
        <f t="shared" si="2"/>
        <v>2</v>
      </c>
      <c r="K14" s="46">
        <v>0.291666666666667</v>
      </c>
      <c r="L14" s="47">
        <v>3600</v>
      </c>
      <c r="M14" s="54">
        <v>168.59</v>
      </c>
      <c r="N14" s="49">
        <f t="shared" si="3"/>
        <v>720.000000000027</v>
      </c>
      <c r="O14" s="56"/>
      <c r="P14" s="51"/>
      <c r="Q14" s="52"/>
      <c r="R14" s="52"/>
      <c r="S14" s="52"/>
      <c r="T14" s="52"/>
      <c r="U14" s="53"/>
    </row>
    <row r="15" s="3" customFormat="1" ht="15" customHeight="1" spans="1:29">
      <c r="A15" s="40">
        <v>0.333333333333333</v>
      </c>
      <c r="B15" s="41" t="s">
        <v>11</v>
      </c>
      <c r="C15" s="42"/>
      <c r="D15" s="41">
        <v>281</v>
      </c>
      <c r="E15" s="42"/>
      <c r="F15" s="41">
        <v>274</v>
      </c>
      <c r="G15" s="42"/>
      <c r="H15" s="43">
        <f t="shared" si="0"/>
        <v>555</v>
      </c>
      <c r="I15" s="44">
        <f t="shared" si="1"/>
        <v>277.5</v>
      </c>
      <c r="J15" s="45">
        <f t="shared" si="2"/>
        <v>2</v>
      </c>
      <c r="K15" s="46">
        <v>0.333333333333333</v>
      </c>
      <c r="L15" s="47">
        <v>3600</v>
      </c>
      <c r="M15" s="54">
        <v>168.65</v>
      </c>
      <c r="N15" s="49">
        <f t="shared" si="3"/>
        <v>599.999999999795</v>
      </c>
      <c r="O15" s="56"/>
      <c r="P15" s="51"/>
      <c r="Q15" s="52"/>
      <c r="R15" s="52"/>
      <c r="S15" s="52"/>
      <c r="T15" s="52"/>
      <c r="U15" s="53"/>
    </row>
    <row r="16" s="3" customFormat="1" ht="15" customHeight="1" spans="1:29">
      <c r="A16" s="40">
        <v>0.375</v>
      </c>
      <c r="B16" s="41" t="s">
        <v>11</v>
      </c>
      <c r="C16" s="42"/>
      <c r="D16" s="41">
        <v>279</v>
      </c>
      <c r="E16" s="42"/>
      <c r="F16" s="41">
        <v>270</v>
      </c>
      <c r="G16" s="42"/>
      <c r="H16" s="43">
        <f t="shared" si="0"/>
        <v>549</v>
      </c>
      <c r="I16" s="44">
        <f t="shared" si="1"/>
        <v>274.5</v>
      </c>
      <c r="J16" s="45">
        <f t="shared" si="2"/>
        <v>2</v>
      </c>
      <c r="K16" s="46">
        <v>0.375</v>
      </c>
      <c r="L16" s="47">
        <v>3600</v>
      </c>
      <c r="M16" s="54">
        <v>168.7</v>
      </c>
      <c r="N16" s="49">
        <f t="shared" si="3"/>
        <v>600.000000000136</v>
      </c>
      <c r="O16" s="56"/>
      <c r="P16" s="51"/>
      <c r="Q16" s="52"/>
      <c r="R16" s="52"/>
      <c r="S16" s="52"/>
      <c r="T16" s="52"/>
      <c r="U16" s="53"/>
    </row>
    <row r="17" s="3" customFormat="1" ht="15" customHeight="1" spans="1:21">
      <c r="A17" s="40">
        <v>0.416666666666667</v>
      </c>
      <c r="B17" s="41" t="s">
        <v>11</v>
      </c>
      <c r="C17" s="42"/>
      <c r="D17" s="41">
        <v>244</v>
      </c>
      <c r="E17" s="42"/>
      <c r="F17" s="41">
        <v>251</v>
      </c>
      <c r="G17" s="42"/>
      <c r="H17" s="43">
        <f t="shared" si="0"/>
        <v>495</v>
      </c>
      <c r="I17" s="44">
        <f t="shared" si="1"/>
        <v>247.5</v>
      </c>
      <c r="J17" s="45">
        <f t="shared" si="2"/>
        <v>2</v>
      </c>
      <c r="K17" s="46">
        <v>0.416666666666666</v>
      </c>
      <c r="L17" s="47">
        <v>3400</v>
      </c>
      <c r="M17" s="54">
        <v>168.75</v>
      </c>
      <c r="N17" s="49">
        <f t="shared" si="3"/>
        <v>600.000000000136</v>
      </c>
      <c r="O17" s="56"/>
      <c r="P17" s="51"/>
      <c r="Q17" s="52"/>
      <c r="R17" s="52"/>
      <c r="S17" s="52"/>
      <c r="T17" s="52"/>
      <c r="U17" s="53"/>
    </row>
    <row r="18" s="3" customFormat="1" ht="15" customHeight="1" spans="1:21">
      <c r="A18" s="40">
        <v>0.458333333333333</v>
      </c>
      <c r="B18" s="41" t="s">
        <v>11</v>
      </c>
      <c r="C18" s="42"/>
      <c r="D18" s="41">
        <v>243</v>
      </c>
      <c r="E18" s="42"/>
      <c r="F18" s="41">
        <v>245</v>
      </c>
      <c r="G18" s="42"/>
      <c r="H18" s="43">
        <f t="shared" si="0"/>
        <v>488</v>
      </c>
      <c r="I18" s="44">
        <f t="shared" si="1"/>
        <v>244</v>
      </c>
      <c r="J18" s="45">
        <f t="shared" si="2"/>
        <v>2</v>
      </c>
      <c r="K18" s="46">
        <v>0.458333333333333</v>
      </c>
      <c r="L18" s="47">
        <v>3300</v>
      </c>
      <c r="M18" s="54">
        <v>168.8</v>
      </c>
      <c r="N18" s="49">
        <f t="shared" si="3"/>
        <v>360.000000000014</v>
      </c>
      <c r="O18" s="56"/>
      <c r="P18" s="51"/>
      <c r="Q18" s="52"/>
      <c r="R18" s="52"/>
      <c r="S18" s="52"/>
      <c r="T18" s="52"/>
      <c r="U18" s="53"/>
    </row>
    <row r="19" s="3" customFormat="1" ht="15" customHeight="1" spans="1:21">
      <c r="A19" s="40">
        <v>0.5</v>
      </c>
      <c r="B19" s="41" t="s">
        <v>11</v>
      </c>
      <c r="C19" s="42"/>
      <c r="D19" s="41">
        <v>242</v>
      </c>
      <c r="E19" s="42"/>
      <c r="F19" s="41">
        <v>230</v>
      </c>
      <c r="G19" s="42"/>
      <c r="H19" s="43">
        <f t="shared" si="0"/>
        <v>472</v>
      </c>
      <c r="I19" s="44">
        <f t="shared" si="1"/>
        <v>236</v>
      </c>
      <c r="J19" s="45">
        <f t="shared" si="2"/>
        <v>2</v>
      </c>
      <c r="K19" s="46">
        <v>0.5</v>
      </c>
      <c r="L19" s="47">
        <v>3300</v>
      </c>
      <c r="M19" s="54">
        <v>168.83</v>
      </c>
      <c r="N19" s="49">
        <f t="shared" si="3"/>
        <v>599.999999999795</v>
      </c>
      <c r="O19" s="56"/>
      <c r="P19" s="51"/>
      <c r="Q19" s="52"/>
      <c r="R19" s="52"/>
      <c r="S19" s="52"/>
      <c r="T19" s="52"/>
      <c r="U19" s="53"/>
    </row>
    <row r="20" s="3" customFormat="1" ht="15" customHeight="1" spans="1:21">
      <c r="A20" s="40">
        <v>0.541666666666667</v>
      </c>
      <c r="B20" s="41" t="s">
        <v>11</v>
      </c>
      <c r="C20" s="42"/>
      <c r="D20" s="41">
        <v>441</v>
      </c>
      <c r="E20" s="42"/>
      <c r="F20" s="41" t="s">
        <v>26</v>
      </c>
      <c r="G20" s="42"/>
      <c r="H20" s="43">
        <f t="shared" si="0"/>
        <v>441</v>
      </c>
      <c r="I20" s="44">
        <f t="shared" si="1"/>
        <v>441</v>
      </c>
      <c r="J20" s="45">
        <f t="shared" si="2"/>
        <v>1</v>
      </c>
      <c r="K20" s="46">
        <v>0.541666666666667</v>
      </c>
      <c r="L20" s="47">
        <v>3000</v>
      </c>
      <c r="M20" s="54">
        <v>168.88</v>
      </c>
      <c r="N20" s="49">
        <f t="shared" si="3"/>
        <v>479.999999999905</v>
      </c>
      <c r="O20" s="56"/>
      <c r="P20" s="51"/>
      <c r="Q20" s="52"/>
      <c r="R20" s="52"/>
      <c r="S20" s="52"/>
      <c r="T20" s="52"/>
      <c r="U20" s="53"/>
    </row>
    <row r="21" s="3" customFormat="1" ht="15" customHeight="1" spans="1:21">
      <c r="A21" s="40">
        <v>0.583333333333333</v>
      </c>
      <c r="B21" s="41" t="s">
        <v>11</v>
      </c>
      <c r="C21" s="42"/>
      <c r="D21" s="41">
        <v>425</v>
      </c>
      <c r="E21" s="42"/>
      <c r="F21" s="41" t="s">
        <v>26</v>
      </c>
      <c r="G21" s="42"/>
      <c r="H21" s="43">
        <f t="shared" si="0"/>
        <v>425</v>
      </c>
      <c r="I21" s="44">
        <f t="shared" si="1"/>
        <v>425</v>
      </c>
      <c r="J21" s="45">
        <f t="shared" si="2"/>
        <v>1</v>
      </c>
      <c r="K21" s="46">
        <v>0.583333333333333</v>
      </c>
      <c r="L21" s="47">
        <v>3000</v>
      </c>
      <c r="M21" s="54">
        <v>168.92</v>
      </c>
      <c r="N21" s="49">
        <f t="shared" si="3"/>
        <v>480.000000000246</v>
      </c>
      <c r="O21" s="56"/>
      <c r="P21" s="51"/>
      <c r="Q21" s="52"/>
      <c r="R21" s="52"/>
      <c r="S21" s="52"/>
      <c r="T21" s="52"/>
      <c r="U21" s="53"/>
    </row>
    <row r="22" s="3" customFormat="1" ht="15" customHeight="1" spans="1:21">
      <c r="A22" s="40">
        <v>0.625</v>
      </c>
      <c r="B22" s="41" t="s">
        <v>11</v>
      </c>
      <c r="C22" s="42"/>
      <c r="D22" s="41">
        <v>433</v>
      </c>
      <c r="E22" s="42"/>
      <c r="F22" s="41" t="s">
        <v>26</v>
      </c>
      <c r="G22" s="42"/>
      <c r="H22" s="43">
        <f t="shared" si="0"/>
        <v>433</v>
      </c>
      <c r="I22" s="44">
        <f t="shared" si="1"/>
        <v>433</v>
      </c>
      <c r="J22" s="45">
        <f t="shared" si="2"/>
        <v>1</v>
      </c>
      <c r="K22" s="46">
        <v>0.625</v>
      </c>
      <c r="L22" s="47">
        <v>3000</v>
      </c>
      <c r="M22" s="54">
        <v>168.96</v>
      </c>
      <c r="N22" s="49">
        <f t="shared" si="3"/>
        <v>479.999999999905</v>
      </c>
      <c r="O22" s="56"/>
      <c r="P22" s="51"/>
      <c r="Q22" s="52"/>
      <c r="R22" s="52"/>
      <c r="S22" s="52"/>
      <c r="T22" s="52"/>
      <c r="U22" s="53"/>
    </row>
    <row r="23" s="3" customFormat="1" ht="15" customHeight="1" spans="1:21">
      <c r="A23" s="40">
        <v>0.666666666666667</v>
      </c>
      <c r="B23" s="41" t="s">
        <v>11</v>
      </c>
      <c r="C23" s="42"/>
      <c r="D23" s="41">
        <v>414</v>
      </c>
      <c r="E23" s="42"/>
      <c r="F23" s="41" t="s">
        <v>26</v>
      </c>
      <c r="G23" s="42"/>
      <c r="H23" s="43">
        <f t="shared" si="0"/>
        <v>414</v>
      </c>
      <c r="I23" s="44">
        <f t="shared" si="1"/>
        <v>414</v>
      </c>
      <c r="J23" s="45">
        <f t="shared" si="2"/>
        <v>1</v>
      </c>
      <c r="K23" s="46">
        <v>0.666666666666666</v>
      </c>
      <c r="L23" s="47">
        <v>3000</v>
      </c>
      <c r="M23" s="54">
        <v>169</v>
      </c>
      <c r="N23" s="49">
        <f t="shared" si="3"/>
        <v>360.000000000014</v>
      </c>
      <c r="O23" s="56"/>
      <c r="P23" s="51"/>
      <c r="Q23" s="52"/>
      <c r="R23" s="52"/>
      <c r="S23" s="52"/>
      <c r="T23" s="52"/>
      <c r="U23" s="53"/>
    </row>
    <row r="24" s="3" customFormat="1" ht="15" customHeight="1" spans="1:21">
      <c r="A24" s="40">
        <v>0.708333333333334</v>
      </c>
      <c r="B24" s="41" t="s">
        <v>11</v>
      </c>
      <c r="C24" s="42"/>
      <c r="D24" s="41">
        <v>440</v>
      </c>
      <c r="E24" s="42"/>
      <c r="F24" s="41" t="s">
        <v>26</v>
      </c>
      <c r="G24" s="42"/>
      <c r="H24" s="43">
        <f t="shared" si="0"/>
        <v>440</v>
      </c>
      <c r="I24" s="44">
        <f t="shared" si="1"/>
        <v>440</v>
      </c>
      <c r="J24" s="45">
        <f t="shared" si="2"/>
        <v>1</v>
      </c>
      <c r="K24" s="46">
        <v>0.708333333333333</v>
      </c>
      <c r="L24" s="47">
        <v>2700</v>
      </c>
      <c r="M24" s="54">
        <v>169.03</v>
      </c>
      <c r="N24" s="49">
        <f t="shared" si="3"/>
        <v>600.000000000136</v>
      </c>
      <c r="O24" s="56"/>
      <c r="P24" s="51"/>
      <c r="Q24" s="52"/>
      <c r="R24" s="52"/>
      <c r="S24" s="52"/>
      <c r="T24" s="52"/>
      <c r="U24" s="53"/>
    </row>
    <row r="25" s="3" customFormat="1" ht="15" customHeight="1" spans="1:21">
      <c r="A25" s="40">
        <v>0.75</v>
      </c>
      <c r="B25" s="41" t="s">
        <v>11</v>
      </c>
      <c r="C25" s="42"/>
      <c r="D25" s="41">
        <v>245</v>
      </c>
      <c r="E25" s="42"/>
      <c r="F25" s="41">
        <v>246</v>
      </c>
      <c r="G25" s="42"/>
      <c r="H25" s="43">
        <f t="shared" si="0"/>
        <v>491</v>
      </c>
      <c r="I25" s="44">
        <f t="shared" si="1"/>
        <v>245.5</v>
      </c>
      <c r="J25" s="45">
        <f t="shared" si="2"/>
        <v>2</v>
      </c>
      <c r="K25" s="46">
        <v>0.75</v>
      </c>
      <c r="L25" s="47">
        <v>2400</v>
      </c>
      <c r="M25" s="54">
        <v>169.08</v>
      </c>
      <c r="N25" s="49">
        <f t="shared" si="3"/>
        <v>599.999999999795</v>
      </c>
      <c r="O25" s="56"/>
      <c r="P25" s="51"/>
      <c r="Q25" s="52"/>
      <c r="R25" s="52"/>
      <c r="S25" s="52"/>
      <c r="T25" s="52"/>
      <c r="U25" s="53"/>
    </row>
    <row r="26" s="3" customFormat="1" ht="15" customHeight="1" spans="1:21">
      <c r="A26" s="40">
        <v>0.791666666666667</v>
      </c>
      <c r="B26" s="41" t="s">
        <v>11</v>
      </c>
      <c r="C26" s="42"/>
      <c r="D26" s="41">
        <v>316</v>
      </c>
      <c r="E26" s="42"/>
      <c r="F26" s="41">
        <v>330</v>
      </c>
      <c r="G26" s="42"/>
      <c r="H26" s="43">
        <f t="shared" si="0"/>
        <v>646</v>
      </c>
      <c r="I26" s="44">
        <f t="shared" si="1"/>
        <v>323</v>
      </c>
      <c r="J26" s="45">
        <f t="shared" si="2"/>
        <v>2</v>
      </c>
      <c r="K26" s="46">
        <v>0.791666666666666</v>
      </c>
      <c r="L26" s="47">
        <v>2100</v>
      </c>
      <c r="M26" s="54">
        <v>169.13</v>
      </c>
      <c r="N26" s="49">
        <f t="shared" si="3"/>
        <v>839.999999999918</v>
      </c>
      <c r="O26" s="56"/>
      <c r="P26" s="51"/>
      <c r="Q26" s="52"/>
      <c r="R26" s="52"/>
      <c r="S26" s="52"/>
      <c r="T26" s="52"/>
      <c r="U26" s="53"/>
    </row>
    <row r="27" s="3" customFormat="1" ht="15" customHeight="1" spans="1:21">
      <c r="A27" s="40">
        <v>0.833333333333334</v>
      </c>
      <c r="B27" s="41" t="s">
        <v>11</v>
      </c>
      <c r="C27" s="42"/>
      <c r="D27" s="41">
        <v>328</v>
      </c>
      <c r="E27" s="42"/>
      <c r="F27" s="41">
        <v>359</v>
      </c>
      <c r="G27" s="42"/>
      <c r="H27" s="43">
        <f t="shared" si="0"/>
        <v>687</v>
      </c>
      <c r="I27" s="44">
        <f t="shared" si="1"/>
        <v>343.5</v>
      </c>
      <c r="J27" s="45">
        <f t="shared" si="2"/>
        <v>2</v>
      </c>
      <c r="K27" s="46">
        <v>0.833333333333333</v>
      </c>
      <c r="L27" s="47">
        <v>2100</v>
      </c>
      <c r="M27" s="54">
        <v>169.2</v>
      </c>
      <c r="N27" s="49">
        <f t="shared" si="3"/>
        <v>720.000000000027</v>
      </c>
      <c r="O27" s="56"/>
      <c r="P27" s="51"/>
      <c r="Q27" s="52"/>
      <c r="R27" s="52"/>
      <c r="S27" s="52"/>
      <c r="T27" s="52"/>
      <c r="U27" s="53"/>
    </row>
    <row r="28" s="4" customFormat="1" ht="15" customHeight="1" spans="1:21">
      <c r="A28" s="40">
        <v>0.875</v>
      </c>
      <c r="B28" s="41" t="s">
        <v>11</v>
      </c>
      <c r="C28" s="42"/>
      <c r="D28" s="41">
        <v>328</v>
      </c>
      <c r="E28" s="42"/>
      <c r="F28" s="41">
        <v>359</v>
      </c>
      <c r="G28" s="42"/>
      <c r="H28" s="43">
        <f t="shared" si="0"/>
        <v>687</v>
      </c>
      <c r="I28" s="44">
        <f t="shared" si="1"/>
        <v>343.5</v>
      </c>
      <c r="J28" s="45">
        <f t="shared" si="2"/>
        <v>2</v>
      </c>
      <c r="K28" s="46">
        <v>0.875</v>
      </c>
      <c r="L28" s="47">
        <v>1800</v>
      </c>
      <c r="M28" s="54">
        <v>169.26</v>
      </c>
      <c r="N28" s="49">
        <f t="shared" si="3"/>
        <v>720.000000000027</v>
      </c>
      <c r="O28" s="56"/>
      <c r="P28" s="51"/>
      <c r="Q28" s="52"/>
      <c r="R28" s="52"/>
      <c r="S28" s="52"/>
      <c r="T28" s="52"/>
      <c r="U28" s="53"/>
    </row>
    <row r="29" s="3" customFormat="1" ht="15" customHeight="1" spans="1:21">
      <c r="A29" s="40">
        <v>0.916666666666667</v>
      </c>
      <c r="B29" s="41" t="s">
        <v>11</v>
      </c>
      <c r="C29" s="42"/>
      <c r="D29" s="41">
        <v>303</v>
      </c>
      <c r="E29" s="42"/>
      <c r="F29" s="41">
        <v>300</v>
      </c>
      <c r="G29" s="42"/>
      <c r="H29" s="43">
        <f t="shared" si="0"/>
        <v>603</v>
      </c>
      <c r="I29" s="44">
        <f t="shared" si="1"/>
        <v>301.5</v>
      </c>
      <c r="J29" s="45">
        <f t="shared" si="2"/>
        <v>2</v>
      </c>
      <c r="K29" s="46">
        <v>0.916666666666666</v>
      </c>
      <c r="L29" s="47">
        <v>1800</v>
      </c>
      <c r="M29" s="54">
        <v>169.32</v>
      </c>
      <c r="N29" s="49">
        <f t="shared" si="3"/>
        <v>600.000000000136</v>
      </c>
      <c r="O29" s="56"/>
      <c r="P29" s="51"/>
      <c r="Q29" s="52"/>
      <c r="R29" s="52"/>
      <c r="S29" s="52"/>
      <c r="T29" s="52"/>
      <c r="U29" s="53"/>
    </row>
    <row r="30" s="3" customFormat="1" ht="15" customHeight="1" spans="1:21">
      <c r="A30" s="40">
        <v>0.958333333333334</v>
      </c>
      <c r="B30" s="41" t="s">
        <v>11</v>
      </c>
      <c r="C30" s="42"/>
      <c r="D30" s="41">
        <v>262</v>
      </c>
      <c r="E30" s="42"/>
      <c r="F30" s="41">
        <v>290</v>
      </c>
      <c r="G30" s="42"/>
      <c r="H30" s="43">
        <f t="shared" si="0"/>
        <v>552</v>
      </c>
      <c r="I30" s="44">
        <f t="shared" si="1"/>
        <v>276</v>
      </c>
      <c r="J30" s="45">
        <f t="shared" si="2"/>
        <v>2</v>
      </c>
      <c r="K30" s="46">
        <v>0.958333333333333</v>
      </c>
      <c r="L30" s="47">
        <v>1800</v>
      </c>
      <c r="M30" s="54">
        <v>169.37</v>
      </c>
      <c r="N30" s="49">
        <f t="shared" si="3"/>
        <v>599.999999999795</v>
      </c>
      <c r="O30" s="56"/>
      <c r="P30" s="51"/>
      <c r="Q30" s="52"/>
      <c r="R30" s="52"/>
      <c r="S30" s="52"/>
      <c r="T30" s="52"/>
      <c r="U30" s="53"/>
    </row>
    <row r="31" s="2" customFormat="1" ht="15" customHeight="1" spans="1:21">
      <c r="A31" s="57">
        <v>1</v>
      </c>
      <c r="B31" s="41" t="s">
        <v>11</v>
      </c>
      <c r="C31" s="42"/>
      <c r="D31" s="41">
        <v>273</v>
      </c>
      <c r="E31" s="42"/>
      <c r="F31" s="41">
        <v>281</v>
      </c>
      <c r="G31" s="42"/>
      <c r="H31" s="43">
        <f t="shared" si="0"/>
        <v>554</v>
      </c>
      <c r="I31" s="58">
        <f t="shared" si="1"/>
        <v>277</v>
      </c>
      <c r="J31" s="59">
        <f t="shared" si="2"/>
        <v>2</v>
      </c>
      <c r="K31" s="60">
        <v>1</v>
      </c>
      <c r="L31" s="47">
        <v>4500</v>
      </c>
      <c r="M31" s="61">
        <v>169.42</v>
      </c>
      <c r="N31" s="49">
        <f>H31</f>
        <v>554</v>
      </c>
      <c r="O31" s="56"/>
      <c r="P31" s="51"/>
      <c r="Q31" s="52"/>
      <c r="R31" s="52"/>
      <c r="S31" s="52"/>
      <c r="T31" s="52"/>
      <c r="U31" s="53"/>
    </row>
    <row r="32" s="3" customFormat="1" ht="23.25" customHeight="1" spans="1:21">
      <c r="A32" s="62" t="s">
        <v>12</v>
      </c>
      <c r="B32" s="63">
        <f>SUM(B8:B31)/1000</f>
        <v>0</v>
      </c>
      <c r="C32" s="64"/>
      <c r="D32" s="63">
        <f>SUM(D8:D31)/1000</f>
        <v>7.231</v>
      </c>
      <c r="E32" s="64"/>
      <c r="F32" s="63">
        <f>SUM(F8:F31)/1000</f>
        <v>5.147</v>
      </c>
      <c r="G32" s="64"/>
      <c r="H32" s="65">
        <f>SUM(H8:H31)</f>
        <v>12378</v>
      </c>
      <c r="I32" s="66" t="s">
        <v>13</v>
      </c>
      <c r="J32" s="67"/>
      <c r="K32" s="68"/>
      <c r="L32" s="69"/>
      <c r="M32" s="70">
        <f>SUM(M31-M8+N8)</f>
        <v>601.100000000136</v>
      </c>
      <c r="N32" s="71">
        <f>SUM(N8:N31)</f>
        <v>13753.9999999999</v>
      </c>
      <c r="O32" s="72">
        <f>SUM(O8:O31)</f>
        <v>0</v>
      </c>
      <c r="P32" s="73"/>
      <c r="Q32" s="74"/>
      <c r="R32" s="74"/>
      <c r="S32" s="74"/>
      <c r="T32" s="74"/>
      <c r="U32" s="75"/>
    </row>
    <row r="33" ht="15" customHeight="1" spans="1:29">
      <c r="A33" s="76" t="s">
        <v>14</v>
      </c>
      <c r="B33" s="77" t="str">
        <f>IFERROR((AVERAGE(B8:B31)),"0")</f>
        <v>0</v>
      </c>
      <c r="C33" s="78"/>
      <c r="D33" s="79">
        <f>IFERROR((AVERAGE(D8:D31)),"0")</f>
        <v>301.291666666667</v>
      </c>
      <c r="E33" s="78"/>
      <c r="F33" s="79">
        <f>IFERROR((AVERAGE(F8:F31)),"0")</f>
        <v>270.894736842105</v>
      </c>
      <c r="G33" s="80"/>
      <c r="H33" s="81">
        <f>H32*1000</f>
        <v>12378000</v>
      </c>
      <c r="I33" s="82" t="s">
        <v>15</v>
      </c>
      <c r="J33" s="83"/>
      <c r="K33" s="84"/>
      <c r="L33" s="85"/>
      <c r="M33" s="86"/>
      <c r="N33" s="85"/>
      <c r="O33" s="87"/>
      <c r="P33" s="87"/>
      <c r="Q33" s="88"/>
      <c r="R33" s="88"/>
      <c r="S33" s="89"/>
      <c r="T33" s="89"/>
      <c r="U33" s="89"/>
      <c r="V33" s="89"/>
    </row>
    <row r="34" ht="18.75" customHeight="1" spans="1:29">
      <c r="A34" s="90"/>
      <c r="B34" s="91"/>
      <c r="C34" s="92"/>
      <c r="D34" s="93"/>
      <c r="E34" s="92"/>
      <c r="F34" s="93"/>
      <c r="G34" s="94"/>
      <c r="H34" s="95"/>
      <c r="I34" s="96"/>
      <c r="J34" s="97"/>
      <c r="K34" s="98"/>
      <c r="L34" s="85"/>
      <c r="M34" s="86"/>
      <c r="N34" s="99"/>
      <c r="O34" s="99"/>
      <c r="P34" s="99"/>
      <c r="Q34" s="99"/>
      <c r="R34" s="88"/>
      <c r="S34" s="89"/>
      <c r="T34" s="89"/>
      <c r="U34" s="89"/>
      <c r="V34" s="89"/>
    </row>
    <row r="35" ht="22.5" customHeight="1" spans="1:29">
      <c r="A35" s="100" t="s">
        <v>16</v>
      </c>
      <c r="B35" s="101">
        <f>COUNT(B8:B31)</f>
        <v>0</v>
      </c>
      <c r="C35" s="102"/>
      <c r="D35" s="103">
        <f>COUNT(D8:D31)</f>
        <v>24</v>
      </c>
      <c r="E35" s="102"/>
      <c r="F35" s="103">
        <f>COUNT(F8:F31)</f>
        <v>19</v>
      </c>
      <c r="G35" s="104"/>
      <c r="H35" s="105"/>
      <c r="I35" s="106"/>
      <c r="J35" s="107"/>
      <c r="K35" s="107"/>
      <c r="L35" s="107"/>
      <c r="M35" s="107"/>
      <c r="N35" s="99"/>
      <c r="O35" s="99"/>
      <c r="P35" s="99"/>
      <c r="Q35" s="99"/>
      <c r="R35" s="108"/>
      <c r="S35" s="89"/>
      <c r="T35" s="89"/>
      <c r="U35" s="89"/>
      <c r="V35" s="89"/>
    </row>
    <row r="36" ht="9" customHeight="1" spans="1:29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10"/>
      <c r="N36" s="106"/>
      <c r="O36" s="107"/>
      <c r="P36" s="107"/>
      <c r="Q36" s="107"/>
      <c r="R36" s="107"/>
      <c r="S36" s="107"/>
      <c r="T36" s="107"/>
      <c r="U36" s="111"/>
      <c r="V36" s="112"/>
      <c r="W36" s="108"/>
      <c r="X36" s="108"/>
      <c r="Y36" s="108"/>
      <c r="Z36" s="89"/>
      <c r="AA36" s="89"/>
      <c r="AB36" s="89"/>
      <c r="AC36" s="89"/>
    </row>
    <row r="37" ht="24" customHeight="1" spans="1:29">
      <c r="D37" s="113"/>
      <c r="E37" s="113"/>
      <c r="F37" s="113"/>
      <c r="G37" s="113"/>
      <c r="H37" s="113"/>
      <c r="I37" s="113"/>
      <c r="J37" s="113"/>
      <c r="K37" s="114"/>
      <c r="L37" s="114"/>
      <c r="N37" s="115" t="s">
        <v>17</v>
      </c>
      <c r="O37" s="116"/>
      <c r="P37" s="116"/>
      <c r="Q37" s="117"/>
      <c r="R37" s="118">
        <f>SUM(B35:F35)</f>
        <v>43</v>
      </c>
      <c r="S37" s="69"/>
      <c r="T37" s="69"/>
      <c r="U37" s="69"/>
      <c r="V37" s="69"/>
      <c r="X37" s="119"/>
      <c r="Y37" s="119"/>
      <c r="Z37" s="119"/>
      <c r="AA37" s="119"/>
      <c r="AB37" s="119"/>
      <c r="AC37" s="114"/>
    </row>
    <row r="38" ht="15" spans="1:29">
      <c r="D38" s="113"/>
      <c r="E38" s="113"/>
      <c r="F38" s="113"/>
      <c r="G38" s="113"/>
      <c r="H38" s="113"/>
      <c r="I38" s="113"/>
      <c r="J38" s="113"/>
      <c r="K38" s="114"/>
      <c r="L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</row>
    <row r="39" ht="24.75" customHeight="1" spans="1:29">
      <c r="A39" s="120" t="s">
        <v>18</v>
      </c>
      <c r="B39" s="121"/>
      <c r="C39" s="122">
        <f>MAX(H8:H31)</f>
        <v>687</v>
      </c>
      <c r="D39" s="123"/>
      <c r="E39" s="124">
        <f>VLOOKUP(C39,H8:L31,4,FALSE)</f>
        <v>0.833333333333333</v>
      </c>
      <c r="F39" s="125"/>
      <c r="G39" s="125"/>
      <c r="H39" s="126" t="s">
        <v>19</v>
      </c>
      <c r="I39" s="127"/>
      <c r="J39" s="128"/>
      <c r="K39" s="129">
        <f>MAX(J8:J31)</f>
        <v>2</v>
      </c>
      <c r="L39" s="130"/>
      <c r="N39" s="131" t="s">
        <v>20</v>
      </c>
      <c r="O39" s="132"/>
      <c r="P39" s="132"/>
      <c r="Q39" s="133"/>
      <c r="R39" s="134">
        <f>AVERAGE(H8:H31)</f>
        <v>515.75</v>
      </c>
      <c r="S39" s="135"/>
      <c r="T39" s="135"/>
    </row>
    <row r="40" ht="15" spans="1:29">
      <c r="C40" s="136"/>
      <c r="D40" s="137"/>
      <c r="E40" s="138"/>
      <c r="F40" s="138"/>
      <c r="G40" s="138"/>
      <c r="H40" s="138"/>
      <c r="I40" s="139"/>
      <c r="J40" s="106"/>
      <c r="K40" s="110"/>
      <c r="L40" s="110"/>
      <c r="N40" s="140"/>
      <c r="O40" s="140"/>
      <c r="P40" s="140"/>
      <c r="Q40" s="140"/>
      <c r="R40" s="140"/>
      <c r="X40" s="5"/>
      <c r="Y40" s="5"/>
      <c r="Z40" s="5"/>
      <c r="AA40" s="5"/>
      <c r="AB40" s="5"/>
      <c r="AC40" s="141"/>
    </row>
    <row r="41" ht="24.75" customHeight="1" spans="1:29">
      <c r="A41" s="120" t="s">
        <v>21</v>
      </c>
      <c r="B41" s="121"/>
      <c r="C41" s="122">
        <f>MIN(H8:H31)</f>
        <v>414</v>
      </c>
      <c r="D41" s="123"/>
      <c r="E41" s="124">
        <f>VLOOKUP(C41,H8:L31,4,FALSE)</f>
        <v>0.666666666666666</v>
      </c>
      <c r="F41" s="142"/>
      <c r="G41" s="125"/>
      <c r="H41" s="126" t="s">
        <v>22</v>
      </c>
      <c r="I41" s="127"/>
      <c r="J41" s="128"/>
      <c r="K41" s="129">
        <f>MIN(J8:J31)</f>
        <v>1</v>
      </c>
      <c r="L41" s="130"/>
      <c r="N41" s="126" t="s">
        <v>23</v>
      </c>
      <c r="O41" s="127"/>
      <c r="P41" s="127"/>
      <c r="Q41" s="128"/>
      <c r="R41" s="143">
        <f>AVERAGE(I8:I31)</f>
        <v>302.729166666667</v>
      </c>
      <c r="S41" s="144"/>
      <c r="T41" s="144"/>
      <c r="U41" s="144"/>
      <c r="V41" s="144"/>
      <c r="X41" s="145"/>
    </row>
    <row r="42" ht="15" spans="1:29">
      <c r="D42" s="138"/>
      <c r="E42" s="138"/>
      <c r="F42" s="138"/>
      <c r="G42" s="138"/>
      <c r="H42" s="138"/>
      <c r="I42" s="146"/>
      <c r="J42" s="138"/>
      <c r="K42" s="147"/>
      <c r="L42" s="147"/>
      <c r="V42" s="148"/>
      <c r="W42" s="148"/>
      <c r="X42" s="149"/>
      <c r="Y42" s="149"/>
      <c r="Z42" s="150"/>
      <c r="AA42" s="150"/>
      <c r="AB42" s="150"/>
      <c r="AC42" s="150"/>
    </row>
    <row r="43" ht="24.75" customHeight="1" spans="1:29">
      <c r="C43" s="136"/>
      <c r="H43" s="151"/>
      <c r="I43" s="151"/>
      <c r="J43" s="151"/>
      <c r="K43" s="145"/>
      <c r="L43" s="139"/>
      <c r="N43" s="152" t="s">
        <v>24</v>
      </c>
      <c r="O43" s="153"/>
      <c r="P43" s="153"/>
      <c r="Q43" s="154"/>
      <c r="R43" s="155" t="e">
        <f>AVERAGE(T8:T31)</f>
        <v>#DIV/0!</v>
      </c>
      <c r="X43" s="156"/>
      <c r="Z43" s="157"/>
      <c r="AA43" s="157"/>
      <c r="AB43" s="157"/>
      <c r="AC43" s="157"/>
    </row>
    <row r="44" ht="19.5" spans="1:29">
      <c r="I44" s="158"/>
      <c r="K44" s="159"/>
      <c r="L44" s="159"/>
      <c r="Z44" s="160"/>
      <c r="AA44" s="160"/>
      <c r="AB44" s="160"/>
      <c r="AC44" s="160"/>
    </row>
    <row r="45" ht="24.75" customHeight="1" spans="1:29">
      <c r="D45" s="158"/>
      <c r="E45" s="158"/>
      <c r="F45" s="158"/>
      <c r="G45" s="158"/>
      <c r="H45" s="158"/>
      <c r="N45" s="126" t="s">
        <v>25</v>
      </c>
      <c r="O45" s="127"/>
      <c r="P45" s="127"/>
      <c r="Q45" s="128"/>
      <c r="R45" s="161">
        <f>SUM(M32-H32)/24</f>
        <v>-490.704166666661</v>
      </c>
      <c r="X45" s="162"/>
      <c r="Z45" s="163"/>
      <c r="AA45" s="163"/>
      <c r="AB45" s="163"/>
      <c r="AC45" s="163"/>
    </row>
    <row r="46" spans="1:29">
      <c r="Z46" s="164"/>
      <c r="AA46" s="164"/>
      <c r="AB46" s="164"/>
      <c r="AC46" s="164"/>
    </row>
    <row r="47" spans="1:29">
      <c r="Z47" s="139"/>
      <c r="AA47" s="139"/>
      <c r="AB47" s="139"/>
      <c r="AC47" s="139"/>
    </row>
    <row r="48" spans="1:29">
      <c r="Z48" s="139"/>
      <c r="AA48" s="139"/>
      <c r="AB48" s="139"/>
      <c r="AC48" s="139"/>
    </row>
    <row r="49" spans="11:29">
      <c r="Z49" s="157"/>
      <c r="AA49" s="157"/>
      <c r="AB49" s="157"/>
      <c r="AC49" s="157"/>
    </row>
    <row r="50" spans="11:29">
      <c r="Z50" s="157"/>
      <c r="AA50" s="157"/>
      <c r="AB50" s="157"/>
      <c r="AC50" s="157"/>
    </row>
    <row r="51" spans="11:29">
      <c r="K51" s="150"/>
      <c r="L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0"/>
      <c r="AC51" s="150"/>
    </row>
    <row r="52" spans="11:29">
      <c r="K52" s="150"/>
      <c r="L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  <c r="AB52" s="150"/>
      <c r="AC52" s="150"/>
    </row>
    <row r="53" spans="11:29">
      <c r="K53" s="150"/>
      <c r="L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50"/>
      <c r="AB53" s="150"/>
      <c r="AC53" s="150"/>
    </row>
    <row r="60" spans="11:29">
      <c r="O60" s="165"/>
      <c r="P60" s="165"/>
      <c r="Q60" s="165"/>
      <c r="R60" s="165"/>
      <c r="S60" s="165"/>
      <c r="T60" s="165"/>
    </row>
    <row r="61" spans="11:29">
      <c r="O61" s="165"/>
      <c r="P61" s="165"/>
      <c r="Q61" s="165"/>
      <c r="R61" s="165"/>
      <c r="S61" s="165"/>
      <c r="T61" s="165"/>
    </row>
    <row r="62" spans="11:29">
      <c r="O62" s="165"/>
      <c r="P62" s="165"/>
      <c r="Q62" s="165"/>
      <c r="R62" s="165"/>
      <c r="S62" s="165"/>
      <c r="T62" s="165"/>
    </row>
    <row r="63" spans="11:29">
      <c r="O63" s="165"/>
      <c r="P63" s="165"/>
      <c r="Q63" s="165"/>
      <c r="R63" s="165"/>
      <c r="S63" s="165"/>
      <c r="T63" s="165"/>
    </row>
    <row r="64" spans="11:29">
      <c r="O64" s="165"/>
      <c r="P64" s="165"/>
      <c r="Q64" s="165"/>
      <c r="R64" s="165"/>
      <c r="S64" s="165"/>
      <c r="T64" s="165"/>
    </row>
    <row r="65" spans="15:20">
      <c r="O65" s="165"/>
      <c r="P65" s="165"/>
      <c r="Q65" s="165"/>
      <c r="R65" s="165"/>
      <c r="S65" s="165"/>
      <c r="T65" s="165"/>
    </row>
    <row r="66" spans="15:20">
      <c r="O66" s="165"/>
      <c r="P66" s="165"/>
      <c r="Q66" s="165"/>
      <c r="R66" s="165"/>
      <c r="S66" s="165"/>
      <c r="T66" s="165"/>
    </row>
    <row r="67" spans="15:20">
      <c r="O67" s="165"/>
      <c r="P67" s="165"/>
      <c r="Q67" s="165"/>
      <c r="R67" s="165"/>
      <c r="S67" s="165"/>
      <c r="T67" s="165"/>
    </row>
    <row r="68" spans="15:20">
      <c r="O68" s="165"/>
      <c r="P68" s="165"/>
      <c r="Q68" s="165"/>
      <c r="R68" s="165"/>
      <c r="S68" s="165"/>
      <c r="T68" s="165"/>
    </row>
  </sheetData>
  <mergeCells count="116">
    <mergeCell ref="H4:K4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B29:C29"/>
    <mergeCell ref="D29:E29"/>
    <mergeCell ref="F29:G2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N34:Q34"/>
    <mergeCell ref="B35:C35"/>
    <mergeCell ref="D35:E35"/>
    <mergeCell ref="F35:G35"/>
    <mergeCell ref="N35:Q35"/>
    <mergeCell ref="N37:Q37"/>
    <mergeCell ref="A39:B39"/>
    <mergeCell ref="C39:D39"/>
    <mergeCell ref="H39:J39"/>
    <mergeCell ref="N39:Q39"/>
    <mergeCell ref="A41:B41"/>
    <mergeCell ref="C41:D41"/>
    <mergeCell ref="H41:J41"/>
    <mergeCell ref="N41:Q41"/>
    <mergeCell ref="H43:J43"/>
    <mergeCell ref="N43:Q43"/>
    <mergeCell ref="N45:Q45"/>
    <mergeCell ref="A6:A7"/>
    <mergeCell ref="A33:A34"/>
    <mergeCell ref="H6:H7"/>
    <mergeCell ref="H33:H34"/>
    <mergeCell ref="I6:I7"/>
    <mergeCell ref="I33:I34"/>
    <mergeCell ref="J6:J7"/>
    <mergeCell ref="K6:K7"/>
    <mergeCell ref="L6:L7"/>
    <mergeCell ref="M6:M7"/>
    <mergeCell ref="N6:N7"/>
    <mergeCell ref="O6:O7"/>
    <mergeCell ref="T6:T7"/>
    <mergeCell ref="U6:U7"/>
    <mergeCell ref="B33:C34"/>
    <mergeCell ref="D33:E34"/>
    <mergeCell ref="F33:G34"/>
  </mergeCells>
  <conditionalFormatting sqref="O8">
    <cfRule type="cellIs" dxfId="0" priority="10" operator="equal">
      <formula>"N/A"</formula>
    </cfRule>
  </conditionalFormatting>
  <conditionalFormatting sqref="A30">
    <cfRule type="cellIs" dxfId="1" priority="11" operator="equal">
      <formula>"STB"</formula>
    </cfRule>
    <cfRule type="cellIs" dxfId="0" priority="12" operator="equal">
      <formula>"BD"</formula>
    </cfRule>
  </conditionalFormatting>
  <conditionalFormatting sqref="B8:B31">
    <cfRule type="cellIs" dxfId="1" priority="1" operator="equal">
      <formula>"STB"</formula>
    </cfRule>
    <cfRule type="cellIs" dxfId="0" priority="2" operator="equal">
      <formula>"BD"</formula>
    </cfRule>
  </conditionalFormatting>
  <conditionalFormatting sqref="D8:D31">
    <cfRule type="cellIs" dxfId="1" priority="8" operator="equal">
      <formula>"STB"</formula>
    </cfRule>
    <cfRule type="cellIs" dxfId="0" priority="9" operator="equal">
      <formula>"BD"</formula>
    </cfRule>
  </conditionalFormatting>
  <conditionalFormatting sqref="F8:F31">
    <cfRule type="cellIs" dxfId="1" priority="3" operator="equal">
      <formula>"STB"</formula>
    </cfRule>
    <cfRule type="cellIs" dxfId="0" priority="4" operator="equal">
      <formula>"BD"</formula>
    </cfRule>
  </conditionalFormatting>
  <conditionalFormatting sqref="H8:H31">
    <cfRule type="top10" dxfId="2" priority="5" bottom="1" rank="1"/>
    <cfRule type="top10" dxfId="3" priority="6" rank="1"/>
    <cfRule type="cellIs" dxfId="4" priority="7" stopIfTrue="1" operator="equal">
      <formula>28000</formula>
    </cfRule>
  </conditionalFormatting>
  <conditionalFormatting sqref="H32:H33">
    <cfRule type="top10" dxfId="2" priority="14" bottom="1" rank="1"/>
    <cfRule type="top10" dxfId="3" priority="15" rank="1"/>
    <cfRule type="cellIs" dxfId="4" priority="17" stopIfTrue="1" operator="equal">
      <formula>28000</formula>
    </cfRule>
  </conditionalFormatting>
  <conditionalFormatting sqref="Y8:Y31">
    <cfRule type="containsText" dxfId="5" priority="13" operator="between" text="-">
      <formula>NOT(ISERROR(SEARCH("-",Y8)))</formula>
    </cfRule>
  </conditionalFormatting>
  <conditionalFormatting sqref="N8 N9:O31">
    <cfRule type="cellIs" dxfId="0" priority="16" operator="equal">
      <formula>"BD"</formula>
    </cfRule>
  </conditionalFormatting>
  <pageMargins left="0.7" right="0.7" top="0.75" bottom="0.75" header="0.3" footer="0.3"/>
  <pageSetup paperSize="1" orientation="portrait" verticalDpi="360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C68"/>
  <sheetViews>
    <sheetView zoomScale="80" zoomScaleNormal="80" workbookViewId="0">
      <pane ySplit="7" topLeftCell="A9" activePane="bottomLeft" state="frozen"/>
      <selection/>
      <selection pane="bottomLeft" activeCell="A3" sqref="$A3:$XFD3"/>
    </sheetView>
  </sheetViews>
  <sheetFormatPr defaultColWidth="8.81666666666667" defaultRowHeight="14.25"/>
  <cols>
    <col min="1" max="1" width="16.725" customWidth="1"/>
    <col min="2" max="2" width="8.725" customWidth="1"/>
    <col min="3" max="7" width="5.725" customWidth="1"/>
    <col min="8" max="8" width="14.2666666666667" customWidth="1"/>
    <col min="9" max="9" width="15.1833333333333" customWidth="1"/>
    <col min="10" max="10" width="15.5416666666667" customWidth="1"/>
    <col min="11" max="11" width="7" customWidth="1"/>
    <col min="12" max="12" width="8.54166666666667" customWidth="1"/>
    <col min="13" max="13" width="11.725" style="5" customWidth="1"/>
    <col min="14" max="14" width="17.1833333333333" customWidth="1"/>
    <col min="15" max="15" width="15.45" customWidth="1"/>
    <col min="16" max="16" width="7.45" customWidth="1"/>
    <col min="17" max="17" width="9.54166666666667" customWidth="1"/>
    <col min="18" max="18" width="10" customWidth="1"/>
    <col min="19" max="20" width="9.81666666666667" customWidth="1"/>
    <col min="21" max="21" width="6.725" customWidth="1"/>
    <col min="22" max="22" width="13.8166666666667" customWidth="1"/>
    <col min="23" max="23" width="11.2666666666667" customWidth="1"/>
    <col min="24" max="24" width="9.26666666666667" customWidth="1"/>
    <col min="25" max="25" width="3.725" customWidth="1"/>
    <col min="26" max="29" width="7.725" customWidth="1"/>
    <col min="30" max="30" width="6.725" customWidth="1"/>
  </cols>
  <sheetData>
    <row r="1" ht="3" customHeight="1"/>
    <row r="2" ht="6" customHeight="1" spans="1:2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="1" customFormat="1" ht="6.75" customHeight="1" spans="1:29">
      <c r="K3" s="7"/>
      <c r="L3" s="8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17.25" customHeight="1" spans="1:29">
      <c r="A4" s="1"/>
      <c r="B4" s="10"/>
      <c r="C4" s="10"/>
      <c r="D4" s="10"/>
      <c r="E4" s="11"/>
      <c r="F4" s="11"/>
      <c r="G4" s="11"/>
      <c r="H4" s="12">
        <f>'[15]Taniwel daily'!C4</f>
        <v>45306</v>
      </c>
      <c r="I4" s="13"/>
      <c r="J4" s="13"/>
      <c r="K4" s="14"/>
      <c r="L4" s="15"/>
      <c r="M4" s="16"/>
      <c r="N4" s="10"/>
      <c r="O4" s="10"/>
      <c r="P4" s="10"/>
      <c r="Q4" s="10"/>
      <c r="R4" s="10"/>
      <c r="S4" s="10"/>
      <c r="T4" s="10"/>
      <c r="U4" s="10"/>
      <c r="V4" s="7"/>
      <c r="W4" s="7"/>
      <c r="X4" s="7"/>
      <c r="Y4" s="7"/>
      <c r="Z4" s="7"/>
      <c r="AA4" s="7"/>
      <c r="AB4" s="7"/>
      <c r="AC4" s="7"/>
    </row>
    <row r="5" ht="7.5" customHeight="1" spans="1:29">
      <c r="A5" s="1"/>
      <c r="B5" s="17"/>
      <c r="C5" s="1"/>
      <c r="D5" s="1"/>
      <c r="E5" s="1"/>
      <c r="F5" s="1"/>
      <c r="G5" s="1"/>
      <c r="H5" s="1"/>
      <c r="I5" s="1"/>
      <c r="J5" s="1"/>
      <c r="K5" s="18"/>
      <c r="L5" s="7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ht="17.25" customHeight="1" spans="1:29">
      <c r="A6" s="19" t="s">
        <v>0</v>
      </c>
      <c r="B6" s="20" t="s">
        <v>1</v>
      </c>
      <c r="C6" s="21"/>
      <c r="D6" s="20" t="s">
        <v>2</v>
      </c>
      <c r="E6" s="21"/>
      <c r="F6" s="20" t="s">
        <v>3</v>
      </c>
      <c r="G6" s="21"/>
      <c r="H6" s="22" t="s">
        <v>4</v>
      </c>
      <c r="I6" s="22" t="s">
        <v>5</v>
      </c>
      <c r="J6" s="23" t="s">
        <v>6</v>
      </c>
      <c r="K6" s="19" t="s">
        <v>0</v>
      </c>
      <c r="L6" s="24" t="s">
        <v>7</v>
      </c>
      <c r="M6" s="25" t="s">
        <v>8</v>
      </c>
      <c r="N6" s="26" t="s">
        <v>9</v>
      </c>
      <c r="O6" s="25" t="s">
        <v>10</v>
      </c>
      <c r="P6" s="27"/>
      <c r="Q6" s="28"/>
      <c r="R6" s="28"/>
      <c r="S6" s="28"/>
      <c r="T6" s="28"/>
      <c r="U6" s="29"/>
    </row>
    <row r="7" ht="15.75" customHeight="1" spans="1:29">
      <c r="A7" s="30"/>
      <c r="B7" s="31">
        <v>1</v>
      </c>
      <c r="C7" s="32"/>
      <c r="D7" s="31">
        <v>2</v>
      </c>
      <c r="E7" s="32"/>
      <c r="F7" s="31">
        <v>3</v>
      </c>
      <c r="G7" s="32"/>
      <c r="H7" s="33"/>
      <c r="I7" s="33"/>
      <c r="J7" s="34"/>
      <c r="K7" s="30"/>
      <c r="L7" s="35"/>
      <c r="M7" s="36"/>
      <c r="N7" s="37"/>
      <c r="O7" s="38"/>
      <c r="P7" s="27"/>
      <c r="Q7" s="28"/>
      <c r="R7" s="28"/>
      <c r="S7" s="28"/>
      <c r="T7" s="28"/>
      <c r="U7" s="29"/>
      <c r="X7" s="39"/>
    </row>
    <row r="8" s="2" customFormat="1" ht="15" customHeight="1" spans="1:29">
      <c r="A8" s="40">
        <v>0.0416666666666666</v>
      </c>
      <c r="B8" s="41" t="s">
        <v>11</v>
      </c>
      <c r="C8" s="42"/>
      <c r="D8" s="41">
        <v>245</v>
      </c>
      <c r="E8" s="42"/>
      <c r="F8" s="41">
        <v>252</v>
      </c>
      <c r="G8" s="42"/>
      <c r="H8" s="43">
        <f t="shared" ref="H8:H31" si="0">IF(SUM(B8:G8)/1000=0,"0",SUM(B8:G8))</f>
        <v>497</v>
      </c>
      <c r="I8" s="44">
        <f t="shared" ref="I8:I31" si="1">IFERROR(AVERAGE(B8:G8),"0")</f>
        <v>248.5</v>
      </c>
      <c r="J8" s="45">
        <f t="shared" ref="J8:J31" si="2">COUNT(B8:G8)</f>
        <v>2</v>
      </c>
      <c r="K8" s="46">
        <v>0.0416666666666667</v>
      </c>
      <c r="L8" s="47">
        <v>4500</v>
      </c>
      <c r="M8" s="48">
        <v>169.47</v>
      </c>
      <c r="N8" s="49">
        <f>(M9-M8)*12000</f>
        <v>479.999999999905</v>
      </c>
      <c r="O8" s="50"/>
      <c r="P8" s="51"/>
      <c r="Q8" s="52"/>
      <c r="R8" s="52"/>
      <c r="S8" s="52"/>
      <c r="T8" s="52"/>
      <c r="U8" s="53"/>
    </row>
    <row r="9" s="3" customFormat="1" ht="15" customHeight="1" spans="1:29">
      <c r="A9" s="40">
        <v>0.0833333333333333</v>
      </c>
      <c r="B9" s="41" t="s">
        <v>11</v>
      </c>
      <c r="C9" s="42"/>
      <c r="D9" s="41">
        <v>247</v>
      </c>
      <c r="E9" s="42"/>
      <c r="F9" s="41">
        <v>242</v>
      </c>
      <c r="G9" s="42"/>
      <c r="H9" s="43">
        <f t="shared" si="0"/>
        <v>489</v>
      </c>
      <c r="I9" s="44">
        <f t="shared" si="1"/>
        <v>244.5</v>
      </c>
      <c r="J9" s="45">
        <f t="shared" si="2"/>
        <v>2</v>
      </c>
      <c r="K9" s="46">
        <v>0.0833333333333333</v>
      </c>
      <c r="L9" s="47">
        <v>4200</v>
      </c>
      <c r="M9" s="54">
        <v>169.51</v>
      </c>
      <c r="N9" s="49">
        <f t="shared" ref="N9:N30" si="3">(M10-M9)*12000</f>
        <v>480.000000000246</v>
      </c>
      <c r="O9" s="55"/>
      <c r="P9" s="51"/>
      <c r="Q9" s="52"/>
      <c r="R9" s="52"/>
      <c r="S9" s="52"/>
      <c r="T9" s="52"/>
      <c r="U9" s="53"/>
    </row>
    <row r="10" s="3" customFormat="1" ht="15" customHeight="1" spans="1:29">
      <c r="A10" s="40">
        <v>0.125</v>
      </c>
      <c r="B10" s="41" t="s">
        <v>11</v>
      </c>
      <c r="C10" s="42"/>
      <c r="D10" s="41" t="s">
        <v>26</v>
      </c>
      <c r="E10" s="42"/>
      <c r="F10" s="41">
        <v>216</v>
      </c>
      <c r="G10" s="42"/>
      <c r="H10" s="43">
        <f t="shared" si="0"/>
        <v>216</v>
      </c>
      <c r="I10" s="44">
        <f t="shared" si="1"/>
        <v>216</v>
      </c>
      <c r="J10" s="45">
        <f t="shared" si="2"/>
        <v>1</v>
      </c>
      <c r="K10" s="46">
        <v>0.125</v>
      </c>
      <c r="L10" s="47">
        <v>4200</v>
      </c>
      <c r="M10" s="54">
        <v>169.55</v>
      </c>
      <c r="N10" s="49">
        <f t="shared" si="3"/>
        <v>239.999999999782</v>
      </c>
      <c r="O10" s="56"/>
      <c r="P10" s="51"/>
      <c r="Q10" s="52"/>
      <c r="R10" s="52"/>
      <c r="S10" s="52"/>
      <c r="T10" s="52"/>
      <c r="U10" s="53"/>
    </row>
    <row r="11" s="3" customFormat="1" ht="15" customHeight="1" spans="1:29">
      <c r="A11" s="40">
        <v>0.166666666666667</v>
      </c>
      <c r="B11" s="41" t="s">
        <v>11</v>
      </c>
      <c r="C11" s="42"/>
      <c r="D11" s="41" t="s">
        <v>26</v>
      </c>
      <c r="E11" s="42"/>
      <c r="F11" s="41">
        <v>210</v>
      </c>
      <c r="G11" s="42"/>
      <c r="H11" s="43">
        <f t="shared" si="0"/>
        <v>210</v>
      </c>
      <c r="I11" s="44">
        <f t="shared" si="1"/>
        <v>210</v>
      </c>
      <c r="J11" s="45">
        <f t="shared" si="2"/>
        <v>1</v>
      </c>
      <c r="K11" s="46">
        <v>0.166666666666667</v>
      </c>
      <c r="L11" s="47">
        <v>4000</v>
      </c>
      <c r="M11" s="54">
        <v>169.57</v>
      </c>
      <c r="N11" s="49">
        <f t="shared" si="3"/>
        <v>240.000000000123</v>
      </c>
      <c r="O11" s="56"/>
      <c r="P11" s="51"/>
      <c r="Q11" s="52"/>
      <c r="R11" s="52"/>
      <c r="S11" s="52"/>
      <c r="T11" s="52"/>
      <c r="U11" s="53"/>
    </row>
    <row r="12" s="3" customFormat="1" ht="15" customHeight="1" spans="1:29">
      <c r="A12" s="40">
        <v>0.208333333333333</v>
      </c>
      <c r="B12" s="41" t="s">
        <v>11</v>
      </c>
      <c r="C12" s="42"/>
      <c r="D12" s="41" t="s">
        <v>26</v>
      </c>
      <c r="E12" s="42"/>
      <c r="F12" s="41">
        <v>218</v>
      </c>
      <c r="G12" s="42"/>
      <c r="H12" s="43">
        <f t="shared" si="0"/>
        <v>218</v>
      </c>
      <c r="I12" s="44">
        <f t="shared" si="1"/>
        <v>218</v>
      </c>
      <c r="J12" s="45">
        <f t="shared" si="2"/>
        <v>1</v>
      </c>
      <c r="K12" s="46">
        <v>0.208333333333333</v>
      </c>
      <c r="L12" s="47">
        <v>3900</v>
      </c>
      <c r="M12" s="54">
        <v>169.59</v>
      </c>
      <c r="N12" s="49">
        <f t="shared" si="3"/>
        <v>240.000000000123</v>
      </c>
      <c r="O12" s="56"/>
      <c r="P12" s="51"/>
      <c r="Q12" s="52"/>
      <c r="R12" s="52"/>
      <c r="S12" s="52"/>
      <c r="T12" s="52"/>
      <c r="U12" s="53"/>
    </row>
    <row r="13" s="3" customFormat="1" ht="15" customHeight="1" spans="1:29">
      <c r="A13" s="40">
        <v>0.25</v>
      </c>
      <c r="B13" s="41" t="s">
        <v>11</v>
      </c>
      <c r="C13" s="42"/>
      <c r="D13" s="41" t="s">
        <v>26</v>
      </c>
      <c r="E13" s="42"/>
      <c r="F13" s="41">
        <v>227</v>
      </c>
      <c r="G13" s="42"/>
      <c r="H13" s="43">
        <f t="shared" si="0"/>
        <v>227</v>
      </c>
      <c r="I13" s="44">
        <f t="shared" si="1"/>
        <v>227</v>
      </c>
      <c r="J13" s="45">
        <f t="shared" si="2"/>
        <v>1</v>
      </c>
      <c r="K13" s="46">
        <v>0.25</v>
      </c>
      <c r="L13" s="47">
        <v>3600</v>
      </c>
      <c r="M13" s="54">
        <v>169.61</v>
      </c>
      <c r="N13" s="49">
        <f t="shared" si="3"/>
        <v>239.999999999782</v>
      </c>
      <c r="O13" s="56"/>
      <c r="P13" s="51"/>
      <c r="Q13" s="52"/>
      <c r="R13" s="52"/>
      <c r="S13" s="52"/>
      <c r="T13" s="52"/>
      <c r="U13" s="53"/>
    </row>
    <row r="14" s="3" customFormat="1" ht="15" customHeight="1" spans="1:29">
      <c r="A14" s="40">
        <v>0.291666666666667</v>
      </c>
      <c r="B14" s="41" t="s">
        <v>11</v>
      </c>
      <c r="C14" s="42"/>
      <c r="D14" s="41" t="s">
        <v>26</v>
      </c>
      <c r="E14" s="42"/>
      <c r="F14" s="41">
        <v>262</v>
      </c>
      <c r="G14" s="42"/>
      <c r="H14" s="43">
        <f t="shared" si="0"/>
        <v>262</v>
      </c>
      <c r="I14" s="44">
        <f t="shared" si="1"/>
        <v>262</v>
      </c>
      <c r="J14" s="45">
        <f t="shared" si="2"/>
        <v>1</v>
      </c>
      <c r="K14" s="46">
        <v>0.291666666666667</v>
      </c>
      <c r="L14" s="47">
        <v>3600</v>
      </c>
      <c r="M14" s="54">
        <v>169.63</v>
      </c>
      <c r="N14" s="49">
        <f t="shared" si="3"/>
        <v>360.000000000014</v>
      </c>
      <c r="O14" s="56"/>
      <c r="P14" s="51"/>
      <c r="Q14" s="52"/>
      <c r="R14" s="52"/>
      <c r="S14" s="52"/>
      <c r="T14" s="52"/>
      <c r="U14" s="53"/>
    </row>
    <row r="15" s="3" customFormat="1" ht="15" customHeight="1" spans="1:29">
      <c r="A15" s="40">
        <v>0.333333333333333</v>
      </c>
      <c r="B15" s="41" t="s">
        <v>11</v>
      </c>
      <c r="C15" s="42"/>
      <c r="D15" s="41" t="s">
        <v>26</v>
      </c>
      <c r="E15" s="42"/>
      <c r="F15" s="41">
        <v>219</v>
      </c>
      <c r="G15" s="42"/>
      <c r="H15" s="43">
        <f t="shared" si="0"/>
        <v>219</v>
      </c>
      <c r="I15" s="44">
        <f t="shared" si="1"/>
        <v>219</v>
      </c>
      <c r="J15" s="45">
        <f t="shared" si="2"/>
        <v>1</v>
      </c>
      <c r="K15" s="46">
        <v>0.333333333333333</v>
      </c>
      <c r="L15" s="47">
        <v>3600</v>
      </c>
      <c r="M15" s="54">
        <v>169.66</v>
      </c>
      <c r="N15" s="49">
        <f t="shared" si="3"/>
        <v>479.999999999905</v>
      </c>
      <c r="O15" s="56"/>
      <c r="P15" s="51"/>
      <c r="Q15" s="52"/>
      <c r="R15" s="52"/>
      <c r="S15" s="52"/>
      <c r="T15" s="52"/>
      <c r="U15" s="53"/>
    </row>
    <row r="16" s="3" customFormat="1" ht="15" customHeight="1" spans="1:29">
      <c r="A16" s="40">
        <v>0.375</v>
      </c>
      <c r="B16" s="41" t="s">
        <v>11</v>
      </c>
      <c r="C16" s="42"/>
      <c r="D16" s="41">
        <v>295</v>
      </c>
      <c r="E16" s="42"/>
      <c r="F16" s="41">
        <v>283</v>
      </c>
      <c r="G16" s="42"/>
      <c r="H16" s="43">
        <f t="shared" si="0"/>
        <v>578</v>
      </c>
      <c r="I16" s="44">
        <f t="shared" si="1"/>
        <v>289</v>
      </c>
      <c r="J16" s="45">
        <f t="shared" si="2"/>
        <v>2</v>
      </c>
      <c r="K16" s="46">
        <v>0.375</v>
      </c>
      <c r="L16" s="47">
        <v>3600</v>
      </c>
      <c r="M16" s="54">
        <v>169.7</v>
      </c>
      <c r="N16" s="49">
        <f t="shared" si="3"/>
        <v>600.000000000136</v>
      </c>
      <c r="O16" s="56"/>
      <c r="P16" s="51"/>
      <c r="Q16" s="52"/>
      <c r="R16" s="52"/>
      <c r="S16" s="52"/>
      <c r="T16" s="52"/>
      <c r="U16" s="53"/>
    </row>
    <row r="17" s="3" customFormat="1" ht="15" customHeight="1" spans="1:21">
      <c r="A17" s="40">
        <v>0.416666666666667</v>
      </c>
      <c r="B17" s="41" t="s">
        <v>11</v>
      </c>
      <c r="C17" s="42"/>
      <c r="D17" s="41">
        <v>260</v>
      </c>
      <c r="E17" s="42"/>
      <c r="F17" s="41">
        <v>238</v>
      </c>
      <c r="G17" s="42"/>
      <c r="H17" s="43">
        <f t="shared" si="0"/>
        <v>498</v>
      </c>
      <c r="I17" s="44">
        <f t="shared" si="1"/>
        <v>249</v>
      </c>
      <c r="J17" s="45">
        <f t="shared" si="2"/>
        <v>2</v>
      </c>
      <c r="K17" s="46">
        <v>0.416666666666666</v>
      </c>
      <c r="L17" s="47">
        <v>3400</v>
      </c>
      <c r="M17" s="54">
        <v>169.75</v>
      </c>
      <c r="N17" s="49">
        <f t="shared" si="3"/>
        <v>600.000000000136</v>
      </c>
      <c r="O17" s="56"/>
      <c r="P17" s="51"/>
      <c r="Q17" s="52"/>
      <c r="R17" s="52"/>
      <c r="S17" s="52"/>
      <c r="T17" s="52"/>
      <c r="U17" s="53"/>
    </row>
    <row r="18" s="3" customFormat="1" ht="15" customHeight="1" spans="1:21">
      <c r="A18" s="40">
        <v>0.458333333333333</v>
      </c>
      <c r="B18" s="41" t="s">
        <v>11</v>
      </c>
      <c r="C18" s="42"/>
      <c r="D18" s="41">
        <v>253</v>
      </c>
      <c r="E18" s="42"/>
      <c r="F18" s="41">
        <v>244</v>
      </c>
      <c r="G18" s="42"/>
      <c r="H18" s="43">
        <f t="shared" si="0"/>
        <v>497</v>
      </c>
      <c r="I18" s="44">
        <f t="shared" si="1"/>
        <v>248.5</v>
      </c>
      <c r="J18" s="45">
        <f t="shared" si="2"/>
        <v>2</v>
      </c>
      <c r="K18" s="46">
        <v>0.458333333333333</v>
      </c>
      <c r="L18" s="47">
        <v>3300</v>
      </c>
      <c r="M18" s="54">
        <v>169.8</v>
      </c>
      <c r="N18" s="49">
        <f t="shared" si="3"/>
        <v>479.999999999905</v>
      </c>
      <c r="O18" s="56"/>
      <c r="P18" s="51"/>
      <c r="Q18" s="52"/>
      <c r="R18" s="52"/>
      <c r="S18" s="52"/>
      <c r="T18" s="52"/>
      <c r="U18" s="53"/>
    </row>
    <row r="19" s="3" customFormat="1" ht="15" customHeight="1" spans="1:21">
      <c r="A19" s="40">
        <v>0.5</v>
      </c>
      <c r="B19" s="41" t="s">
        <v>11</v>
      </c>
      <c r="C19" s="42"/>
      <c r="D19" s="41">
        <v>465</v>
      </c>
      <c r="E19" s="42"/>
      <c r="F19" s="41" t="s">
        <v>26</v>
      </c>
      <c r="G19" s="42"/>
      <c r="H19" s="43">
        <f t="shared" si="0"/>
        <v>465</v>
      </c>
      <c r="I19" s="44">
        <f t="shared" si="1"/>
        <v>465</v>
      </c>
      <c r="J19" s="45">
        <f t="shared" si="2"/>
        <v>1</v>
      </c>
      <c r="K19" s="46">
        <v>0.5</v>
      </c>
      <c r="L19" s="47">
        <v>3300</v>
      </c>
      <c r="M19" s="54">
        <v>169.84</v>
      </c>
      <c r="N19" s="49">
        <f t="shared" si="3"/>
        <v>599.999999999795</v>
      </c>
      <c r="O19" s="56"/>
      <c r="P19" s="51"/>
      <c r="Q19" s="52"/>
      <c r="R19" s="52"/>
      <c r="S19" s="52"/>
      <c r="T19" s="52"/>
      <c r="U19" s="53"/>
    </row>
    <row r="20" s="3" customFormat="1" ht="15" customHeight="1" spans="1:21">
      <c r="A20" s="40">
        <v>0.541666666666667</v>
      </c>
      <c r="B20" s="41" t="s">
        <v>11</v>
      </c>
      <c r="C20" s="42"/>
      <c r="D20" s="41">
        <v>438</v>
      </c>
      <c r="E20" s="42"/>
      <c r="F20" s="41" t="s">
        <v>26</v>
      </c>
      <c r="G20" s="42"/>
      <c r="H20" s="43">
        <f t="shared" si="0"/>
        <v>438</v>
      </c>
      <c r="I20" s="44">
        <f t="shared" si="1"/>
        <v>438</v>
      </c>
      <c r="J20" s="45">
        <f t="shared" si="2"/>
        <v>1</v>
      </c>
      <c r="K20" s="46">
        <v>0.541666666666667</v>
      </c>
      <c r="L20" s="47">
        <v>3000</v>
      </c>
      <c r="M20" s="54">
        <v>169.89</v>
      </c>
      <c r="N20" s="49">
        <f t="shared" si="3"/>
        <v>480.000000000246</v>
      </c>
      <c r="O20" s="56"/>
      <c r="P20" s="51"/>
      <c r="Q20" s="52"/>
      <c r="R20" s="52"/>
      <c r="S20" s="52"/>
      <c r="T20" s="52"/>
      <c r="U20" s="53"/>
    </row>
    <row r="21" s="3" customFormat="1" ht="15" customHeight="1" spans="1:21">
      <c r="A21" s="40">
        <v>0.583333333333333</v>
      </c>
      <c r="B21" s="41" t="s">
        <v>11</v>
      </c>
      <c r="C21" s="42"/>
      <c r="D21" s="41">
        <v>426</v>
      </c>
      <c r="E21" s="42"/>
      <c r="F21" s="41" t="s">
        <v>26</v>
      </c>
      <c r="G21" s="42"/>
      <c r="H21" s="43">
        <f t="shared" si="0"/>
        <v>426</v>
      </c>
      <c r="I21" s="44">
        <f t="shared" si="1"/>
        <v>426</v>
      </c>
      <c r="J21" s="45">
        <f t="shared" si="2"/>
        <v>1</v>
      </c>
      <c r="K21" s="46">
        <v>0.583333333333333</v>
      </c>
      <c r="L21" s="47">
        <v>3000</v>
      </c>
      <c r="M21" s="54">
        <v>169.93</v>
      </c>
      <c r="N21" s="49">
        <f t="shared" si="3"/>
        <v>479.999999999905</v>
      </c>
      <c r="O21" s="56"/>
      <c r="P21" s="51"/>
      <c r="Q21" s="52"/>
      <c r="R21" s="52"/>
      <c r="S21" s="52"/>
      <c r="T21" s="52"/>
      <c r="U21" s="53"/>
    </row>
    <row r="22" s="3" customFormat="1" ht="15" customHeight="1" spans="1:21">
      <c r="A22" s="40">
        <v>0.625</v>
      </c>
      <c r="B22" s="41" t="s">
        <v>11</v>
      </c>
      <c r="C22" s="42"/>
      <c r="D22" s="41">
        <v>409</v>
      </c>
      <c r="E22" s="42"/>
      <c r="F22" s="41" t="s">
        <v>26</v>
      </c>
      <c r="G22" s="42"/>
      <c r="H22" s="43">
        <f t="shared" si="0"/>
        <v>409</v>
      </c>
      <c r="I22" s="44">
        <f t="shared" si="1"/>
        <v>409</v>
      </c>
      <c r="J22" s="45">
        <f t="shared" si="2"/>
        <v>1</v>
      </c>
      <c r="K22" s="46">
        <v>0.625</v>
      </c>
      <c r="L22" s="47">
        <v>3000</v>
      </c>
      <c r="M22" s="54">
        <v>169.97</v>
      </c>
      <c r="N22" s="49">
        <f t="shared" si="3"/>
        <v>360.000000000014</v>
      </c>
      <c r="O22" s="56"/>
      <c r="P22" s="51"/>
      <c r="Q22" s="52"/>
      <c r="R22" s="52"/>
      <c r="S22" s="52"/>
      <c r="T22" s="52"/>
      <c r="U22" s="53"/>
    </row>
    <row r="23" s="3" customFormat="1" ht="15" customHeight="1" spans="1:21">
      <c r="A23" s="40">
        <v>0.666666666666667</v>
      </c>
      <c r="B23" s="41" t="s">
        <v>11</v>
      </c>
      <c r="C23" s="42"/>
      <c r="D23" s="41">
        <v>410</v>
      </c>
      <c r="E23" s="42"/>
      <c r="F23" s="41" t="s">
        <v>26</v>
      </c>
      <c r="G23" s="42"/>
      <c r="H23" s="43">
        <f t="shared" si="0"/>
        <v>410</v>
      </c>
      <c r="I23" s="44">
        <f t="shared" si="1"/>
        <v>410</v>
      </c>
      <c r="J23" s="45">
        <f t="shared" si="2"/>
        <v>1</v>
      </c>
      <c r="K23" s="46">
        <v>0.666666666666666</v>
      </c>
      <c r="L23" s="47">
        <v>3000</v>
      </c>
      <c r="M23" s="54">
        <v>170</v>
      </c>
      <c r="N23" s="49">
        <f t="shared" si="3"/>
        <v>479.999999999905</v>
      </c>
      <c r="O23" s="56"/>
      <c r="P23" s="51"/>
      <c r="Q23" s="52"/>
      <c r="R23" s="52"/>
      <c r="S23" s="52"/>
      <c r="T23" s="52"/>
      <c r="U23" s="53"/>
    </row>
    <row r="24" s="3" customFormat="1" ht="15" customHeight="1" spans="1:21">
      <c r="A24" s="40">
        <v>0.708333333333334</v>
      </c>
      <c r="B24" s="41" t="s">
        <v>11</v>
      </c>
      <c r="C24" s="42"/>
      <c r="D24" s="41">
        <v>422</v>
      </c>
      <c r="E24" s="42"/>
      <c r="F24" s="41" t="s">
        <v>26</v>
      </c>
      <c r="G24" s="42"/>
      <c r="H24" s="43">
        <f t="shared" si="0"/>
        <v>422</v>
      </c>
      <c r="I24" s="44">
        <f t="shared" si="1"/>
        <v>422</v>
      </c>
      <c r="J24" s="45">
        <f t="shared" si="2"/>
        <v>1</v>
      </c>
      <c r="K24" s="46">
        <v>0.708333333333333</v>
      </c>
      <c r="L24" s="47">
        <v>2700</v>
      </c>
      <c r="M24" s="54">
        <v>170.04</v>
      </c>
      <c r="N24" s="49">
        <f t="shared" si="3"/>
        <v>480.000000000246</v>
      </c>
      <c r="O24" s="56"/>
      <c r="P24" s="51"/>
      <c r="Q24" s="52"/>
      <c r="R24" s="52"/>
      <c r="S24" s="52"/>
      <c r="T24" s="52"/>
      <c r="U24" s="53"/>
    </row>
    <row r="25" s="3" customFormat="1" ht="15" customHeight="1" spans="1:21">
      <c r="A25" s="40">
        <v>0.75</v>
      </c>
      <c r="B25" s="41" t="s">
        <v>11</v>
      </c>
      <c r="C25" s="42"/>
      <c r="D25" s="41">
        <v>459</v>
      </c>
      <c r="E25" s="42"/>
      <c r="F25" s="41" t="s">
        <v>26</v>
      </c>
      <c r="G25" s="42"/>
      <c r="H25" s="43">
        <f t="shared" si="0"/>
        <v>459</v>
      </c>
      <c r="I25" s="44">
        <f t="shared" si="1"/>
        <v>459</v>
      </c>
      <c r="J25" s="45">
        <f t="shared" si="2"/>
        <v>1</v>
      </c>
      <c r="K25" s="46">
        <v>0.75</v>
      </c>
      <c r="L25" s="47">
        <v>2400</v>
      </c>
      <c r="M25" s="54">
        <v>170.08</v>
      </c>
      <c r="N25" s="49">
        <f t="shared" si="3"/>
        <v>719.999999999686</v>
      </c>
      <c r="O25" s="56"/>
      <c r="P25" s="51"/>
      <c r="Q25" s="52"/>
      <c r="R25" s="52"/>
      <c r="S25" s="52"/>
      <c r="T25" s="52"/>
      <c r="U25" s="53"/>
    </row>
    <row r="26" s="3" customFormat="1" ht="15" customHeight="1" spans="1:21">
      <c r="A26" s="40">
        <v>0.791666666666667</v>
      </c>
      <c r="B26" s="41" t="s">
        <v>11</v>
      </c>
      <c r="C26" s="42"/>
      <c r="D26" s="41">
        <v>340</v>
      </c>
      <c r="E26" s="42"/>
      <c r="F26" s="41">
        <v>317</v>
      </c>
      <c r="G26" s="42"/>
      <c r="H26" s="43">
        <f t="shared" si="0"/>
        <v>657</v>
      </c>
      <c r="I26" s="44">
        <f t="shared" si="1"/>
        <v>328.5</v>
      </c>
      <c r="J26" s="45">
        <f t="shared" si="2"/>
        <v>2</v>
      </c>
      <c r="K26" s="46">
        <v>0.791666666666666</v>
      </c>
      <c r="L26" s="47">
        <v>2100</v>
      </c>
      <c r="M26" s="54">
        <v>170.14</v>
      </c>
      <c r="N26" s="49">
        <f t="shared" si="3"/>
        <v>720.000000000027</v>
      </c>
      <c r="O26" s="56"/>
      <c r="P26" s="51"/>
      <c r="Q26" s="52"/>
      <c r="R26" s="52"/>
      <c r="S26" s="52"/>
      <c r="T26" s="52"/>
      <c r="U26" s="53"/>
    </row>
    <row r="27" s="3" customFormat="1" ht="15" customHeight="1" spans="1:21">
      <c r="A27" s="40">
        <v>0.833333333333334</v>
      </c>
      <c r="B27" s="41" t="s">
        <v>11</v>
      </c>
      <c r="C27" s="42"/>
      <c r="D27" s="41">
        <v>337</v>
      </c>
      <c r="E27" s="42"/>
      <c r="F27" s="41">
        <v>334</v>
      </c>
      <c r="G27" s="42"/>
      <c r="H27" s="43">
        <f t="shared" si="0"/>
        <v>671</v>
      </c>
      <c r="I27" s="44">
        <f t="shared" si="1"/>
        <v>335.5</v>
      </c>
      <c r="J27" s="45">
        <f t="shared" si="2"/>
        <v>2</v>
      </c>
      <c r="K27" s="46">
        <v>0.833333333333333</v>
      </c>
      <c r="L27" s="47">
        <v>2100</v>
      </c>
      <c r="M27" s="54">
        <v>170.2</v>
      </c>
      <c r="N27" s="49">
        <f t="shared" si="3"/>
        <v>720.000000000027</v>
      </c>
      <c r="O27" s="56"/>
      <c r="P27" s="51"/>
      <c r="Q27" s="52"/>
      <c r="R27" s="52"/>
      <c r="S27" s="52"/>
      <c r="T27" s="52"/>
      <c r="U27" s="53"/>
    </row>
    <row r="28" s="4" customFormat="1" ht="15" customHeight="1" spans="1:21">
      <c r="A28" s="40">
        <v>0.875</v>
      </c>
      <c r="B28" s="41" t="s">
        <v>11</v>
      </c>
      <c r="C28" s="42"/>
      <c r="D28" s="41">
        <v>310</v>
      </c>
      <c r="E28" s="42"/>
      <c r="F28" s="41">
        <v>318</v>
      </c>
      <c r="G28" s="42"/>
      <c r="H28" s="43">
        <f t="shared" si="0"/>
        <v>628</v>
      </c>
      <c r="I28" s="44">
        <f t="shared" si="1"/>
        <v>314</v>
      </c>
      <c r="J28" s="45">
        <f t="shared" si="2"/>
        <v>2</v>
      </c>
      <c r="K28" s="46">
        <v>0.875</v>
      </c>
      <c r="L28" s="47">
        <v>1800</v>
      </c>
      <c r="M28" s="54">
        <v>170.26</v>
      </c>
      <c r="N28" s="49">
        <f t="shared" si="3"/>
        <v>720.000000000027</v>
      </c>
      <c r="O28" s="56"/>
      <c r="P28" s="51"/>
      <c r="Q28" s="52"/>
      <c r="R28" s="52"/>
      <c r="S28" s="52"/>
      <c r="T28" s="52"/>
      <c r="U28" s="53"/>
    </row>
    <row r="29" s="3" customFormat="1" ht="15" customHeight="1" spans="1:21">
      <c r="A29" s="40">
        <v>0.916666666666667</v>
      </c>
      <c r="B29" s="41" t="s">
        <v>11</v>
      </c>
      <c r="C29" s="42"/>
      <c r="D29" s="41">
        <v>292</v>
      </c>
      <c r="E29" s="42"/>
      <c r="F29" s="41">
        <v>290</v>
      </c>
      <c r="G29" s="42"/>
      <c r="H29" s="43">
        <f t="shared" si="0"/>
        <v>582</v>
      </c>
      <c r="I29" s="44">
        <f t="shared" si="1"/>
        <v>291</v>
      </c>
      <c r="J29" s="45">
        <f t="shared" si="2"/>
        <v>2</v>
      </c>
      <c r="K29" s="46">
        <v>0.916666666666666</v>
      </c>
      <c r="L29" s="47">
        <v>1800</v>
      </c>
      <c r="M29" s="54">
        <v>170.32</v>
      </c>
      <c r="N29" s="49">
        <f t="shared" si="3"/>
        <v>600.000000000136</v>
      </c>
      <c r="O29" s="56"/>
      <c r="P29" s="51"/>
      <c r="Q29" s="52"/>
      <c r="R29" s="52"/>
      <c r="S29" s="52"/>
      <c r="T29" s="52"/>
      <c r="U29" s="53"/>
    </row>
    <row r="30" s="3" customFormat="1" ht="15" customHeight="1" spans="1:21">
      <c r="A30" s="40">
        <v>0.958333333333334</v>
      </c>
      <c r="B30" s="41" t="s">
        <v>11</v>
      </c>
      <c r="C30" s="42"/>
      <c r="D30" s="41">
        <v>278</v>
      </c>
      <c r="E30" s="42"/>
      <c r="F30" s="41">
        <v>276</v>
      </c>
      <c r="G30" s="42"/>
      <c r="H30" s="43">
        <f t="shared" si="0"/>
        <v>554</v>
      </c>
      <c r="I30" s="44">
        <f t="shared" si="1"/>
        <v>277</v>
      </c>
      <c r="J30" s="45">
        <f t="shared" si="2"/>
        <v>2</v>
      </c>
      <c r="K30" s="46">
        <v>0.958333333333333</v>
      </c>
      <c r="L30" s="47">
        <v>1800</v>
      </c>
      <c r="M30" s="54">
        <v>170.37</v>
      </c>
      <c r="N30" s="49">
        <f t="shared" si="3"/>
        <v>720.000000000027</v>
      </c>
      <c r="O30" s="56"/>
      <c r="P30" s="51"/>
      <c r="Q30" s="52"/>
      <c r="R30" s="52"/>
      <c r="S30" s="52"/>
      <c r="T30" s="52"/>
      <c r="U30" s="53"/>
    </row>
    <row r="31" s="2" customFormat="1" ht="15" customHeight="1" spans="1:21">
      <c r="A31" s="57">
        <v>1</v>
      </c>
      <c r="B31" s="41" t="s">
        <v>11</v>
      </c>
      <c r="C31" s="42"/>
      <c r="D31" s="41">
        <v>249</v>
      </c>
      <c r="E31" s="42"/>
      <c r="F31" s="41">
        <v>259</v>
      </c>
      <c r="G31" s="42"/>
      <c r="H31" s="43">
        <f t="shared" si="0"/>
        <v>508</v>
      </c>
      <c r="I31" s="58">
        <f t="shared" si="1"/>
        <v>254</v>
      </c>
      <c r="J31" s="59">
        <f t="shared" si="2"/>
        <v>2</v>
      </c>
      <c r="K31" s="60">
        <v>1</v>
      </c>
      <c r="L31" s="47">
        <v>4500</v>
      </c>
      <c r="M31" s="61">
        <v>170.43</v>
      </c>
      <c r="N31" s="49">
        <f>H31</f>
        <v>508</v>
      </c>
      <c r="O31" s="56"/>
      <c r="P31" s="51"/>
      <c r="Q31" s="52"/>
      <c r="R31" s="52"/>
      <c r="S31" s="52"/>
      <c r="T31" s="52"/>
      <c r="U31" s="53"/>
    </row>
    <row r="32" s="3" customFormat="1" ht="23.25" customHeight="1" spans="1:21">
      <c r="A32" s="62" t="s">
        <v>12</v>
      </c>
      <c r="B32" s="63">
        <f>SUM(B8:B31)/1000</f>
        <v>0</v>
      </c>
      <c r="C32" s="64"/>
      <c r="D32" s="63">
        <f>SUM(D8:D31)/1000</f>
        <v>6.135</v>
      </c>
      <c r="E32" s="64"/>
      <c r="F32" s="63">
        <f>SUM(F8:F31)/1000</f>
        <v>4.405</v>
      </c>
      <c r="G32" s="64"/>
      <c r="H32" s="65">
        <f>SUM(H8:H31)</f>
        <v>10540</v>
      </c>
      <c r="I32" s="66" t="s">
        <v>13</v>
      </c>
      <c r="J32" s="67"/>
      <c r="K32" s="68"/>
      <c r="L32" s="69"/>
      <c r="M32" s="70">
        <f>SUM(M31-M8+N8)</f>
        <v>480.959999999905</v>
      </c>
      <c r="N32" s="71">
        <f>SUM(N8:N31)</f>
        <v>12028.0000000001</v>
      </c>
      <c r="O32" s="72">
        <f>SUM(O8:O31)</f>
        <v>0</v>
      </c>
      <c r="P32" s="73"/>
      <c r="Q32" s="74"/>
      <c r="R32" s="74"/>
      <c r="S32" s="74"/>
      <c r="T32" s="74"/>
      <c r="U32" s="75"/>
    </row>
    <row r="33" ht="15" customHeight="1" spans="1:29">
      <c r="A33" s="76" t="s">
        <v>14</v>
      </c>
      <c r="B33" s="77" t="str">
        <f>IFERROR((AVERAGE(B8:B31)),"0")</f>
        <v>0</v>
      </c>
      <c r="C33" s="78"/>
      <c r="D33" s="79">
        <f>IFERROR((AVERAGE(D8:D31)),"0")</f>
        <v>340.833333333333</v>
      </c>
      <c r="E33" s="78"/>
      <c r="F33" s="79">
        <f>IFERROR((AVERAGE(F8:F31)),"0")</f>
        <v>259.117647058824</v>
      </c>
      <c r="G33" s="80"/>
      <c r="H33" s="81">
        <f>H32*1000</f>
        <v>10540000</v>
      </c>
      <c r="I33" s="82" t="s">
        <v>15</v>
      </c>
      <c r="J33" s="83"/>
      <c r="K33" s="84"/>
      <c r="L33" s="85"/>
      <c r="M33" s="86"/>
      <c r="N33" s="85"/>
      <c r="O33" s="87"/>
      <c r="P33" s="87"/>
      <c r="Q33" s="88"/>
      <c r="R33" s="88"/>
      <c r="S33" s="89"/>
      <c r="T33" s="89"/>
      <c r="U33" s="89"/>
      <c r="V33" s="89"/>
    </row>
    <row r="34" ht="18.75" customHeight="1" spans="1:29">
      <c r="A34" s="90"/>
      <c r="B34" s="91"/>
      <c r="C34" s="92"/>
      <c r="D34" s="93"/>
      <c r="E34" s="92"/>
      <c r="F34" s="93"/>
      <c r="G34" s="94"/>
      <c r="H34" s="95"/>
      <c r="I34" s="96"/>
      <c r="J34" s="97"/>
      <c r="K34" s="98"/>
      <c r="L34" s="85"/>
      <c r="M34" s="86"/>
      <c r="N34" s="99"/>
      <c r="O34" s="99"/>
      <c r="P34" s="99"/>
      <c r="Q34" s="99"/>
      <c r="R34" s="88"/>
      <c r="S34" s="89"/>
      <c r="T34" s="89"/>
      <c r="U34" s="89"/>
      <c r="V34" s="89"/>
    </row>
    <row r="35" ht="22.5" customHeight="1" spans="1:29">
      <c r="A35" s="100" t="s">
        <v>16</v>
      </c>
      <c r="B35" s="101">
        <f>COUNT(B8:B31)</f>
        <v>0</v>
      </c>
      <c r="C35" s="102"/>
      <c r="D35" s="103">
        <f>COUNT(D8:D31)</f>
        <v>18</v>
      </c>
      <c r="E35" s="102"/>
      <c r="F35" s="103">
        <f>COUNT(F8:F31)</f>
        <v>17</v>
      </c>
      <c r="G35" s="104"/>
      <c r="H35" s="105"/>
      <c r="I35" s="106"/>
      <c r="J35" s="107"/>
      <c r="K35" s="107"/>
      <c r="L35" s="107"/>
      <c r="M35" s="107"/>
      <c r="N35" s="99"/>
      <c r="O35" s="99"/>
      <c r="P35" s="99"/>
      <c r="Q35" s="99"/>
      <c r="R35" s="108"/>
      <c r="S35" s="89"/>
      <c r="T35" s="89"/>
      <c r="U35" s="89"/>
      <c r="V35" s="89"/>
    </row>
    <row r="36" ht="9" customHeight="1" spans="1:29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10"/>
      <c r="N36" s="106"/>
      <c r="O36" s="107"/>
      <c r="P36" s="107"/>
      <c r="Q36" s="107"/>
      <c r="R36" s="107"/>
      <c r="S36" s="107"/>
      <c r="T36" s="107"/>
      <c r="U36" s="111"/>
      <c r="V36" s="112"/>
      <c r="W36" s="108"/>
      <c r="X36" s="108"/>
      <c r="Y36" s="108"/>
      <c r="Z36" s="89"/>
      <c r="AA36" s="89"/>
      <c r="AB36" s="89"/>
      <c r="AC36" s="89"/>
    </row>
    <row r="37" ht="24" customHeight="1" spans="1:29">
      <c r="D37" s="113"/>
      <c r="E37" s="113"/>
      <c r="F37" s="113"/>
      <c r="G37" s="113"/>
      <c r="H37" s="113"/>
      <c r="I37" s="113"/>
      <c r="J37" s="113"/>
      <c r="K37" s="114"/>
      <c r="L37" s="114"/>
      <c r="N37" s="115" t="s">
        <v>17</v>
      </c>
      <c r="O37" s="116"/>
      <c r="P37" s="116"/>
      <c r="Q37" s="117"/>
      <c r="R37" s="118">
        <f>SUM(B35:F35)</f>
        <v>35</v>
      </c>
      <c r="S37" s="69"/>
      <c r="T37" s="69"/>
      <c r="U37" s="69"/>
      <c r="V37" s="69"/>
      <c r="X37" s="119"/>
      <c r="Y37" s="119"/>
      <c r="Z37" s="119"/>
      <c r="AA37" s="119"/>
      <c r="AB37" s="119"/>
      <c r="AC37" s="114"/>
    </row>
    <row r="38" ht="15" spans="1:29">
      <c r="D38" s="113"/>
      <c r="E38" s="113"/>
      <c r="F38" s="113"/>
      <c r="G38" s="113"/>
      <c r="H38" s="113"/>
      <c r="I38" s="113"/>
      <c r="J38" s="113"/>
      <c r="K38" s="114"/>
      <c r="L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</row>
    <row r="39" ht="24.75" customHeight="1" spans="1:29">
      <c r="A39" s="120" t="s">
        <v>18</v>
      </c>
      <c r="B39" s="121"/>
      <c r="C39" s="122">
        <f>MAX(H8:H31)</f>
        <v>671</v>
      </c>
      <c r="D39" s="123"/>
      <c r="E39" s="124">
        <f>VLOOKUP(C39,H8:L31,4,FALSE)</f>
        <v>0.833333333333333</v>
      </c>
      <c r="F39" s="125"/>
      <c r="G39" s="125"/>
      <c r="H39" s="126" t="s">
        <v>19</v>
      </c>
      <c r="I39" s="127"/>
      <c r="J39" s="128"/>
      <c r="K39" s="129">
        <f>MAX(J8:J31)</f>
        <v>2</v>
      </c>
      <c r="L39" s="130"/>
      <c r="N39" s="131" t="s">
        <v>20</v>
      </c>
      <c r="O39" s="132"/>
      <c r="P39" s="132"/>
      <c r="Q39" s="133"/>
      <c r="R39" s="134">
        <f>AVERAGE(H8:H31)</f>
        <v>439.166666666667</v>
      </c>
      <c r="S39" s="135"/>
      <c r="T39" s="135"/>
    </row>
    <row r="40" ht="15" spans="1:29">
      <c r="C40" s="136"/>
      <c r="D40" s="137"/>
      <c r="E40" s="138"/>
      <c r="F40" s="138"/>
      <c r="G40" s="138"/>
      <c r="H40" s="138"/>
      <c r="I40" s="139"/>
      <c r="J40" s="106"/>
      <c r="K40" s="110"/>
      <c r="L40" s="110"/>
      <c r="N40" s="140"/>
      <c r="O40" s="140"/>
      <c r="P40" s="140"/>
      <c r="Q40" s="140"/>
      <c r="R40" s="140"/>
      <c r="X40" s="5"/>
      <c r="Y40" s="5"/>
      <c r="Z40" s="5"/>
      <c r="AA40" s="5"/>
      <c r="AB40" s="5"/>
      <c r="AC40" s="141"/>
    </row>
    <row r="41" ht="24.75" customHeight="1" spans="1:29">
      <c r="A41" s="120" t="s">
        <v>21</v>
      </c>
      <c r="B41" s="121"/>
      <c r="C41" s="122">
        <f>MIN(H8:H31)</f>
        <v>210</v>
      </c>
      <c r="D41" s="123"/>
      <c r="E41" s="124">
        <f>VLOOKUP(C41,H8:L31,4,FALSE)</f>
        <v>0.166666666666667</v>
      </c>
      <c r="F41" s="142"/>
      <c r="G41" s="125"/>
      <c r="H41" s="126" t="s">
        <v>22</v>
      </c>
      <c r="I41" s="127"/>
      <c r="J41" s="128"/>
      <c r="K41" s="129">
        <f>MIN(J8:J31)</f>
        <v>1</v>
      </c>
      <c r="L41" s="130"/>
      <c r="N41" s="126" t="s">
        <v>23</v>
      </c>
      <c r="O41" s="127"/>
      <c r="P41" s="127"/>
      <c r="Q41" s="128"/>
      <c r="R41" s="143">
        <f>AVERAGE(I8:I31)</f>
        <v>310.854166666667</v>
      </c>
      <c r="S41" s="144"/>
      <c r="T41" s="144"/>
      <c r="U41" s="144"/>
      <c r="V41" s="144"/>
      <c r="X41" s="145"/>
    </row>
    <row r="42" ht="15" spans="1:29">
      <c r="D42" s="138"/>
      <c r="E42" s="138"/>
      <c r="F42" s="138"/>
      <c r="G42" s="138"/>
      <c r="H42" s="138"/>
      <c r="I42" s="146"/>
      <c r="J42" s="138"/>
      <c r="K42" s="147"/>
      <c r="L42" s="147"/>
      <c r="V42" s="148"/>
      <c r="W42" s="148"/>
      <c r="X42" s="149"/>
      <c r="Y42" s="149"/>
      <c r="Z42" s="150"/>
      <c r="AA42" s="150"/>
      <c r="AB42" s="150"/>
      <c r="AC42" s="150"/>
    </row>
    <row r="43" ht="24.75" customHeight="1" spans="1:29">
      <c r="C43" s="136"/>
      <c r="H43" s="151"/>
      <c r="I43" s="151"/>
      <c r="J43" s="151"/>
      <c r="K43" s="145"/>
      <c r="L43" s="139"/>
      <c r="N43" s="152" t="s">
        <v>24</v>
      </c>
      <c r="O43" s="153"/>
      <c r="P43" s="153"/>
      <c r="Q43" s="154"/>
      <c r="R43" s="155" t="e">
        <f>AVERAGE(T8:T31)</f>
        <v>#DIV/0!</v>
      </c>
      <c r="X43" s="156"/>
      <c r="Z43" s="157"/>
      <c r="AA43" s="157"/>
      <c r="AB43" s="157"/>
      <c r="AC43" s="157"/>
    </row>
    <row r="44" ht="19.5" spans="1:29">
      <c r="I44" s="158"/>
      <c r="K44" s="159"/>
      <c r="L44" s="159"/>
      <c r="Z44" s="160"/>
      <c r="AA44" s="160"/>
      <c r="AB44" s="160"/>
      <c r="AC44" s="160"/>
    </row>
    <row r="45" ht="24.75" customHeight="1" spans="1:29">
      <c r="D45" s="158"/>
      <c r="E45" s="158"/>
      <c r="F45" s="158"/>
      <c r="G45" s="158"/>
      <c r="H45" s="158"/>
      <c r="N45" s="126" t="s">
        <v>25</v>
      </c>
      <c r="O45" s="127"/>
      <c r="P45" s="127"/>
      <c r="Q45" s="128"/>
      <c r="R45" s="161">
        <f>SUM(M32-H32)/24</f>
        <v>-419.126666666671</v>
      </c>
      <c r="X45" s="162"/>
      <c r="Z45" s="163"/>
      <c r="AA45" s="163"/>
      <c r="AB45" s="163"/>
      <c r="AC45" s="163"/>
    </row>
    <row r="46" spans="1:29">
      <c r="Z46" s="164"/>
      <c r="AA46" s="164"/>
      <c r="AB46" s="164"/>
      <c r="AC46" s="164"/>
    </row>
    <row r="47" spans="1:29">
      <c r="Z47" s="139"/>
      <c r="AA47" s="139"/>
      <c r="AB47" s="139"/>
      <c r="AC47" s="139"/>
    </row>
    <row r="48" spans="1:29">
      <c r="Z48" s="139"/>
      <c r="AA48" s="139"/>
      <c r="AB48" s="139"/>
      <c r="AC48" s="139"/>
    </row>
    <row r="49" spans="11:29">
      <c r="Z49" s="157"/>
      <c r="AA49" s="157"/>
      <c r="AB49" s="157"/>
      <c r="AC49" s="157"/>
    </row>
    <row r="50" spans="11:29">
      <c r="Z50" s="157"/>
      <c r="AA50" s="157"/>
      <c r="AB50" s="157"/>
      <c r="AC50" s="157"/>
    </row>
    <row r="51" spans="11:29">
      <c r="K51" s="150"/>
      <c r="L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0"/>
      <c r="AC51" s="150"/>
    </row>
    <row r="52" spans="11:29">
      <c r="K52" s="150"/>
      <c r="L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  <c r="AB52" s="150"/>
      <c r="AC52" s="150"/>
    </row>
    <row r="53" spans="11:29">
      <c r="K53" s="150"/>
      <c r="L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50"/>
      <c r="AB53" s="150"/>
      <c r="AC53" s="150"/>
    </row>
    <row r="60" spans="11:29">
      <c r="O60" s="165"/>
      <c r="P60" s="165"/>
      <c r="Q60" s="165"/>
      <c r="R60" s="165"/>
      <c r="S60" s="165"/>
      <c r="T60" s="165"/>
    </row>
    <row r="61" spans="11:29">
      <c r="O61" s="165"/>
      <c r="P61" s="165"/>
      <c r="Q61" s="165"/>
      <c r="R61" s="165"/>
      <c r="S61" s="165"/>
      <c r="T61" s="165"/>
    </row>
    <row r="62" spans="11:29">
      <c r="O62" s="165"/>
      <c r="P62" s="165"/>
      <c r="Q62" s="165"/>
      <c r="R62" s="165"/>
      <c r="S62" s="165"/>
      <c r="T62" s="165"/>
    </row>
    <row r="63" spans="11:29">
      <c r="O63" s="165"/>
      <c r="P63" s="165"/>
      <c r="Q63" s="165"/>
      <c r="R63" s="165"/>
      <c r="S63" s="165"/>
      <c r="T63" s="165"/>
    </row>
    <row r="64" spans="11:29">
      <c r="O64" s="165"/>
      <c r="P64" s="165"/>
      <c r="Q64" s="165"/>
      <c r="R64" s="165"/>
      <c r="S64" s="165"/>
      <c r="T64" s="165"/>
    </row>
    <row r="65" spans="15:20">
      <c r="O65" s="165"/>
      <c r="P65" s="165"/>
      <c r="Q65" s="165"/>
      <c r="R65" s="165"/>
      <c r="S65" s="165"/>
      <c r="T65" s="165"/>
    </row>
    <row r="66" spans="15:20">
      <c r="O66" s="165"/>
      <c r="P66" s="165"/>
      <c r="Q66" s="165"/>
      <c r="R66" s="165"/>
      <c r="S66" s="165"/>
      <c r="T66" s="165"/>
    </row>
    <row r="67" spans="15:20">
      <c r="O67" s="165"/>
      <c r="P67" s="165"/>
      <c r="Q67" s="165"/>
      <c r="R67" s="165"/>
      <c r="S67" s="165"/>
      <c r="T67" s="165"/>
    </row>
    <row r="68" spans="15:20">
      <c r="O68" s="165"/>
      <c r="P68" s="165"/>
      <c r="Q68" s="165"/>
      <c r="R68" s="165"/>
      <c r="S68" s="165"/>
      <c r="T68" s="165"/>
    </row>
  </sheetData>
  <mergeCells count="116">
    <mergeCell ref="H4:K4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B29:C29"/>
    <mergeCell ref="D29:E29"/>
    <mergeCell ref="F29:G2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N34:Q34"/>
    <mergeCell ref="B35:C35"/>
    <mergeCell ref="D35:E35"/>
    <mergeCell ref="F35:G35"/>
    <mergeCell ref="N35:Q35"/>
    <mergeCell ref="N37:Q37"/>
    <mergeCell ref="A39:B39"/>
    <mergeCell ref="C39:D39"/>
    <mergeCell ref="H39:J39"/>
    <mergeCell ref="N39:Q39"/>
    <mergeCell ref="A41:B41"/>
    <mergeCell ref="C41:D41"/>
    <mergeCell ref="H41:J41"/>
    <mergeCell ref="N41:Q41"/>
    <mergeCell ref="H43:J43"/>
    <mergeCell ref="N43:Q43"/>
    <mergeCell ref="N45:Q45"/>
    <mergeCell ref="A6:A7"/>
    <mergeCell ref="A33:A34"/>
    <mergeCell ref="H6:H7"/>
    <mergeCell ref="H33:H34"/>
    <mergeCell ref="I6:I7"/>
    <mergeCell ref="I33:I34"/>
    <mergeCell ref="J6:J7"/>
    <mergeCell ref="K6:K7"/>
    <mergeCell ref="L6:L7"/>
    <mergeCell ref="M6:M7"/>
    <mergeCell ref="N6:N7"/>
    <mergeCell ref="O6:O7"/>
    <mergeCell ref="T6:T7"/>
    <mergeCell ref="U6:U7"/>
    <mergeCell ref="B33:C34"/>
    <mergeCell ref="D33:E34"/>
    <mergeCell ref="F33:G34"/>
  </mergeCells>
  <conditionalFormatting sqref="O8">
    <cfRule type="cellIs" dxfId="0" priority="10" operator="equal">
      <formula>"N/A"</formula>
    </cfRule>
  </conditionalFormatting>
  <conditionalFormatting sqref="A30">
    <cfRule type="cellIs" dxfId="1" priority="11" operator="equal">
      <formula>"STB"</formula>
    </cfRule>
    <cfRule type="cellIs" dxfId="0" priority="12" operator="equal">
      <formula>"BD"</formula>
    </cfRule>
  </conditionalFormatting>
  <conditionalFormatting sqref="B8:B31">
    <cfRule type="cellIs" dxfId="1" priority="1" operator="equal">
      <formula>"STB"</formula>
    </cfRule>
    <cfRule type="cellIs" dxfId="0" priority="2" operator="equal">
      <formula>"BD"</formula>
    </cfRule>
  </conditionalFormatting>
  <conditionalFormatting sqref="D8:D31">
    <cfRule type="cellIs" dxfId="1" priority="8" operator="equal">
      <formula>"STB"</formula>
    </cfRule>
    <cfRule type="cellIs" dxfId="0" priority="9" operator="equal">
      <formula>"BD"</formula>
    </cfRule>
  </conditionalFormatting>
  <conditionalFormatting sqref="F8:F31">
    <cfRule type="cellIs" dxfId="1" priority="3" operator="equal">
      <formula>"STB"</formula>
    </cfRule>
    <cfRule type="cellIs" dxfId="0" priority="4" operator="equal">
      <formula>"BD"</formula>
    </cfRule>
  </conditionalFormatting>
  <conditionalFormatting sqref="H8:H31">
    <cfRule type="top10" dxfId="2" priority="5" bottom="1" rank="1"/>
    <cfRule type="top10" dxfId="3" priority="6" rank="1"/>
    <cfRule type="cellIs" dxfId="4" priority="7" stopIfTrue="1" operator="equal">
      <formula>28000</formula>
    </cfRule>
  </conditionalFormatting>
  <conditionalFormatting sqref="H32:H33">
    <cfRule type="top10" dxfId="2" priority="14" bottom="1" rank="1"/>
    <cfRule type="top10" dxfId="3" priority="15" rank="1"/>
    <cfRule type="cellIs" dxfId="4" priority="17" stopIfTrue="1" operator="equal">
      <formula>28000</formula>
    </cfRule>
  </conditionalFormatting>
  <conditionalFormatting sqref="Y8:Y31">
    <cfRule type="containsText" dxfId="5" priority="13" operator="between" text="-">
      <formula>NOT(ISERROR(SEARCH("-",Y8)))</formula>
    </cfRule>
  </conditionalFormatting>
  <conditionalFormatting sqref="N8 N9:O31">
    <cfRule type="cellIs" dxfId="0" priority="16" operator="equal">
      <formula>"BD"</formula>
    </cfRule>
  </conditionalFormatting>
  <pageMargins left="0.7" right="0.7" top="0.75" bottom="0.75" header="0.3" footer="0.3"/>
  <pageSetup paperSize="1" orientation="portrait" verticalDpi="360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C68"/>
  <sheetViews>
    <sheetView zoomScale="80" zoomScaleNormal="80" workbookViewId="0">
      <pane ySplit="7" topLeftCell="A9" activePane="bottomLeft" state="frozen"/>
      <selection/>
      <selection pane="bottomLeft" activeCell="A3" sqref="$A3:$XFD3"/>
    </sheetView>
  </sheetViews>
  <sheetFormatPr defaultColWidth="8.81666666666667" defaultRowHeight="14.25"/>
  <cols>
    <col min="1" max="1" width="16.725" customWidth="1"/>
    <col min="2" max="2" width="8.725" customWidth="1"/>
    <col min="3" max="7" width="5.725" customWidth="1"/>
    <col min="8" max="8" width="14.2666666666667" customWidth="1"/>
    <col min="9" max="9" width="15.1833333333333" customWidth="1"/>
    <col min="10" max="10" width="15.5416666666667" customWidth="1"/>
    <col min="11" max="11" width="7" customWidth="1"/>
    <col min="12" max="12" width="8.54166666666667" customWidth="1"/>
    <col min="13" max="13" width="11.725" style="5" customWidth="1"/>
    <col min="14" max="14" width="17.1833333333333" customWidth="1"/>
    <col min="15" max="15" width="15.45" customWidth="1"/>
    <col min="16" max="16" width="7.45" customWidth="1"/>
    <col min="17" max="17" width="9.54166666666667" customWidth="1"/>
    <col min="18" max="18" width="10" customWidth="1"/>
    <col min="19" max="20" width="9.81666666666667" customWidth="1"/>
    <col min="21" max="21" width="6.725" customWidth="1"/>
    <col min="22" max="22" width="13.8166666666667" customWidth="1"/>
    <col min="23" max="23" width="11.2666666666667" customWidth="1"/>
    <col min="24" max="24" width="9.26666666666667" customWidth="1"/>
    <col min="25" max="25" width="3.725" customWidth="1"/>
    <col min="26" max="29" width="7.725" customWidth="1"/>
    <col min="30" max="30" width="6.725" customWidth="1"/>
  </cols>
  <sheetData>
    <row r="1" ht="3" customHeight="1"/>
    <row r="2" ht="6" customHeight="1" spans="1:2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="1" customFormat="1" ht="6.75" customHeight="1" spans="1:29">
      <c r="K3" s="7"/>
      <c r="L3" s="8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17.25" customHeight="1" spans="1:29">
      <c r="A4" s="1"/>
      <c r="B4" s="10"/>
      <c r="C4" s="10"/>
      <c r="D4" s="10"/>
      <c r="E4" s="11"/>
      <c r="F4" s="11"/>
      <c r="G4" s="11"/>
      <c r="H4" s="12">
        <f>'[16]Taniwel daily'!C4</f>
        <v>45307</v>
      </c>
      <c r="I4" s="13"/>
      <c r="J4" s="13"/>
      <c r="K4" s="14"/>
      <c r="L4" s="15"/>
      <c r="M4" s="16"/>
      <c r="N4" s="10"/>
      <c r="O4" s="10"/>
      <c r="P4" s="10"/>
      <c r="Q4" s="10"/>
      <c r="R4" s="10"/>
      <c r="S4" s="10"/>
      <c r="T4" s="10"/>
      <c r="U4" s="10"/>
      <c r="V4" s="7"/>
      <c r="W4" s="7"/>
      <c r="X4" s="7"/>
      <c r="Y4" s="7"/>
      <c r="Z4" s="7"/>
      <c r="AA4" s="7"/>
      <c r="AB4" s="7"/>
      <c r="AC4" s="7"/>
    </row>
    <row r="5" ht="7.5" customHeight="1" spans="1:29">
      <c r="A5" s="1"/>
      <c r="B5" s="17"/>
      <c r="C5" s="1"/>
      <c r="D5" s="1"/>
      <c r="E5" s="1"/>
      <c r="F5" s="1"/>
      <c r="G5" s="1"/>
      <c r="H5" s="1"/>
      <c r="I5" s="1"/>
      <c r="J5" s="1"/>
      <c r="K5" s="18"/>
      <c r="L5" s="7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ht="17.25" customHeight="1" spans="1:29">
      <c r="A6" s="19" t="s">
        <v>0</v>
      </c>
      <c r="B6" s="20" t="s">
        <v>1</v>
      </c>
      <c r="C6" s="21"/>
      <c r="D6" s="20" t="s">
        <v>2</v>
      </c>
      <c r="E6" s="21"/>
      <c r="F6" s="20" t="s">
        <v>3</v>
      </c>
      <c r="G6" s="21"/>
      <c r="H6" s="22" t="s">
        <v>4</v>
      </c>
      <c r="I6" s="22" t="s">
        <v>5</v>
      </c>
      <c r="J6" s="23" t="s">
        <v>6</v>
      </c>
      <c r="K6" s="19" t="s">
        <v>0</v>
      </c>
      <c r="L6" s="24" t="s">
        <v>7</v>
      </c>
      <c r="M6" s="25" t="s">
        <v>8</v>
      </c>
      <c r="N6" s="26" t="s">
        <v>9</v>
      </c>
      <c r="O6" s="25" t="s">
        <v>10</v>
      </c>
      <c r="P6" s="27"/>
      <c r="Q6" s="28"/>
      <c r="R6" s="28"/>
      <c r="S6" s="28"/>
      <c r="T6" s="28"/>
      <c r="U6" s="29"/>
    </row>
    <row r="7" ht="15.75" customHeight="1" spans="1:29">
      <c r="A7" s="30"/>
      <c r="B7" s="31">
        <v>1</v>
      </c>
      <c r="C7" s="32"/>
      <c r="D7" s="31">
        <v>2</v>
      </c>
      <c r="E7" s="32"/>
      <c r="F7" s="31">
        <v>3</v>
      </c>
      <c r="G7" s="32"/>
      <c r="H7" s="33"/>
      <c r="I7" s="33"/>
      <c r="J7" s="34"/>
      <c r="K7" s="30"/>
      <c r="L7" s="35"/>
      <c r="M7" s="36"/>
      <c r="N7" s="37"/>
      <c r="O7" s="38"/>
      <c r="P7" s="27"/>
      <c r="Q7" s="28"/>
      <c r="R7" s="28"/>
      <c r="S7" s="28"/>
      <c r="T7" s="28"/>
      <c r="U7" s="29"/>
      <c r="X7" s="39"/>
    </row>
    <row r="8" s="2" customFormat="1" ht="15" customHeight="1" spans="1:29">
      <c r="A8" s="40">
        <v>0.0416666666666666</v>
      </c>
      <c r="B8" s="41" t="s">
        <v>11</v>
      </c>
      <c r="C8" s="42"/>
      <c r="D8" s="41">
        <v>243</v>
      </c>
      <c r="E8" s="42"/>
      <c r="F8" s="41">
        <v>246</v>
      </c>
      <c r="G8" s="42"/>
      <c r="H8" s="43">
        <f t="shared" ref="H8:H31" si="0">IF(SUM(B8:G8)/1000=0,"0",SUM(B8:G8))</f>
        <v>489</v>
      </c>
      <c r="I8" s="44">
        <f t="shared" ref="I8:I31" si="1">IFERROR(AVERAGE(B8:G8),"0")</f>
        <v>244.5</v>
      </c>
      <c r="J8" s="45">
        <f t="shared" ref="J8:J31" si="2">COUNT(B8:G8)</f>
        <v>2</v>
      </c>
      <c r="K8" s="46">
        <v>0.0416666666666667</v>
      </c>
      <c r="L8" s="47">
        <v>4500</v>
      </c>
      <c r="M8" s="48">
        <v>170.47</v>
      </c>
      <c r="N8" s="49">
        <f>(M9-M8)*12000</f>
        <v>479.999999999905</v>
      </c>
      <c r="O8" s="50"/>
      <c r="P8" s="51"/>
      <c r="Q8" s="52"/>
      <c r="R8" s="52"/>
      <c r="S8" s="52"/>
      <c r="T8" s="52"/>
      <c r="U8" s="53"/>
    </row>
    <row r="9" s="3" customFormat="1" ht="15" customHeight="1" spans="1:29">
      <c r="A9" s="40">
        <v>0.0833333333333333</v>
      </c>
      <c r="B9" s="41" t="s">
        <v>11</v>
      </c>
      <c r="C9" s="42"/>
      <c r="D9" s="41">
        <v>237</v>
      </c>
      <c r="E9" s="42"/>
      <c r="F9" s="41">
        <v>243</v>
      </c>
      <c r="G9" s="42"/>
      <c r="H9" s="43">
        <f t="shared" si="0"/>
        <v>480</v>
      </c>
      <c r="I9" s="44">
        <f t="shared" si="1"/>
        <v>240</v>
      </c>
      <c r="J9" s="45">
        <f t="shared" si="2"/>
        <v>2</v>
      </c>
      <c r="K9" s="46">
        <v>0.0833333333333333</v>
      </c>
      <c r="L9" s="47">
        <v>4200</v>
      </c>
      <c r="M9" s="54">
        <v>170.51</v>
      </c>
      <c r="N9" s="49">
        <f t="shared" ref="N9:N30" si="3">(M10-M9)*12000</f>
        <v>600.000000000136</v>
      </c>
      <c r="O9" s="55"/>
      <c r="P9" s="51"/>
      <c r="Q9" s="52"/>
      <c r="R9" s="52"/>
      <c r="S9" s="52"/>
      <c r="T9" s="52"/>
      <c r="U9" s="53"/>
    </row>
    <row r="10" s="3" customFormat="1" ht="15" customHeight="1" spans="1:29">
      <c r="A10" s="40">
        <v>0.125</v>
      </c>
      <c r="B10" s="41" t="s">
        <v>11</v>
      </c>
      <c r="C10" s="42"/>
      <c r="D10" s="41">
        <v>231</v>
      </c>
      <c r="E10" s="42"/>
      <c r="F10" s="41">
        <v>237</v>
      </c>
      <c r="G10" s="42"/>
      <c r="H10" s="43">
        <f t="shared" si="0"/>
        <v>468</v>
      </c>
      <c r="I10" s="44">
        <f t="shared" si="1"/>
        <v>234</v>
      </c>
      <c r="J10" s="45">
        <f t="shared" si="2"/>
        <v>2</v>
      </c>
      <c r="K10" s="46">
        <v>0.125</v>
      </c>
      <c r="L10" s="47">
        <v>4200</v>
      </c>
      <c r="M10" s="54">
        <v>170.56</v>
      </c>
      <c r="N10" s="49">
        <f t="shared" si="3"/>
        <v>479.999999999905</v>
      </c>
      <c r="O10" s="56"/>
      <c r="P10" s="51"/>
      <c r="Q10" s="52"/>
      <c r="R10" s="52"/>
      <c r="S10" s="52"/>
      <c r="T10" s="52"/>
      <c r="U10" s="53"/>
    </row>
    <row r="11" s="3" customFormat="1" ht="15" customHeight="1" spans="1:29">
      <c r="A11" s="40">
        <v>0.166666666666667</v>
      </c>
      <c r="B11" s="41" t="s">
        <v>11</v>
      </c>
      <c r="C11" s="42"/>
      <c r="D11" s="41">
        <v>225</v>
      </c>
      <c r="E11" s="42"/>
      <c r="F11" s="41">
        <v>223</v>
      </c>
      <c r="G11" s="42"/>
      <c r="H11" s="43">
        <f t="shared" si="0"/>
        <v>448</v>
      </c>
      <c r="I11" s="44">
        <f t="shared" si="1"/>
        <v>224</v>
      </c>
      <c r="J11" s="45">
        <f t="shared" si="2"/>
        <v>2</v>
      </c>
      <c r="K11" s="46">
        <v>0.166666666666667</v>
      </c>
      <c r="L11" s="47">
        <v>4000</v>
      </c>
      <c r="M11" s="54">
        <v>170.6</v>
      </c>
      <c r="N11" s="49">
        <f t="shared" si="3"/>
        <v>479.999999999905</v>
      </c>
      <c r="O11" s="56"/>
      <c r="P11" s="51"/>
      <c r="Q11" s="52"/>
      <c r="R11" s="52"/>
      <c r="S11" s="52"/>
      <c r="T11" s="52"/>
      <c r="U11" s="53"/>
    </row>
    <row r="12" s="3" customFormat="1" ht="15" customHeight="1" spans="1:29">
      <c r="A12" s="40">
        <v>0.208333333333333</v>
      </c>
      <c r="B12" s="41" t="s">
        <v>11</v>
      </c>
      <c r="C12" s="42"/>
      <c r="D12" s="41" t="s">
        <v>26</v>
      </c>
      <c r="E12" s="42"/>
      <c r="F12" s="41">
        <v>428</v>
      </c>
      <c r="G12" s="42"/>
      <c r="H12" s="43">
        <f t="shared" si="0"/>
        <v>428</v>
      </c>
      <c r="I12" s="44">
        <f t="shared" si="1"/>
        <v>428</v>
      </c>
      <c r="J12" s="45">
        <f t="shared" si="2"/>
        <v>1</v>
      </c>
      <c r="K12" s="46">
        <v>0.208333333333333</v>
      </c>
      <c r="L12" s="47">
        <v>3900</v>
      </c>
      <c r="M12" s="54">
        <v>170.64</v>
      </c>
      <c r="N12" s="49">
        <f t="shared" si="3"/>
        <v>480.000000000246</v>
      </c>
      <c r="O12" s="56"/>
      <c r="P12" s="51"/>
      <c r="Q12" s="52"/>
      <c r="R12" s="52"/>
      <c r="S12" s="52"/>
      <c r="T12" s="52"/>
      <c r="U12" s="53"/>
    </row>
    <row r="13" s="3" customFormat="1" ht="15" customHeight="1" spans="1:29">
      <c r="A13" s="40">
        <v>0.25</v>
      </c>
      <c r="B13" s="41" t="s">
        <v>11</v>
      </c>
      <c r="C13" s="42"/>
      <c r="D13" s="41">
        <v>231</v>
      </c>
      <c r="E13" s="42"/>
      <c r="F13" s="41">
        <v>220</v>
      </c>
      <c r="G13" s="42"/>
      <c r="H13" s="43">
        <f t="shared" si="0"/>
        <v>451</v>
      </c>
      <c r="I13" s="44">
        <f t="shared" si="1"/>
        <v>225.5</v>
      </c>
      <c r="J13" s="45">
        <f t="shared" si="2"/>
        <v>2</v>
      </c>
      <c r="K13" s="46">
        <v>0.25</v>
      </c>
      <c r="L13" s="47">
        <v>3600</v>
      </c>
      <c r="M13" s="54">
        <v>170.68</v>
      </c>
      <c r="N13" s="49">
        <f t="shared" si="3"/>
        <v>599.999999999795</v>
      </c>
      <c r="O13" s="56"/>
      <c r="P13" s="51"/>
      <c r="Q13" s="52"/>
      <c r="R13" s="52"/>
      <c r="S13" s="52"/>
      <c r="T13" s="52"/>
      <c r="U13" s="53"/>
    </row>
    <row r="14" s="3" customFormat="1" ht="15" customHeight="1" spans="1:29">
      <c r="A14" s="40">
        <v>0.291666666666667</v>
      </c>
      <c r="B14" s="41" t="s">
        <v>11</v>
      </c>
      <c r="C14" s="42"/>
      <c r="D14" s="41">
        <v>268</v>
      </c>
      <c r="E14" s="42"/>
      <c r="F14" s="41">
        <v>243</v>
      </c>
      <c r="G14" s="42"/>
      <c r="H14" s="43">
        <f t="shared" si="0"/>
        <v>511</v>
      </c>
      <c r="I14" s="44">
        <f t="shared" si="1"/>
        <v>255.5</v>
      </c>
      <c r="J14" s="45">
        <f t="shared" si="2"/>
        <v>2</v>
      </c>
      <c r="K14" s="46">
        <v>0.291666666666667</v>
      </c>
      <c r="L14" s="47">
        <v>3600</v>
      </c>
      <c r="M14" s="54">
        <v>170.73</v>
      </c>
      <c r="N14" s="49">
        <f t="shared" si="3"/>
        <v>480.000000000246</v>
      </c>
      <c r="O14" s="56"/>
      <c r="P14" s="51"/>
      <c r="Q14" s="52"/>
      <c r="R14" s="52"/>
      <c r="S14" s="52"/>
      <c r="T14" s="52"/>
      <c r="U14" s="53"/>
    </row>
    <row r="15" s="3" customFormat="1" ht="15" customHeight="1" spans="1:29">
      <c r="A15" s="40">
        <v>0.333333333333333</v>
      </c>
      <c r="B15" s="41" t="s">
        <v>11</v>
      </c>
      <c r="C15" s="42"/>
      <c r="D15" s="41">
        <v>235</v>
      </c>
      <c r="E15" s="42"/>
      <c r="F15" s="41">
        <v>264</v>
      </c>
      <c r="G15" s="42"/>
      <c r="H15" s="43">
        <f t="shared" si="0"/>
        <v>499</v>
      </c>
      <c r="I15" s="44">
        <f t="shared" si="1"/>
        <v>249.5</v>
      </c>
      <c r="J15" s="45">
        <f t="shared" si="2"/>
        <v>2</v>
      </c>
      <c r="K15" s="46">
        <v>0.333333333333333</v>
      </c>
      <c r="L15" s="47">
        <v>3600</v>
      </c>
      <c r="M15" s="54">
        <v>170.77</v>
      </c>
      <c r="N15" s="49">
        <f t="shared" si="3"/>
        <v>599.999999999795</v>
      </c>
      <c r="O15" s="56"/>
      <c r="P15" s="51"/>
      <c r="Q15" s="52"/>
      <c r="R15" s="52"/>
      <c r="S15" s="52"/>
      <c r="T15" s="52"/>
      <c r="U15" s="53"/>
    </row>
    <row r="16" s="3" customFormat="1" ht="15" customHeight="1" spans="1:29">
      <c r="A16" s="40">
        <v>0.375</v>
      </c>
      <c r="B16" s="41" t="s">
        <v>11</v>
      </c>
      <c r="C16" s="42"/>
      <c r="D16" s="41">
        <v>231</v>
      </c>
      <c r="E16" s="42"/>
      <c r="F16" s="41">
        <v>234</v>
      </c>
      <c r="G16" s="42"/>
      <c r="H16" s="43">
        <f t="shared" si="0"/>
        <v>465</v>
      </c>
      <c r="I16" s="44">
        <f t="shared" si="1"/>
        <v>232.5</v>
      </c>
      <c r="J16" s="45">
        <f t="shared" si="2"/>
        <v>2</v>
      </c>
      <c r="K16" s="46">
        <v>0.375</v>
      </c>
      <c r="L16" s="47">
        <v>3600</v>
      </c>
      <c r="M16" s="54">
        <v>170.82</v>
      </c>
      <c r="N16" s="49">
        <f t="shared" si="3"/>
        <v>600.000000000136</v>
      </c>
      <c r="O16" s="56"/>
      <c r="P16" s="51"/>
      <c r="Q16" s="52"/>
      <c r="R16" s="52"/>
      <c r="S16" s="52"/>
      <c r="T16" s="52"/>
      <c r="U16" s="53"/>
    </row>
    <row r="17" s="3" customFormat="1" ht="15" customHeight="1" spans="1:21">
      <c r="A17" s="40">
        <v>0.416666666666667</v>
      </c>
      <c r="B17" s="41" t="s">
        <v>11</v>
      </c>
      <c r="C17" s="42"/>
      <c r="D17" s="41" t="s">
        <v>26</v>
      </c>
      <c r="E17" s="42"/>
      <c r="F17" s="41">
        <v>457</v>
      </c>
      <c r="G17" s="42"/>
      <c r="H17" s="43">
        <f t="shared" si="0"/>
        <v>457</v>
      </c>
      <c r="I17" s="44">
        <f t="shared" si="1"/>
        <v>457</v>
      </c>
      <c r="J17" s="45">
        <f t="shared" si="2"/>
        <v>1</v>
      </c>
      <c r="K17" s="46">
        <v>0.416666666666666</v>
      </c>
      <c r="L17" s="47">
        <v>3400</v>
      </c>
      <c r="M17" s="54">
        <v>170.87</v>
      </c>
      <c r="N17" s="49">
        <f t="shared" si="3"/>
        <v>479.999999999905</v>
      </c>
      <c r="O17" s="56"/>
      <c r="P17" s="51"/>
      <c r="Q17" s="52"/>
      <c r="R17" s="52"/>
      <c r="S17" s="52"/>
      <c r="T17" s="52"/>
      <c r="U17" s="53"/>
    </row>
    <row r="18" s="3" customFormat="1" ht="15" customHeight="1" spans="1:21">
      <c r="A18" s="40">
        <v>0.458333333333333</v>
      </c>
      <c r="B18" s="41" t="s">
        <v>11</v>
      </c>
      <c r="C18" s="42"/>
      <c r="D18" s="41" t="s">
        <v>26</v>
      </c>
      <c r="E18" s="42"/>
      <c r="F18" s="41">
        <v>396</v>
      </c>
      <c r="G18" s="42"/>
      <c r="H18" s="43">
        <f t="shared" si="0"/>
        <v>396</v>
      </c>
      <c r="I18" s="44">
        <f t="shared" si="1"/>
        <v>396</v>
      </c>
      <c r="J18" s="45">
        <f t="shared" si="2"/>
        <v>1</v>
      </c>
      <c r="K18" s="46">
        <v>0.458333333333333</v>
      </c>
      <c r="L18" s="47">
        <v>3300</v>
      </c>
      <c r="M18" s="54">
        <v>170.91</v>
      </c>
      <c r="N18" s="49">
        <f t="shared" si="3"/>
        <v>360.000000000014</v>
      </c>
      <c r="O18" s="56"/>
      <c r="P18" s="51"/>
      <c r="Q18" s="52"/>
      <c r="R18" s="52"/>
      <c r="S18" s="52"/>
      <c r="T18" s="52"/>
      <c r="U18" s="53"/>
    </row>
    <row r="19" s="3" customFormat="1" ht="15" customHeight="1" spans="1:21">
      <c r="A19" s="40">
        <v>0.5</v>
      </c>
      <c r="B19" s="41" t="s">
        <v>11</v>
      </c>
      <c r="C19" s="42"/>
      <c r="D19" s="41">
        <v>209</v>
      </c>
      <c r="E19" s="42"/>
      <c r="F19" s="41" t="s">
        <v>26</v>
      </c>
      <c r="G19" s="42"/>
      <c r="H19" s="43">
        <f t="shared" si="0"/>
        <v>209</v>
      </c>
      <c r="I19" s="44">
        <f t="shared" si="1"/>
        <v>209</v>
      </c>
      <c r="J19" s="45">
        <f t="shared" si="2"/>
        <v>1</v>
      </c>
      <c r="K19" s="46">
        <v>0.5</v>
      </c>
      <c r="L19" s="47">
        <v>3300</v>
      </c>
      <c r="M19" s="54">
        <v>170.94</v>
      </c>
      <c r="N19" s="49">
        <f t="shared" si="3"/>
        <v>360.000000000014</v>
      </c>
      <c r="O19" s="56"/>
      <c r="P19" s="51"/>
      <c r="Q19" s="52"/>
      <c r="R19" s="52"/>
      <c r="S19" s="52"/>
      <c r="T19" s="52"/>
      <c r="U19" s="53"/>
    </row>
    <row r="20" s="3" customFormat="1" ht="15" customHeight="1" spans="1:21">
      <c r="A20" s="40">
        <v>0.541666666666667</v>
      </c>
      <c r="B20" s="41" t="s">
        <v>11</v>
      </c>
      <c r="C20" s="42"/>
      <c r="D20" s="41">
        <v>371</v>
      </c>
      <c r="E20" s="42"/>
      <c r="F20" s="41" t="s">
        <v>26</v>
      </c>
      <c r="G20" s="42"/>
      <c r="H20" s="43">
        <f t="shared" si="0"/>
        <v>371</v>
      </c>
      <c r="I20" s="44">
        <f t="shared" si="1"/>
        <v>371</v>
      </c>
      <c r="J20" s="45">
        <f t="shared" si="2"/>
        <v>1</v>
      </c>
      <c r="K20" s="46">
        <v>0.541666666666667</v>
      </c>
      <c r="L20" s="47">
        <v>3000</v>
      </c>
      <c r="M20" s="54">
        <v>170.97</v>
      </c>
      <c r="N20" s="49">
        <f t="shared" si="3"/>
        <v>360.000000000014</v>
      </c>
      <c r="O20" s="56"/>
      <c r="P20" s="51"/>
      <c r="Q20" s="52"/>
      <c r="R20" s="52"/>
      <c r="S20" s="52"/>
      <c r="T20" s="52"/>
      <c r="U20" s="53"/>
    </row>
    <row r="21" s="3" customFormat="1" ht="15" customHeight="1" spans="1:21">
      <c r="A21" s="40">
        <v>0.583333333333333</v>
      </c>
      <c r="B21" s="41" t="s">
        <v>11</v>
      </c>
      <c r="C21" s="42"/>
      <c r="D21" s="41">
        <v>162</v>
      </c>
      <c r="E21" s="42"/>
      <c r="F21" s="41" t="s">
        <v>26</v>
      </c>
      <c r="G21" s="42"/>
      <c r="H21" s="43">
        <f t="shared" si="0"/>
        <v>162</v>
      </c>
      <c r="I21" s="44">
        <f t="shared" si="1"/>
        <v>162</v>
      </c>
      <c r="J21" s="45">
        <f t="shared" si="2"/>
        <v>1</v>
      </c>
      <c r="K21" s="46">
        <v>0.583333333333333</v>
      </c>
      <c r="L21" s="47">
        <v>3000</v>
      </c>
      <c r="M21" s="54">
        <v>171</v>
      </c>
      <c r="N21" s="49">
        <f t="shared" si="3"/>
        <v>360.000000000014</v>
      </c>
      <c r="O21" s="56"/>
      <c r="P21" s="51"/>
      <c r="Q21" s="52"/>
      <c r="R21" s="52"/>
      <c r="S21" s="52"/>
      <c r="T21" s="52"/>
      <c r="U21" s="53"/>
    </row>
    <row r="22" s="3" customFormat="1" ht="15" customHeight="1" spans="1:21">
      <c r="A22" s="40">
        <v>0.625</v>
      </c>
      <c r="B22" s="41" t="s">
        <v>11</v>
      </c>
      <c r="C22" s="42"/>
      <c r="D22" s="41">
        <v>331</v>
      </c>
      <c r="E22" s="42"/>
      <c r="F22" s="41" t="s">
        <v>26</v>
      </c>
      <c r="G22" s="42"/>
      <c r="H22" s="43">
        <f t="shared" si="0"/>
        <v>331</v>
      </c>
      <c r="I22" s="44">
        <f t="shared" si="1"/>
        <v>331</v>
      </c>
      <c r="J22" s="45">
        <f t="shared" si="2"/>
        <v>1</v>
      </c>
      <c r="K22" s="46">
        <v>0.625</v>
      </c>
      <c r="L22" s="47">
        <v>3000</v>
      </c>
      <c r="M22" s="54">
        <v>171.03</v>
      </c>
      <c r="N22" s="49">
        <f t="shared" si="3"/>
        <v>360.000000000014</v>
      </c>
      <c r="O22" s="56"/>
      <c r="P22" s="51"/>
      <c r="Q22" s="52"/>
      <c r="R22" s="52"/>
      <c r="S22" s="52"/>
      <c r="T22" s="52"/>
      <c r="U22" s="53"/>
    </row>
    <row r="23" s="3" customFormat="1" ht="15" customHeight="1" spans="1:21">
      <c r="A23" s="40">
        <v>0.666666666666667</v>
      </c>
      <c r="B23" s="41" t="s">
        <v>11</v>
      </c>
      <c r="C23" s="42"/>
      <c r="D23" s="41">
        <v>331</v>
      </c>
      <c r="E23" s="42"/>
      <c r="F23" s="41" t="s">
        <v>26</v>
      </c>
      <c r="G23" s="42"/>
      <c r="H23" s="43">
        <f t="shared" si="0"/>
        <v>331</v>
      </c>
      <c r="I23" s="44">
        <f t="shared" si="1"/>
        <v>331</v>
      </c>
      <c r="J23" s="45">
        <f t="shared" si="2"/>
        <v>1</v>
      </c>
      <c r="K23" s="46">
        <v>0.666666666666666</v>
      </c>
      <c r="L23" s="47">
        <v>3000</v>
      </c>
      <c r="M23" s="54">
        <v>171.06</v>
      </c>
      <c r="N23" s="49">
        <f t="shared" si="3"/>
        <v>479.999999999905</v>
      </c>
      <c r="O23" s="56"/>
      <c r="P23" s="51"/>
      <c r="Q23" s="52"/>
      <c r="R23" s="52"/>
      <c r="S23" s="52"/>
      <c r="T23" s="52"/>
      <c r="U23" s="53"/>
    </row>
    <row r="24" s="3" customFormat="1" ht="15" customHeight="1" spans="1:21">
      <c r="A24" s="40">
        <v>0.708333333333334</v>
      </c>
      <c r="B24" s="41" t="s">
        <v>11</v>
      </c>
      <c r="C24" s="42"/>
      <c r="D24" s="41">
        <v>213</v>
      </c>
      <c r="E24" s="42"/>
      <c r="F24" s="41">
        <v>224</v>
      </c>
      <c r="G24" s="42"/>
      <c r="H24" s="43">
        <f t="shared" si="0"/>
        <v>437</v>
      </c>
      <c r="I24" s="44">
        <f t="shared" si="1"/>
        <v>218.5</v>
      </c>
      <c r="J24" s="45">
        <f t="shared" si="2"/>
        <v>2</v>
      </c>
      <c r="K24" s="46">
        <v>0.708333333333333</v>
      </c>
      <c r="L24" s="47">
        <v>2700</v>
      </c>
      <c r="M24" s="54">
        <v>171.1</v>
      </c>
      <c r="N24" s="49">
        <f t="shared" si="3"/>
        <v>479.999999999905</v>
      </c>
      <c r="O24" s="56"/>
      <c r="P24" s="51"/>
      <c r="Q24" s="52"/>
      <c r="R24" s="52"/>
      <c r="S24" s="52"/>
      <c r="T24" s="52"/>
      <c r="U24" s="53"/>
    </row>
    <row r="25" s="3" customFormat="1" ht="15" customHeight="1" spans="1:21">
      <c r="A25" s="40">
        <v>0.75</v>
      </c>
      <c r="B25" s="41" t="s">
        <v>11</v>
      </c>
      <c r="C25" s="42"/>
      <c r="D25" s="41">
        <v>246</v>
      </c>
      <c r="E25" s="42"/>
      <c r="F25" s="41">
        <v>331</v>
      </c>
      <c r="G25" s="42"/>
      <c r="H25" s="43">
        <f t="shared" si="0"/>
        <v>577</v>
      </c>
      <c r="I25" s="44">
        <f t="shared" si="1"/>
        <v>288.5</v>
      </c>
      <c r="J25" s="45">
        <f t="shared" si="2"/>
        <v>2</v>
      </c>
      <c r="K25" s="46">
        <v>0.75</v>
      </c>
      <c r="L25" s="47">
        <v>2400</v>
      </c>
      <c r="M25" s="54">
        <v>171.14</v>
      </c>
      <c r="N25" s="49">
        <f t="shared" si="3"/>
        <v>720.000000000027</v>
      </c>
      <c r="O25" s="56"/>
      <c r="P25" s="51"/>
      <c r="Q25" s="52"/>
      <c r="R25" s="52"/>
      <c r="S25" s="52"/>
      <c r="T25" s="52"/>
      <c r="U25" s="53"/>
    </row>
    <row r="26" s="3" customFormat="1" ht="15" customHeight="1" spans="1:21">
      <c r="A26" s="40">
        <v>0.791666666666667</v>
      </c>
      <c r="B26" s="41" t="s">
        <v>11</v>
      </c>
      <c r="C26" s="42"/>
      <c r="D26" s="41">
        <v>332</v>
      </c>
      <c r="E26" s="42"/>
      <c r="F26" s="41">
        <v>324</v>
      </c>
      <c r="G26" s="42"/>
      <c r="H26" s="43">
        <f t="shared" si="0"/>
        <v>656</v>
      </c>
      <c r="I26" s="44">
        <f t="shared" si="1"/>
        <v>328</v>
      </c>
      <c r="J26" s="45">
        <f t="shared" si="2"/>
        <v>2</v>
      </c>
      <c r="K26" s="46">
        <v>0.791666666666666</v>
      </c>
      <c r="L26" s="47">
        <v>2100</v>
      </c>
      <c r="M26" s="54">
        <v>171.2</v>
      </c>
      <c r="N26" s="49">
        <f t="shared" si="3"/>
        <v>600.000000000136</v>
      </c>
      <c r="O26" s="56"/>
      <c r="P26" s="51"/>
      <c r="Q26" s="52"/>
      <c r="R26" s="52"/>
      <c r="S26" s="52"/>
      <c r="T26" s="52"/>
      <c r="U26" s="53"/>
    </row>
    <row r="27" s="3" customFormat="1" ht="15" customHeight="1" spans="1:21">
      <c r="A27" s="40">
        <v>0.833333333333334</v>
      </c>
      <c r="B27" s="41" t="s">
        <v>11</v>
      </c>
      <c r="C27" s="42"/>
      <c r="D27" s="41">
        <v>307</v>
      </c>
      <c r="E27" s="42"/>
      <c r="F27" s="41">
        <v>304</v>
      </c>
      <c r="G27" s="42"/>
      <c r="H27" s="43">
        <f t="shared" si="0"/>
        <v>611</v>
      </c>
      <c r="I27" s="44">
        <f t="shared" si="1"/>
        <v>305.5</v>
      </c>
      <c r="J27" s="45">
        <f t="shared" si="2"/>
        <v>2</v>
      </c>
      <c r="K27" s="46">
        <v>0.833333333333333</v>
      </c>
      <c r="L27" s="47">
        <v>2100</v>
      </c>
      <c r="M27" s="54">
        <v>171.25</v>
      </c>
      <c r="N27" s="49">
        <f t="shared" si="3"/>
        <v>600.000000000136</v>
      </c>
      <c r="O27" s="56"/>
      <c r="P27" s="51"/>
      <c r="Q27" s="52"/>
      <c r="R27" s="52"/>
      <c r="S27" s="52"/>
      <c r="T27" s="52"/>
      <c r="U27" s="53"/>
    </row>
    <row r="28" s="4" customFormat="1" ht="15" customHeight="1" spans="1:21">
      <c r="A28" s="40">
        <v>0.875</v>
      </c>
      <c r="B28" s="41" t="s">
        <v>11</v>
      </c>
      <c r="C28" s="42"/>
      <c r="D28" s="41">
        <v>290</v>
      </c>
      <c r="E28" s="42"/>
      <c r="F28" s="41">
        <v>305</v>
      </c>
      <c r="G28" s="42"/>
      <c r="H28" s="43">
        <f t="shared" si="0"/>
        <v>595</v>
      </c>
      <c r="I28" s="44">
        <f t="shared" si="1"/>
        <v>297.5</v>
      </c>
      <c r="J28" s="45">
        <f t="shared" si="2"/>
        <v>2</v>
      </c>
      <c r="K28" s="46">
        <v>0.875</v>
      </c>
      <c r="L28" s="47">
        <v>1800</v>
      </c>
      <c r="M28" s="54">
        <v>171.3</v>
      </c>
      <c r="N28" s="49">
        <f t="shared" si="3"/>
        <v>720.000000000027</v>
      </c>
      <c r="O28" s="56"/>
      <c r="P28" s="51"/>
      <c r="Q28" s="52"/>
      <c r="R28" s="52"/>
      <c r="S28" s="52"/>
      <c r="T28" s="52"/>
      <c r="U28" s="53"/>
    </row>
    <row r="29" s="3" customFormat="1" ht="15" customHeight="1" spans="1:21">
      <c r="A29" s="40">
        <v>0.916666666666667</v>
      </c>
      <c r="B29" s="41" t="s">
        <v>11</v>
      </c>
      <c r="C29" s="42"/>
      <c r="D29" s="41">
        <v>275</v>
      </c>
      <c r="E29" s="42"/>
      <c r="F29" s="41">
        <v>264</v>
      </c>
      <c r="G29" s="42"/>
      <c r="H29" s="43">
        <f t="shared" si="0"/>
        <v>539</v>
      </c>
      <c r="I29" s="44">
        <f t="shared" si="1"/>
        <v>269.5</v>
      </c>
      <c r="J29" s="45">
        <f t="shared" si="2"/>
        <v>2</v>
      </c>
      <c r="K29" s="46">
        <v>0.916666666666666</v>
      </c>
      <c r="L29" s="47">
        <v>1800</v>
      </c>
      <c r="M29" s="54">
        <v>171.36</v>
      </c>
      <c r="N29" s="49">
        <f t="shared" si="3"/>
        <v>479.999999999905</v>
      </c>
      <c r="O29" s="56"/>
      <c r="P29" s="51"/>
      <c r="Q29" s="52"/>
      <c r="R29" s="52"/>
      <c r="S29" s="52"/>
      <c r="T29" s="52"/>
      <c r="U29" s="53"/>
    </row>
    <row r="30" s="3" customFormat="1" ht="15" customHeight="1" spans="1:21">
      <c r="A30" s="40">
        <v>0.958333333333334</v>
      </c>
      <c r="B30" s="41" t="s">
        <v>11</v>
      </c>
      <c r="C30" s="42"/>
      <c r="D30" s="41">
        <v>245</v>
      </c>
      <c r="E30" s="42"/>
      <c r="F30" s="41">
        <v>241</v>
      </c>
      <c r="G30" s="42"/>
      <c r="H30" s="43">
        <f t="shared" si="0"/>
        <v>486</v>
      </c>
      <c r="I30" s="44">
        <f t="shared" si="1"/>
        <v>243</v>
      </c>
      <c r="J30" s="45">
        <f t="shared" si="2"/>
        <v>2</v>
      </c>
      <c r="K30" s="46">
        <v>0.958333333333333</v>
      </c>
      <c r="L30" s="47">
        <v>1800</v>
      </c>
      <c r="M30" s="54">
        <v>171.4</v>
      </c>
      <c r="N30" s="49">
        <f t="shared" si="3"/>
        <v>479.999999999905</v>
      </c>
      <c r="O30" s="56"/>
      <c r="P30" s="51"/>
      <c r="Q30" s="52"/>
      <c r="R30" s="52"/>
      <c r="S30" s="52"/>
      <c r="T30" s="52"/>
      <c r="U30" s="53"/>
    </row>
    <row r="31" s="2" customFormat="1" ht="15" customHeight="1" spans="1:21">
      <c r="A31" s="57">
        <v>1</v>
      </c>
      <c r="B31" s="41" t="s">
        <v>11</v>
      </c>
      <c r="C31" s="42"/>
      <c r="D31" s="41" t="s">
        <v>26</v>
      </c>
      <c r="E31" s="42"/>
      <c r="F31" s="41">
        <v>220</v>
      </c>
      <c r="G31" s="42"/>
      <c r="H31" s="43">
        <f t="shared" si="0"/>
        <v>220</v>
      </c>
      <c r="I31" s="58">
        <f t="shared" si="1"/>
        <v>220</v>
      </c>
      <c r="J31" s="59">
        <f t="shared" si="2"/>
        <v>1</v>
      </c>
      <c r="K31" s="60">
        <v>1</v>
      </c>
      <c r="L31" s="47">
        <v>4500</v>
      </c>
      <c r="M31" s="61">
        <v>171.44</v>
      </c>
      <c r="N31" s="49">
        <f>H31</f>
        <v>220</v>
      </c>
      <c r="O31" s="56"/>
      <c r="P31" s="51"/>
      <c r="Q31" s="52"/>
      <c r="R31" s="52"/>
      <c r="S31" s="52"/>
      <c r="T31" s="52"/>
      <c r="U31" s="53"/>
    </row>
    <row r="32" s="3" customFormat="1" ht="23.25" customHeight="1" spans="1:21">
      <c r="A32" s="62" t="s">
        <v>12</v>
      </c>
      <c r="B32" s="63">
        <f>SUM(B8:B31)/1000</f>
        <v>0</v>
      </c>
      <c r="C32" s="64"/>
      <c r="D32" s="63">
        <f>SUM(D8:D31)/1000</f>
        <v>5.213</v>
      </c>
      <c r="E32" s="64"/>
      <c r="F32" s="63">
        <f>SUM(F8:F31)/1000</f>
        <v>5.404</v>
      </c>
      <c r="G32" s="64"/>
      <c r="H32" s="65">
        <f>SUM(H8:H31)</f>
        <v>10617</v>
      </c>
      <c r="I32" s="66" t="s">
        <v>13</v>
      </c>
      <c r="J32" s="67"/>
      <c r="K32" s="68"/>
      <c r="L32" s="69"/>
      <c r="M32" s="70">
        <f>SUM(M31-M8+N8)</f>
        <v>480.969999999905</v>
      </c>
      <c r="N32" s="71">
        <f>SUM(N8:N31)</f>
        <v>11860</v>
      </c>
      <c r="O32" s="72">
        <f>SUM(O8:O31)</f>
        <v>0</v>
      </c>
      <c r="P32" s="73"/>
      <c r="Q32" s="74"/>
      <c r="R32" s="74"/>
      <c r="S32" s="74"/>
      <c r="T32" s="74"/>
      <c r="U32" s="75"/>
    </row>
    <row r="33" ht="15" customHeight="1" spans="1:29">
      <c r="A33" s="76" t="s">
        <v>14</v>
      </c>
      <c r="B33" s="77" t="str">
        <f>IFERROR((AVERAGE(B8:B31)),"0")</f>
        <v>0</v>
      </c>
      <c r="C33" s="78"/>
      <c r="D33" s="79">
        <f>IFERROR((AVERAGE(D8:D31)),"0")</f>
        <v>260.65</v>
      </c>
      <c r="E33" s="78"/>
      <c r="F33" s="79">
        <f>IFERROR((AVERAGE(F8:F31)),"0")</f>
        <v>284.421052631579</v>
      </c>
      <c r="G33" s="80"/>
      <c r="H33" s="81">
        <f>H32*1000</f>
        <v>10617000</v>
      </c>
      <c r="I33" s="82" t="s">
        <v>15</v>
      </c>
      <c r="J33" s="83"/>
      <c r="K33" s="84"/>
      <c r="L33" s="85"/>
      <c r="M33" s="86"/>
      <c r="N33" s="85"/>
      <c r="O33" s="87"/>
      <c r="P33" s="87"/>
      <c r="Q33" s="88"/>
      <c r="R33" s="88"/>
      <c r="S33" s="89"/>
      <c r="T33" s="89"/>
      <c r="U33" s="89"/>
      <c r="V33" s="89"/>
    </row>
    <row r="34" ht="18.75" customHeight="1" spans="1:29">
      <c r="A34" s="90"/>
      <c r="B34" s="91"/>
      <c r="C34" s="92"/>
      <c r="D34" s="93"/>
      <c r="E34" s="92"/>
      <c r="F34" s="93"/>
      <c r="G34" s="94"/>
      <c r="H34" s="95"/>
      <c r="I34" s="96"/>
      <c r="J34" s="97"/>
      <c r="K34" s="98"/>
      <c r="L34" s="85"/>
      <c r="M34" s="86"/>
      <c r="N34" s="99"/>
      <c r="O34" s="99"/>
      <c r="P34" s="99"/>
      <c r="Q34" s="99"/>
      <c r="R34" s="88"/>
      <c r="S34" s="89"/>
      <c r="T34" s="89"/>
      <c r="U34" s="89"/>
      <c r="V34" s="89"/>
    </row>
    <row r="35" ht="22.5" customHeight="1" spans="1:29">
      <c r="A35" s="100" t="s">
        <v>16</v>
      </c>
      <c r="B35" s="101">
        <f>COUNT(B8:B31)</f>
        <v>0</v>
      </c>
      <c r="C35" s="102"/>
      <c r="D35" s="103">
        <f>COUNT(D8:D31)</f>
        <v>20</v>
      </c>
      <c r="E35" s="102"/>
      <c r="F35" s="103">
        <f>COUNT(F8:F31)</f>
        <v>19</v>
      </c>
      <c r="G35" s="104"/>
      <c r="H35" s="105"/>
      <c r="I35" s="106"/>
      <c r="J35" s="107"/>
      <c r="K35" s="107"/>
      <c r="L35" s="107"/>
      <c r="M35" s="107"/>
      <c r="N35" s="99"/>
      <c r="O35" s="99"/>
      <c r="P35" s="99"/>
      <c r="Q35" s="99"/>
      <c r="R35" s="108"/>
      <c r="S35" s="89"/>
      <c r="T35" s="89"/>
      <c r="U35" s="89"/>
      <c r="V35" s="89"/>
    </row>
    <row r="36" ht="9" customHeight="1" spans="1:29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10"/>
      <c r="N36" s="106"/>
      <c r="O36" s="107"/>
      <c r="P36" s="107"/>
      <c r="Q36" s="107"/>
      <c r="R36" s="107"/>
      <c r="S36" s="107"/>
      <c r="T36" s="107"/>
      <c r="U36" s="111"/>
      <c r="V36" s="112"/>
      <c r="W36" s="108"/>
      <c r="X36" s="108"/>
      <c r="Y36" s="108"/>
      <c r="Z36" s="89"/>
      <c r="AA36" s="89"/>
      <c r="AB36" s="89"/>
      <c r="AC36" s="89"/>
    </row>
    <row r="37" ht="24" customHeight="1" spans="1:29">
      <c r="D37" s="113"/>
      <c r="E37" s="113"/>
      <c r="F37" s="113"/>
      <c r="G37" s="113"/>
      <c r="H37" s="113"/>
      <c r="I37" s="113"/>
      <c r="J37" s="113"/>
      <c r="K37" s="114"/>
      <c r="L37" s="114"/>
      <c r="N37" s="115" t="s">
        <v>17</v>
      </c>
      <c r="O37" s="116"/>
      <c r="P37" s="116"/>
      <c r="Q37" s="117"/>
      <c r="R37" s="118">
        <f>SUM(B35:F35)</f>
        <v>39</v>
      </c>
      <c r="S37" s="69"/>
      <c r="T37" s="69"/>
      <c r="U37" s="69"/>
      <c r="V37" s="69"/>
      <c r="X37" s="119"/>
      <c r="Y37" s="119"/>
      <c r="Z37" s="119"/>
      <c r="AA37" s="119"/>
      <c r="AB37" s="119"/>
      <c r="AC37" s="114"/>
    </row>
    <row r="38" ht="15" spans="1:29">
      <c r="D38" s="113"/>
      <c r="E38" s="113"/>
      <c r="F38" s="113"/>
      <c r="G38" s="113"/>
      <c r="H38" s="113"/>
      <c r="I38" s="113"/>
      <c r="J38" s="113"/>
      <c r="K38" s="114"/>
      <c r="L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</row>
    <row r="39" ht="24.75" customHeight="1" spans="1:29">
      <c r="A39" s="120" t="s">
        <v>18</v>
      </c>
      <c r="B39" s="121"/>
      <c r="C39" s="122">
        <f>MAX(H8:H31)</f>
        <v>656</v>
      </c>
      <c r="D39" s="123"/>
      <c r="E39" s="124">
        <f>VLOOKUP(C39,H8:L31,4,FALSE)</f>
        <v>0.791666666666666</v>
      </c>
      <c r="F39" s="125"/>
      <c r="G39" s="125"/>
      <c r="H39" s="126" t="s">
        <v>19</v>
      </c>
      <c r="I39" s="127"/>
      <c r="J39" s="128"/>
      <c r="K39" s="129">
        <f>MAX(J8:J31)</f>
        <v>2</v>
      </c>
      <c r="L39" s="130"/>
      <c r="N39" s="131" t="s">
        <v>20</v>
      </c>
      <c r="O39" s="132"/>
      <c r="P39" s="132"/>
      <c r="Q39" s="133"/>
      <c r="R39" s="134">
        <f>AVERAGE(H8:H31)</f>
        <v>442.375</v>
      </c>
      <c r="S39" s="135"/>
      <c r="T39" s="135"/>
    </row>
    <row r="40" ht="15" spans="1:29">
      <c r="C40" s="136"/>
      <c r="D40" s="137"/>
      <c r="E40" s="138"/>
      <c r="F40" s="138"/>
      <c r="G40" s="138"/>
      <c r="H40" s="138"/>
      <c r="I40" s="139"/>
      <c r="J40" s="106"/>
      <c r="K40" s="110"/>
      <c r="L40" s="110"/>
      <c r="N40" s="140"/>
      <c r="O40" s="140"/>
      <c r="P40" s="140"/>
      <c r="Q40" s="140"/>
      <c r="R40" s="140"/>
      <c r="X40" s="5"/>
      <c r="Y40" s="5"/>
      <c r="Z40" s="5"/>
      <c r="AA40" s="5"/>
      <c r="AB40" s="5"/>
      <c r="AC40" s="141"/>
    </row>
    <row r="41" ht="24.75" customHeight="1" spans="1:29">
      <c r="A41" s="120" t="s">
        <v>21</v>
      </c>
      <c r="B41" s="121"/>
      <c r="C41" s="122">
        <f>MIN(H8:H31)</f>
        <v>162</v>
      </c>
      <c r="D41" s="123"/>
      <c r="E41" s="124">
        <f>VLOOKUP(C41,H8:L31,4,FALSE)</f>
        <v>0.583333333333333</v>
      </c>
      <c r="F41" s="142"/>
      <c r="G41" s="125"/>
      <c r="H41" s="126" t="s">
        <v>22</v>
      </c>
      <c r="I41" s="127"/>
      <c r="J41" s="128"/>
      <c r="K41" s="129">
        <f>MIN(J8:J31)</f>
        <v>1</v>
      </c>
      <c r="L41" s="130"/>
      <c r="N41" s="126" t="s">
        <v>23</v>
      </c>
      <c r="O41" s="127"/>
      <c r="P41" s="127"/>
      <c r="Q41" s="128"/>
      <c r="R41" s="143">
        <f>AVERAGE(I8:I31)</f>
        <v>281.708333333333</v>
      </c>
      <c r="S41" s="144"/>
      <c r="T41" s="144"/>
      <c r="U41" s="144"/>
      <c r="V41" s="144"/>
      <c r="X41" s="145"/>
    </row>
    <row r="42" ht="15" spans="1:29">
      <c r="D42" s="138"/>
      <c r="E42" s="138"/>
      <c r="F42" s="138"/>
      <c r="G42" s="138"/>
      <c r="H42" s="138"/>
      <c r="I42" s="146"/>
      <c r="J42" s="138"/>
      <c r="K42" s="147"/>
      <c r="L42" s="147"/>
      <c r="V42" s="148"/>
      <c r="W42" s="148"/>
      <c r="X42" s="149"/>
      <c r="Y42" s="149"/>
      <c r="Z42" s="150"/>
      <c r="AA42" s="150"/>
      <c r="AB42" s="150"/>
      <c r="AC42" s="150"/>
    </row>
    <row r="43" ht="24.75" customHeight="1" spans="1:29">
      <c r="C43" s="136"/>
      <c r="H43" s="151"/>
      <c r="I43" s="151"/>
      <c r="J43" s="151"/>
      <c r="K43" s="145"/>
      <c r="L43" s="139"/>
      <c r="N43" s="152" t="s">
        <v>24</v>
      </c>
      <c r="O43" s="153"/>
      <c r="P43" s="153"/>
      <c r="Q43" s="154"/>
      <c r="R43" s="155" t="e">
        <f>AVERAGE(T8:T31)</f>
        <v>#DIV/0!</v>
      </c>
      <c r="X43" s="156"/>
      <c r="Z43" s="157"/>
      <c r="AA43" s="157"/>
      <c r="AB43" s="157"/>
      <c r="AC43" s="157"/>
    </row>
    <row r="44" ht="19.5" spans="1:29">
      <c r="I44" s="158"/>
      <c r="K44" s="159"/>
      <c r="L44" s="159"/>
      <c r="Z44" s="160"/>
      <c r="AA44" s="160"/>
      <c r="AB44" s="160"/>
      <c r="AC44" s="160"/>
    </row>
    <row r="45" ht="24.75" customHeight="1" spans="1:29">
      <c r="D45" s="158"/>
      <c r="E45" s="158"/>
      <c r="F45" s="158"/>
      <c r="G45" s="158"/>
      <c r="H45" s="158"/>
      <c r="N45" s="126" t="s">
        <v>25</v>
      </c>
      <c r="O45" s="127"/>
      <c r="P45" s="127"/>
      <c r="Q45" s="128"/>
      <c r="R45" s="161">
        <f>SUM(M32-H32)/24</f>
        <v>-422.334583333337</v>
      </c>
      <c r="X45" s="162"/>
      <c r="Z45" s="163"/>
      <c r="AA45" s="163"/>
      <c r="AB45" s="163"/>
      <c r="AC45" s="163"/>
    </row>
    <row r="46" spans="1:29">
      <c r="Z46" s="164"/>
      <c r="AA46" s="164"/>
      <c r="AB46" s="164"/>
      <c r="AC46" s="164"/>
    </row>
    <row r="47" spans="1:29">
      <c r="Z47" s="139"/>
      <c r="AA47" s="139"/>
      <c r="AB47" s="139"/>
      <c r="AC47" s="139"/>
    </row>
    <row r="48" spans="1:29">
      <c r="Z48" s="139"/>
      <c r="AA48" s="139"/>
      <c r="AB48" s="139"/>
      <c r="AC48" s="139"/>
    </row>
    <row r="49" spans="11:29">
      <c r="Z49" s="157"/>
      <c r="AA49" s="157"/>
      <c r="AB49" s="157"/>
      <c r="AC49" s="157"/>
    </row>
    <row r="50" spans="11:29">
      <c r="Z50" s="157"/>
      <c r="AA50" s="157"/>
      <c r="AB50" s="157"/>
      <c r="AC50" s="157"/>
    </row>
    <row r="51" spans="11:29">
      <c r="K51" s="150"/>
      <c r="L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0"/>
      <c r="AC51" s="150"/>
    </row>
    <row r="52" spans="11:29">
      <c r="K52" s="150"/>
      <c r="L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  <c r="AB52" s="150"/>
      <c r="AC52" s="150"/>
    </row>
    <row r="53" spans="11:29">
      <c r="K53" s="150"/>
      <c r="L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50"/>
      <c r="AB53" s="150"/>
      <c r="AC53" s="150"/>
    </row>
    <row r="60" spans="11:29">
      <c r="O60" s="165"/>
      <c r="P60" s="165"/>
      <c r="Q60" s="165"/>
      <c r="R60" s="165"/>
      <c r="S60" s="165"/>
      <c r="T60" s="165"/>
    </row>
    <row r="61" spans="11:29">
      <c r="O61" s="165"/>
      <c r="P61" s="165"/>
      <c r="Q61" s="165"/>
      <c r="R61" s="165"/>
      <c r="S61" s="165"/>
      <c r="T61" s="165"/>
    </row>
    <row r="62" spans="11:29">
      <c r="O62" s="165"/>
      <c r="P62" s="165"/>
      <c r="Q62" s="165"/>
      <c r="R62" s="165"/>
      <c r="S62" s="165"/>
      <c r="T62" s="165"/>
    </row>
    <row r="63" spans="11:29">
      <c r="O63" s="165"/>
      <c r="P63" s="165"/>
      <c r="Q63" s="165"/>
      <c r="R63" s="165"/>
      <c r="S63" s="165"/>
      <c r="T63" s="165"/>
    </row>
    <row r="64" spans="11:29">
      <c r="O64" s="165"/>
      <c r="P64" s="165"/>
      <c r="Q64" s="165"/>
      <c r="R64" s="165"/>
      <c r="S64" s="165"/>
      <c r="T64" s="165"/>
    </row>
    <row r="65" spans="15:20">
      <c r="O65" s="165"/>
      <c r="P65" s="165"/>
      <c r="Q65" s="165"/>
      <c r="R65" s="165"/>
      <c r="S65" s="165"/>
      <c r="T65" s="165"/>
    </row>
    <row r="66" spans="15:20">
      <c r="O66" s="165"/>
      <c r="P66" s="165"/>
      <c r="Q66" s="165"/>
      <c r="R66" s="165"/>
      <c r="S66" s="165"/>
      <c r="T66" s="165"/>
    </row>
    <row r="67" spans="15:20">
      <c r="O67" s="165"/>
      <c r="P67" s="165"/>
      <c r="Q67" s="165"/>
      <c r="R67" s="165"/>
      <c r="S67" s="165"/>
      <c r="T67" s="165"/>
    </row>
    <row r="68" spans="15:20">
      <c r="O68" s="165"/>
      <c r="P68" s="165"/>
      <c r="Q68" s="165"/>
      <c r="R68" s="165"/>
      <c r="S68" s="165"/>
      <c r="T68" s="165"/>
    </row>
  </sheetData>
  <mergeCells count="116">
    <mergeCell ref="H4:K4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B29:C29"/>
    <mergeCell ref="D29:E29"/>
    <mergeCell ref="F29:G2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N34:Q34"/>
    <mergeCell ref="B35:C35"/>
    <mergeCell ref="D35:E35"/>
    <mergeCell ref="F35:G35"/>
    <mergeCell ref="N35:Q35"/>
    <mergeCell ref="N37:Q37"/>
    <mergeCell ref="A39:B39"/>
    <mergeCell ref="C39:D39"/>
    <mergeCell ref="H39:J39"/>
    <mergeCell ref="N39:Q39"/>
    <mergeCell ref="A41:B41"/>
    <mergeCell ref="C41:D41"/>
    <mergeCell ref="H41:J41"/>
    <mergeCell ref="N41:Q41"/>
    <mergeCell ref="H43:J43"/>
    <mergeCell ref="N43:Q43"/>
    <mergeCell ref="N45:Q45"/>
    <mergeCell ref="A6:A7"/>
    <mergeCell ref="A33:A34"/>
    <mergeCell ref="H6:H7"/>
    <mergeCell ref="H33:H34"/>
    <mergeCell ref="I6:I7"/>
    <mergeCell ref="I33:I34"/>
    <mergeCell ref="J6:J7"/>
    <mergeCell ref="K6:K7"/>
    <mergeCell ref="L6:L7"/>
    <mergeCell ref="M6:M7"/>
    <mergeCell ref="N6:N7"/>
    <mergeCell ref="O6:O7"/>
    <mergeCell ref="T6:T7"/>
    <mergeCell ref="U6:U7"/>
    <mergeCell ref="B33:C34"/>
    <mergeCell ref="D33:E34"/>
    <mergeCell ref="F33:G34"/>
  </mergeCells>
  <conditionalFormatting sqref="O8">
    <cfRule type="cellIs" dxfId="0" priority="10" operator="equal">
      <formula>"N/A"</formula>
    </cfRule>
  </conditionalFormatting>
  <conditionalFormatting sqref="A30">
    <cfRule type="cellIs" dxfId="1" priority="11" operator="equal">
      <formula>"STB"</formula>
    </cfRule>
    <cfRule type="cellIs" dxfId="0" priority="12" operator="equal">
      <formula>"BD"</formula>
    </cfRule>
  </conditionalFormatting>
  <conditionalFormatting sqref="B8:B31">
    <cfRule type="cellIs" dxfId="1" priority="1" operator="equal">
      <formula>"STB"</formula>
    </cfRule>
    <cfRule type="cellIs" dxfId="0" priority="2" operator="equal">
      <formula>"BD"</formula>
    </cfRule>
  </conditionalFormatting>
  <conditionalFormatting sqref="D8:D31">
    <cfRule type="cellIs" dxfId="1" priority="8" operator="equal">
      <formula>"STB"</formula>
    </cfRule>
    <cfRule type="cellIs" dxfId="0" priority="9" operator="equal">
      <formula>"BD"</formula>
    </cfRule>
  </conditionalFormatting>
  <conditionalFormatting sqref="F8:F31">
    <cfRule type="cellIs" dxfId="1" priority="3" operator="equal">
      <formula>"STB"</formula>
    </cfRule>
    <cfRule type="cellIs" dxfId="0" priority="4" operator="equal">
      <formula>"BD"</formula>
    </cfRule>
  </conditionalFormatting>
  <conditionalFormatting sqref="H8:H31">
    <cfRule type="top10" dxfId="2" priority="5" bottom="1" rank="1"/>
    <cfRule type="top10" dxfId="3" priority="6" rank="1"/>
    <cfRule type="cellIs" dxfId="4" priority="7" stopIfTrue="1" operator="equal">
      <formula>28000</formula>
    </cfRule>
  </conditionalFormatting>
  <conditionalFormatting sqref="H32:H33">
    <cfRule type="top10" dxfId="2" priority="14" bottom="1" rank="1"/>
    <cfRule type="top10" dxfId="3" priority="15" rank="1"/>
    <cfRule type="cellIs" dxfId="4" priority="17" stopIfTrue="1" operator="equal">
      <formula>28000</formula>
    </cfRule>
  </conditionalFormatting>
  <conditionalFormatting sqref="Y8:Y31">
    <cfRule type="containsText" dxfId="5" priority="13" operator="between" text="-">
      <formula>NOT(ISERROR(SEARCH("-",Y8)))</formula>
    </cfRule>
  </conditionalFormatting>
  <conditionalFormatting sqref="N8 N9:O31">
    <cfRule type="cellIs" dxfId="0" priority="16" operator="equal">
      <formula>"BD"</formula>
    </cfRule>
  </conditionalFormatting>
  <pageMargins left="0.7" right="0.7" top="0.75" bottom="0.75" header="0.3" footer="0.3"/>
  <pageSetup paperSize="1" orientation="portrait" verticalDpi="360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C68"/>
  <sheetViews>
    <sheetView zoomScale="80" zoomScaleNormal="80" workbookViewId="0">
      <pane ySplit="7" topLeftCell="A9" activePane="bottomLeft" state="frozen"/>
      <selection/>
      <selection pane="bottomLeft" activeCell="A3" sqref="$A3:$XFD3"/>
    </sheetView>
  </sheetViews>
  <sheetFormatPr defaultColWidth="8.81666666666667" defaultRowHeight="14.25"/>
  <cols>
    <col min="1" max="1" width="16.725" customWidth="1"/>
    <col min="2" max="2" width="8.725" customWidth="1"/>
    <col min="3" max="7" width="5.725" customWidth="1"/>
    <col min="8" max="8" width="14.2666666666667" customWidth="1"/>
    <col min="9" max="9" width="15.1833333333333" customWidth="1"/>
    <col min="10" max="10" width="15.5416666666667" customWidth="1"/>
    <col min="11" max="11" width="7" customWidth="1"/>
    <col min="12" max="12" width="8.54166666666667" customWidth="1"/>
    <col min="13" max="13" width="11.725" style="5" customWidth="1"/>
    <col min="14" max="14" width="17.1833333333333" customWidth="1"/>
    <col min="15" max="15" width="15.45" customWidth="1"/>
    <col min="16" max="16" width="7.45" customWidth="1"/>
    <col min="17" max="17" width="9.54166666666667" customWidth="1"/>
    <col min="18" max="18" width="10" customWidth="1"/>
    <col min="19" max="20" width="9.81666666666667" customWidth="1"/>
    <col min="21" max="21" width="6.725" customWidth="1"/>
    <col min="22" max="22" width="13.8166666666667" customWidth="1"/>
    <col min="23" max="23" width="11.2666666666667" customWidth="1"/>
    <col min="24" max="24" width="9.26666666666667" customWidth="1"/>
    <col min="25" max="25" width="3.725" customWidth="1"/>
    <col min="26" max="29" width="7.725" customWidth="1"/>
    <col min="30" max="30" width="6.725" customWidth="1"/>
  </cols>
  <sheetData>
    <row r="1" ht="3" customHeight="1"/>
    <row r="2" ht="6" customHeight="1" spans="1:2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="1" customFormat="1" ht="6.75" customHeight="1" spans="1:29">
      <c r="K3" s="7"/>
      <c r="L3" s="8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17.25" customHeight="1" spans="1:29">
      <c r="A4" s="1"/>
      <c r="B4" s="10"/>
      <c r="C4" s="10"/>
      <c r="D4" s="10"/>
      <c r="E4" s="11"/>
      <c r="F4" s="11"/>
      <c r="G4" s="11"/>
      <c r="H4" s="12">
        <f>'[17]Taniwel daily'!C4</f>
        <v>45308</v>
      </c>
      <c r="I4" s="13"/>
      <c r="J4" s="13"/>
      <c r="K4" s="14"/>
      <c r="L4" s="15"/>
      <c r="M4" s="16"/>
      <c r="N4" s="10"/>
      <c r="O4" s="10"/>
      <c r="P4" s="10"/>
      <c r="Q4" s="10"/>
      <c r="R4" s="10"/>
      <c r="S4" s="10"/>
      <c r="T4" s="10"/>
      <c r="U4" s="10"/>
      <c r="V4" s="7"/>
      <c r="W4" s="7"/>
      <c r="X4" s="7"/>
      <c r="Y4" s="7"/>
      <c r="Z4" s="7"/>
      <c r="AA4" s="7"/>
      <c r="AB4" s="7"/>
      <c r="AC4" s="7"/>
    </row>
    <row r="5" ht="7.5" customHeight="1" spans="1:29">
      <c r="A5" s="1"/>
      <c r="B5" s="17"/>
      <c r="C5" s="1"/>
      <c r="D5" s="1"/>
      <c r="E5" s="1"/>
      <c r="F5" s="1"/>
      <c r="G5" s="1"/>
      <c r="H5" s="1"/>
      <c r="I5" s="1"/>
      <c r="J5" s="1"/>
      <c r="K5" s="18"/>
      <c r="L5" s="7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ht="17.25" customHeight="1" spans="1:29">
      <c r="A6" s="19" t="s">
        <v>0</v>
      </c>
      <c r="B6" s="20" t="s">
        <v>1</v>
      </c>
      <c r="C6" s="21"/>
      <c r="D6" s="20" t="s">
        <v>2</v>
      </c>
      <c r="E6" s="21"/>
      <c r="F6" s="20" t="s">
        <v>3</v>
      </c>
      <c r="G6" s="21"/>
      <c r="H6" s="22" t="s">
        <v>4</v>
      </c>
      <c r="I6" s="22" t="s">
        <v>5</v>
      </c>
      <c r="J6" s="23" t="s">
        <v>6</v>
      </c>
      <c r="K6" s="19" t="s">
        <v>0</v>
      </c>
      <c r="L6" s="24" t="s">
        <v>7</v>
      </c>
      <c r="M6" s="25" t="s">
        <v>8</v>
      </c>
      <c r="N6" s="26" t="s">
        <v>9</v>
      </c>
      <c r="O6" s="25" t="s">
        <v>10</v>
      </c>
      <c r="P6" s="27"/>
      <c r="Q6" s="28"/>
      <c r="R6" s="28"/>
      <c r="S6" s="28"/>
      <c r="T6" s="28"/>
      <c r="U6" s="29"/>
    </row>
    <row r="7" ht="15.75" customHeight="1" spans="1:29">
      <c r="A7" s="30"/>
      <c r="B7" s="31">
        <v>1</v>
      </c>
      <c r="C7" s="32"/>
      <c r="D7" s="31">
        <v>2</v>
      </c>
      <c r="E7" s="32"/>
      <c r="F7" s="31">
        <v>3</v>
      </c>
      <c r="G7" s="32"/>
      <c r="H7" s="33"/>
      <c r="I7" s="33"/>
      <c r="J7" s="34"/>
      <c r="K7" s="30"/>
      <c r="L7" s="35"/>
      <c r="M7" s="36"/>
      <c r="N7" s="37"/>
      <c r="O7" s="38"/>
      <c r="P7" s="27"/>
      <c r="Q7" s="28"/>
      <c r="R7" s="28"/>
      <c r="S7" s="28"/>
      <c r="T7" s="28"/>
      <c r="U7" s="29"/>
      <c r="X7" s="39"/>
    </row>
    <row r="8" s="2" customFormat="1" ht="15" customHeight="1" spans="1:29">
      <c r="A8" s="40">
        <v>0.0416666666666666</v>
      </c>
      <c r="B8" s="41" t="s">
        <v>11</v>
      </c>
      <c r="C8" s="42"/>
      <c r="D8" s="41" t="s">
        <v>26</v>
      </c>
      <c r="E8" s="42"/>
      <c r="F8" s="41">
        <v>201</v>
      </c>
      <c r="G8" s="42"/>
      <c r="H8" s="43">
        <f t="shared" ref="H8:H31" si="0">IF(SUM(B8:G8)/1000=0,"0",SUM(B8:G8))</f>
        <v>201</v>
      </c>
      <c r="I8" s="44">
        <f t="shared" ref="I8:I31" si="1">IFERROR(AVERAGE(B8:G8),"0")</f>
        <v>201</v>
      </c>
      <c r="J8" s="45">
        <f t="shared" ref="J8:J31" si="2">COUNT(B8:G8)</f>
        <v>1</v>
      </c>
      <c r="K8" s="46">
        <v>0.0416666666666667</v>
      </c>
      <c r="L8" s="47">
        <v>4500</v>
      </c>
      <c r="M8" s="48">
        <v>171.46</v>
      </c>
      <c r="N8" s="49">
        <f>(M9-M8)*12000</f>
        <v>479.999999999905</v>
      </c>
      <c r="O8" s="50"/>
      <c r="P8" s="51"/>
      <c r="Q8" s="52"/>
      <c r="R8" s="52"/>
      <c r="S8" s="52"/>
      <c r="T8" s="52"/>
      <c r="U8" s="53"/>
    </row>
    <row r="9" s="3" customFormat="1" ht="15" customHeight="1" spans="1:29">
      <c r="A9" s="40">
        <v>0.0833333333333333</v>
      </c>
      <c r="B9" s="41" t="s">
        <v>11</v>
      </c>
      <c r="C9" s="42"/>
      <c r="D9" s="41">
        <v>216</v>
      </c>
      <c r="E9" s="42"/>
      <c r="F9" s="41">
        <v>228</v>
      </c>
      <c r="G9" s="42"/>
      <c r="H9" s="43">
        <f t="shared" si="0"/>
        <v>444</v>
      </c>
      <c r="I9" s="44">
        <f t="shared" si="1"/>
        <v>222</v>
      </c>
      <c r="J9" s="45">
        <f t="shared" si="2"/>
        <v>2</v>
      </c>
      <c r="K9" s="46">
        <v>0.0833333333333333</v>
      </c>
      <c r="L9" s="47">
        <v>4200</v>
      </c>
      <c r="M9" s="54">
        <v>171.5</v>
      </c>
      <c r="N9" s="49">
        <f t="shared" ref="N9:N30" si="3">(M10-M9)*12000</f>
        <v>479.999999999905</v>
      </c>
      <c r="O9" s="55"/>
      <c r="P9" s="51"/>
      <c r="Q9" s="52"/>
      <c r="R9" s="52"/>
      <c r="S9" s="52"/>
      <c r="T9" s="52"/>
      <c r="U9" s="53"/>
    </row>
    <row r="10" s="3" customFormat="1" ht="15" customHeight="1" spans="1:29">
      <c r="A10" s="40">
        <v>0.125</v>
      </c>
      <c r="B10" s="41" t="s">
        <v>11</v>
      </c>
      <c r="C10" s="42"/>
      <c r="D10" s="41" t="s">
        <v>26</v>
      </c>
      <c r="E10" s="42"/>
      <c r="F10" s="41">
        <v>436</v>
      </c>
      <c r="G10" s="42"/>
      <c r="H10" s="43">
        <f t="shared" si="0"/>
        <v>436</v>
      </c>
      <c r="I10" s="44">
        <f t="shared" si="1"/>
        <v>436</v>
      </c>
      <c r="J10" s="45">
        <f t="shared" si="2"/>
        <v>1</v>
      </c>
      <c r="K10" s="46">
        <v>0.125</v>
      </c>
      <c r="L10" s="47">
        <v>4200</v>
      </c>
      <c r="M10" s="54">
        <v>171.54</v>
      </c>
      <c r="N10" s="49">
        <f t="shared" si="3"/>
        <v>480.000000000246</v>
      </c>
      <c r="O10" s="56"/>
      <c r="P10" s="51"/>
      <c r="Q10" s="52"/>
      <c r="R10" s="52"/>
      <c r="S10" s="52"/>
      <c r="T10" s="52"/>
      <c r="U10" s="53"/>
    </row>
    <row r="11" s="3" customFormat="1" ht="15" customHeight="1" spans="1:29">
      <c r="A11" s="40">
        <v>0.166666666666667</v>
      </c>
      <c r="B11" s="41" t="s">
        <v>11</v>
      </c>
      <c r="C11" s="42"/>
      <c r="D11" s="41" t="s">
        <v>26</v>
      </c>
      <c r="E11" s="42"/>
      <c r="F11" s="41">
        <v>432</v>
      </c>
      <c r="G11" s="42"/>
      <c r="H11" s="43">
        <f t="shared" si="0"/>
        <v>432</v>
      </c>
      <c r="I11" s="44">
        <f t="shared" si="1"/>
        <v>432</v>
      </c>
      <c r="J11" s="45">
        <f t="shared" si="2"/>
        <v>1</v>
      </c>
      <c r="K11" s="46">
        <v>0.166666666666667</v>
      </c>
      <c r="L11" s="47">
        <v>4000</v>
      </c>
      <c r="M11" s="54">
        <v>171.58</v>
      </c>
      <c r="N11" s="49">
        <f t="shared" si="3"/>
        <v>479.999999999905</v>
      </c>
      <c r="O11" s="56"/>
      <c r="P11" s="51"/>
      <c r="Q11" s="52"/>
      <c r="R11" s="52"/>
      <c r="S11" s="52"/>
      <c r="T11" s="52"/>
      <c r="U11" s="53"/>
    </row>
    <row r="12" s="3" customFormat="1" ht="15" customHeight="1" spans="1:29">
      <c r="A12" s="40">
        <v>0.208333333333333</v>
      </c>
      <c r="B12" s="41" t="s">
        <v>11</v>
      </c>
      <c r="C12" s="42"/>
      <c r="D12" s="41" t="s">
        <v>26</v>
      </c>
      <c r="E12" s="42"/>
      <c r="F12" s="41">
        <v>440</v>
      </c>
      <c r="G12" s="42"/>
      <c r="H12" s="43">
        <f t="shared" si="0"/>
        <v>440</v>
      </c>
      <c r="I12" s="44">
        <f t="shared" si="1"/>
        <v>440</v>
      </c>
      <c r="J12" s="45">
        <f t="shared" si="2"/>
        <v>1</v>
      </c>
      <c r="K12" s="46">
        <v>0.208333333333333</v>
      </c>
      <c r="L12" s="47">
        <v>3900</v>
      </c>
      <c r="M12" s="54">
        <v>171.62</v>
      </c>
      <c r="N12" s="49">
        <f t="shared" si="3"/>
        <v>599.999999999795</v>
      </c>
      <c r="O12" s="56"/>
      <c r="P12" s="51"/>
      <c r="Q12" s="52"/>
      <c r="R12" s="52"/>
      <c r="S12" s="52"/>
      <c r="T12" s="52"/>
      <c r="U12" s="53"/>
    </row>
    <row r="13" s="3" customFormat="1" ht="15" customHeight="1" spans="1:29">
      <c r="A13" s="40">
        <v>0.25</v>
      </c>
      <c r="B13" s="41" t="s">
        <v>11</v>
      </c>
      <c r="C13" s="42"/>
      <c r="D13" s="41">
        <v>245</v>
      </c>
      <c r="E13" s="42"/>
      <c r="F13" s="41">
        <v>223</v>
      </c>
      <c r="G13" s="42"/>
      <c r="H13" s="43">
        <f t="shared" si="0"/>
        <v>468</v>
      </c>
      <c r="I13" s="44">
        <f t="shared" si="1"/>
        <v>234</v>
      </c>
      <c r="J13" s="45">
        <f t="shared" si="2"/>
        <v>2</v>
      </c>
      <c r="K13" s="46">
        <v>0.25</v>
      </c>
      <c r="L13" s="47">
        <v>3600</v>
      </c>
      <c r="M13" s="54">
        <v>171.67</v>
      </c>
      <c r="N13" s="49">
        <f t="shared" si="3"/>
        <v>600.000000000136</v>
      </c>
      <c r="O13" s="56"/>
      <c r="P13" s="51"/>
      <c r="Q13" s="52"/>
      <c r="R13" s="52"/>
      <c r="S13" s="52"/>
      <c r="T13" s="52"/>
      <c r="U13" s="53"/>
    </row>
    <row r="14" s="3" customFormat="1" ht="15" customHeight="1" spans="1:29">
      <c r="A14" s="40">
        <v>0.291666666666667</v>
      </c>
      <c r="B14" s="41" t="s">
        <v>11</v>
      </c>
      <c r="C14" s="42"/>
      <c r="D14" s="41">
        <v>270</v>
      </c>
      <c r="E14" s="42"/>
      <c r="F14" s="41">
        <v>251</v>
      </c>
      <c r="G14" s="42"/>
      <c r="H14" s="43">
        <f t="shared" si="0"/>
        <v>521</v>
      </c>
      <c r="I14" s="44">
        <f t="shared" si="1"/>
        <v>260.5</v>
      </c>
      <c r="J14" s="45">
        <f t="shared" si="2"/>
        <v>2</v>
      </c>
      <c r="K14" s="46">
        <v>0.291666666666667</v>
      </c>
      <c r="L14" s="47">
        <v>3600</v>
      </c>
      <c r="M14" s="54">
        <v>171.72</v>
      </c>
      <c r="N14" s="49">
        <f t="shared" si="3"/>
        <v>600.000000000136</v>
      </c>
      <c r="O14" s="56"/>
      <c r="P14" s="51"/>
      <c r="Q14" s="52"/>
      <c r="R14" s="52"/>
      <c r="S14" s="52"/>
      <c r="T14" s="52"/>
      <c r="U14" s="53"/>
    </row>
    <row r="15" s="3" customFormat="1" ht="15" customHeight="1" spans="1:29">
      <c r="A15" s="40">
        <v>0.333333333333333</v>
      </c>
      <c r="B15" s="41" t="s">
        <v>11</v>
      </c>
      <c r="C15" s="42"/>
      <c r="D15" s="41">
        <v>274</v>
      </c>
      <c r="E15" s="42"/>
      <c r="F15" s="41">
        <v>245</v>
      </c>
      <c r="G15" s="42"/>
      <c r="H15" s="43">
        <f t="shared" si="0"/>
        <v>519</v>
      </c>
      <c r="I15" s="44">
        <f t="shared" si="1"/>
        <v>259.5</v>
      </c>
      <c r="J15" s="45">
        <f t="shared" si="2"/>
        <v>2</v>
      </c>
      <c r="K15" s="46">
        <v>0.333333333333333</v>
      </c>
      <c r="L15" s="47">
        <v>3600</v>
      </c>
      <c r="M15" s="54">
        <v>171.77</v>
      </c>
      <c r="N15" s="49">
        <f t="shared" si="3"/>
        <v>479.999999999905</v>
      </c>
      <c r="O15" s="56"/>
      <c r="P15" s="51"/>
      <c r="Q15" s="52"/>
      <c r="R15" s="52"/>
      <c r="S15" s="52"/>
      <c r="T15" s="52"/>
      <c r="U15" s="53"/>
    </row>
    <row r="16" s="3" customFormat="1" ht="15" customHeight="1" spans="1:29">
      <c r="A16" s="40">
        <v>0.375</v>
      </c>
      <c r="B16" s="41" t="s">
        <v>11</v>
      </c>
      <c r="C16" s="42"/>
      <c r="D16" s="41">
        <v>223</v>
      </c>
      <c r="E16" s="42"/>
      <c r="F16" s="41">
        <v>243</v>
      </c>
      <c r="G16" s="42"/>
      <c r="H16" s="43">
        <f t="shared" si="0"/>
        <v>466</v>
      </c>
      <c r="I16" s="44">
        <f t="shared" si="1"/>
        <v>233</v>
      </c>
      <c r="J16" s="45">
        <f t="shared" si="2"/>
        <v>2</v>
      </c>
      <c r="K16" s="46">
        <v>0.375</v>
      </c>
      <c r="L16" s="47">
        <v>3600</v>
      </c>
      <c r="M16" s="54">
        <v>171.81</v>
      </c>
      <c r="N16" s="49">
        <f t="shared" si="3"/>
        <v>479.999999999905</v>
      </c>
      <c r="O16" s="56"/>
      <c r="P16" s="51"/>
      <c r="Q16" s="52"/>
      <c r="R16" s="52"/>
      <c r="S16" s="52"/>
      <c r="T16" s="52"/>
      <c r="U16" s="53"/>
    </row>
    <row r="17" s="3" customFormat="1" ht="15" customHeight="1" spans="1:21">
      <c r="A17" s="40">
        <v>0.416666666666667</v>
      </c>
      <c r="B17" s="41" t="s">
        <v>11</v>
      </c>
      <c r="C17" s="42"/>
      <c r="D17" s="41">
        <v>461</v>
      </c>
      <c r="E17" s="42"/>
      <c r="F17" s="41" t="s">
        <v>26</v>
      </c>
      <c r="G17" s="42"/>
      <c r="H17" s="43">
        <f t="shared" si="0"/>
        <v>461</v>
      </c>
      <c r="I17" s="44">
        <f t="shared" si="1"/>
        <v>461</v>
      </c>
      <c r="J17" s="45">
        <f t="shared" si="2"/>
        <v>1</v>
      </c>
      <c r="K17" s="46">
        <v>0.416666666666666</v>
      </c>
      <c r="L17" s="47">
        <v>3400</v>
      </c>
      <c r="M17" s="54">
        <v>171.85</v>
      </c>
      <c r="N17" s="49">
        <f t="shared" si="3"/>
        <v>600.000000000136</v>
      </c>
      <c r="O17" s="56"/>
      <c r="P17" s="51"/>
      <c r="Q17" s="52"/>
      <c r="R17" s="52"/>
      <c r="S17" s="52"/>
      <c r="T17" s="52"/>
      <c r="U17" s="53"/>
    </row>
    <row r="18" s="3" customFormat="1" ht="15" customHeight="1" spans="1:21">
      <c r="A18" s="40">
        <v>0.458333333333333</v>
      </c>
      <c r="B18" s="41" t="s">
        <v>11</v>
      </c>
      <c r="C18" s="42"/>
      <c r="D18" s="41">
        <v>228</v>
      </c>
      <c r="E18" s="42"/>
      <c r="F18" s="41">
        <v>230</v>
      </c>
      <c r="G18" s="42"/>
      <c r="H18" s="43">
        <f t="shared" si="0"/>
        <v>458</v>
      </c>
      <c r="I18" s="44">
        <f t="shared" si="1"/>
        <v>229</v>
      </c>
      <c r="J18" s="45">
        <f t="shared" si="2"/>
        <v>2</v>
      </c>
      <c r="K18" s="46">
        <v>0.458333333333333</v>
      </c>
      <c r="L18" s="47">
        <v>3300</v>
      </c>
      <c r="M18" s="54">
        <v>171.9</v>
      </c>
      <c r="N18" s="49">
        <f t="shared" si="3"/>
        <v>479.999999999905</v>
      </c>
      <c r="O18" s="56"/>
      <c r="P18" s="51"/>
      <c r="Q18" s="52"/>
      <c r="R18" s="52"/>
      <c r="S18" s="52"/>
      <c r="T18" s="52"/>
      <c r="U18" s="53"/>
    </row>
    <row r="19" s="3" customFormat="1" ht="15" customHeight="1" spans="1:21">
      <c r="A19" s="40">
        <v>0.5</v>
      </c>
      <c r="B19" s="41" t="s">
        <v>11</v>
      </c>
      <c r="C19" s="42"/>
      <c r="D19" s="41">
        <v>125</v>
      </c>
      <c r="E19" s="42"/>
      <c r="F19" s="41">
        <v>223</v>
      </c>
      <c r="G19" s="42"/>
      <c r="H19" s="43">
        <f t="shared" si="0"/>
        <v>348</v>
      </c>
      <c r="I19" s="44">
        <f t="shared" si="1"/>
        <v>174</v>
      </c>
      <c r="J19" s="45">
        <f t="shared" si="2"/>
        <v>2</v>
      </c>
      <c r="K19" s="46">
        <v>0.5</v>
      </c>
      <c r="L19" s="47">
        <v>3300</v>
      </c>
      <c r="M19" s="54">
        <v>171.94</v>
      </c>
      <c r="N19" s="49">
        <f t="shared" si="3"/>
        <v>479.999999999905</v>
      </c>
      <c r="O19" s="56"/>
      <c r="P19" s="51"/>
      <c r="Q19" s="52"/>
      <c r="R19" s="52"/>
      <c r="S19" s="52"/>
      <c r="T19" s="52"/>
      <c r="U19" s="53"/>
    </row>
    <row r="20" s="3" customFormat="1" ht="15" customHeight="1" spans="1:21">
      <c r="A20" s="40">
        <v>0.541666666666667</v>
      </c>
      <c r="B20" s="41" t="s">
        <v>11</v>
      </c>
      <c r="C20" s="42"/>
      <c r="D20" s="41">
        <v>433</v>
      </c>
      <c r="E20" s="42"/>
      <c r="F20" s="41" t="s">
        <v>26</v>
      </c>
      <c r="G20" s="42"/>
      <c r="H20" s="43">
        <f t="shared" si="0"/>
        <v>433</v>
      </c>
      <c r="I20" s="44">
        <f t="shared" si="1"/>
        <v>433</v>
      </c>
      <c r="J20" s="45">
        <f t="shared" si="2"/>
        <v>1</v>
      </c>
      <c r="K20" s="46">
        <v>0.541666666666667</v>
      </c>
      <c r="L20" s="47">
        <v>3000</v>
      </c>
      <c r="M20" s="54">
        <v>171.98</v>
      </c>
      <c r="N20" s="49">
        <f t="shared" si="3"/>
        <v>600.000000000136</v>
      </c>
      <c r="O20" s="56"/>
      <c r="P20" s="51"/>
      <c r="Q20" s="52"/>
      <c r="R20" s="52"/>
      <c r="S20" s="52"/>
      <c r="T20" s="52"/>
      <c r="U20" s="53"/>
    </row>
    <row r="21" s="3" customFormat="1" ht="15" customHeight="1" spans="1:21">
      <c r="A21" s="40">
        <v>0.583333333333333</v>
      </c>
      <c r="B21" s="41" t="s">
        <v>11</v>
      </c>
      <c r="C21" s="42"/>
      <c r="D21" s="41">
        <v>428</v>
      </c>
      <c r="E21" s="42"/>
      <c r="F21" s="41" t="s">
        <v>26</v>
      </c>
      <c r="G21" s="42"/>
      <c r="H21" s="43">
        <f t="shared" si="0"/>
        <v>428</v>
      </c>
      <c r="I21" s="44">
        <f t="shared" si="1"/>
        <v>428</v>
      </c>
      <c r="J21" s="45">
        <f t="shared" si="2"/>
        <v>1</v>
      </c>
      <c r="K21" s="46">
        <v>0.583333333333333</v>
      </c>
      <c r="L21" s="47">
        <v>3000</v>
      </c>
      <c r="M21" s="54">
        <v>172.03</v>
      </c>
      <c r="N21" s="49">
        <f t="shared" si="3"/>
        <v>360.000000000014</v>
      </c>
      <c r="O21" s="56"/>
      <c r="P21" s="51"/>
      <c r="Q21" s="52"/>
      <c r="R21" s="52"/>
      <c r="S21" s="52"/>
      <c r="T21" s="52"/>
      <c r="U21" s="53"/>
    </row>
    <row r="22" s="3" customFormat="1" ht="15" customHeight="1" spans="1:21">
      <c r="A22" s="40">
        <v>0.625</v>
      </c>
      <c r="B22" s="41" t="s">
        <v>11</v>
      </c>
      <c r="C22" s="42"/>
      <c r="D22" s="41">
        <v>424</v>
      </c>
      <c r="E22" s="42"/>
      <c r="F22" s="41" t="s">
        <v>26</v>
      </c>
      <c r="G22" s="42"/>
      <c r="H22" s="43">
        <f t="shared" si="0"/>
        <v>424</v>
      </c>
      <c r="I22" s="44">
        <f t="shared" si="1"/>
        <v>424</v>
      </c>
      <c r="J22" s="45">
        <f t="shared" si="2"/>
        <v>1</v>
      </c>
      <c r="K22" s="46">
        <v>0.625</v>
      </c>
      <c r="L22" s="47">
        <v>3000</v>
      </c>
      <c r="M22" s="54">
        <v>172.06</v>
      </c>
      <c r="N22" s="49">
        <f t="shared" si="3"/>
        <v>479.999999999905</v>
      </c>
      <c r="O22" s="56"/>
      <c r="P22" s="51"/>
      <c r="Q22" s="52"/>
      <c r="R22" s="52"/>
      <c r="S22" s="52"/>
      <c r="T22" s="52"/>
      <c r="U22" s="53"/>
    </row>
    <row r="23" s="3" customFormat="1" ht="15" customHeight="1" spans="1:21">
      <c r="A23" s="40">
        <v>0.666666666666667</v>
      </c>
      <c r="B23" s="41" t="s">
        <v>11</v>
      </c>
      <c r="C23" s="42"/>
      <c r="D23" s="41" t="s">
        <v>26</v>
      </c>
      <c r="E23" s="42"/>
      <c r="F23" s="41">
        <v>422</v>
      </c>
      <c r="G23" s="42"/>
      <c r="H23" s="43">
        <f t="shared" si="0"/>
        <v>422</v>
      </c>
      <c r="I23" s="44">
        <f t="shared" si="1"/>
        <v>422</v>
      </c>
      <c r="J23" s="45">
        <f t="shared" si="2"/>
        <v>1</v>
      </c>
      <c r="K23" s="46">
        <v>0.666666666666666</v>
      </c>
      <c r="L23" s="47">
        <v>3000</v>
      </c>
      <c r="M23" s="54">
        <v>172.1</v>
      </c>
      <c r="N23" s="49">
        <f t="shared" si="3"/>
        <v>479.999999999905</v>
      </c>
      <c r="O23" s="56"/>
      <c r="P23" s="51"/>
      <c r="Q23" s="52"/>
      <c r="R23" s="52"/>
      <c r="S23" s="52"/>
      <c r="T23" s="52"/>
      <c r="U23" s="53"/>
    </row>
    <row r="24" s="3" customFormat="1" ht="15" customHeight="1" spans="1:21">
      <c r="A24" s="40">
        <v>0.708333333333334</v>
      </c>
      <c r="B24" s="41" t="s">
        <v>11</v>
      </c>
      <c r="C24" s="42"/>
      <c r="D24" s="41" t="s">
        <v>26</v>
      </c>
      <c r="E24" s="42"/>
      <c r="F24" s="41">
        <v>399</v>
      </c>
      <c r="G24" s="42"/>
      <c r="H24" s="43">
        <f t="shared" si="0"/>
        <v>399</v>
      </c>
      <c r="I24" s="44">
        <f t="shared" si="1"/>
        <v>399</v>
      </c>
      <c r="J24" s="45">
        <f t="shared" si="2"/>
        <v>1</v>
      </c>
      <c r="K24" s="46">
        <v>0.708333333333333</v>
      </c>
      <c r="L24" s="47">
        <v>2700</v>
      </c>
      <c r="M24" s="54">
        <v>172.14</v>
      </c>
      <c r="N24" s="49">
        <f t="shared" si="3"/>
        <v>480.000000000246</v>
      </c>
      <c r="O24" s="56"/>
      <c r="P24" s="51"/>
      <c r="Q24" s="52"/>
      <c r="R24" s="52"/>
      <c r="S24" s="52"/>
      <c r="T24" s="52"/>
      <c r="U24" s="53"/>
    </row>
    <row r="25" s="3" customFormat="1" ht="15" customHeight="1" spans="1:21">
      <c r="A25" s="40">
        <v>0.75</v>
      </c>
      <c r="B25" s="41" t="s">
        <v>11</v>
      </c>
      <c r="C25" s="42"/>
      <c r="D25" s="41" t="s">
        <v>26</v>
      </c>
      <c r="E25" s="42"/>
      <c r="F25" s="41">
        <v>430</v>
      </c>
      <c r="G25" s="42"/>
      <c r="H25" s="43">
        <f t="shared" si="0"/>
        <v>430</v>
      </c>
      <c r="I25" s="44">
        <f t="shared" si="1"/>
        <v>430</v>
      </c>
      <c r="J25" s="45">
        <f t="shared" si="2"/>
        <v>1</v>
      </c>
      <c r="K25" s="46">
        <v>0.75</v>
      </c>
      <c r="L25" s="47">
        <v>2400</v>
      </c>
      <c r="M25" s="54">
        <v>172.18</v>
      </c>
      <c r="N25" s="49">
        <f t="shared" si="3"/>
        <v>479.999999999905</v>
      </c>
      <c r="O25" s="56"/>
      <c r="P25" s="51"/>
      <c r="Q25" s="52"/>
      <c r="R25" s="52"/>
      <c r="S25" s="52"/>
      <c r="T25" s="52"/>
      <c r="U25" s="53"/>
    </row>
    <row r="26" s="3" customFormat="1" ht="15" customHeight="1" spans="1:21">
      <c r="A26" s="40">
        <v>0.791666666666667</v>
      </c>
      <c r="B26" s="41" t="s">
        <v>11</v>
      </c>
      <c r="C26" s="42"/>
      <c r="D26" s="41">
        <v>281</v>
      </c>
      <c r="E26" s="42"/>
      <c r="F26" s="41">
        <v>270</v>
      </c>
      <c r="G26" s="42"/>
      <c r="H26" s="43">
        <f t="shared" si="0"/>
        <v>551</v>
      </c>
      <c r="I26" s="44">
        <f t="shared" si="1"/>
        <v>275.5</v>
      </c>
      <c r="J26" s="45">
        <f t="shared" si="2"/>
        <v>2</v>
      </c>
      <c r="K26" s="46">
        <v>0.791666666666666</v>
      </c>
      <c r="L26" s="47">
        <v>2100</v>
      </c>
      <c r="M26" s="54">
        <v>172.22</v>
      </c>
      <c r="N26" s="49">
        <f t="shared" si="3"/>
        <v>720.000000000027</v>
      </c>
      <c r="O26" s="56"/>
      <c r="P26" s="51"/>
      <c r="Q26" s="52"/>
      <c r="R26" s="52"/>
      <c r="S26" s="52"/>
      <c r="T26" s="52"/>
      <c r="U26" s="53"/>
    </row>
    <row r="27" s="3" customFormat="1" ht="15" customHeight="1" spans="1:21">
      <c r="A27" s="40">
        <v>0.833333333333334</v>
      </c>
      <c r="B27" s="41" t="s">
        <v>11</v>
      </c>
      <c r="C27" s="42"/>
      <c r="D27" s="41">
        <v>329</v>
      </c>
      <c r="E27" s="42"/>
      <c r="F27" s="41">
        <v>318</v>
      </c>
      <c r="G27" s="42"/>
      <c r="H27" s="43">
        <f t="shared" si="0"/>
        <v>647</v>
      </c>
      <c r="I27" s="44">
        <f t="shared" si="1"/>
        <v>323.5</v>
      </c>
      <c r="J27" s="45">
        <f t="shared" si="2"/>
        <v>2</v>
      </c>
      <c r="K27" s="46">
        <v>0.833333333333333</v>
      </c>
      <c r="L27" s="47">
        <v>2100</v>
      </c>
      <c r="M27" s="54">
        <v>172.28</v>
      </c>
      <c r="N27" s="49">
        <f t="shared" si="3"/>
        <v>720.000000000027</v>
      </c>
      <c r="O27" s="56"/>
      <c r="P27" s="51"/>
      <c r="Q27" s="52"/>
      <c r="R27" s="52"/>
      <c r="S27" s="52"/>
      <c r="T27" s="52"/>
      <c r="U27" s="53"/>
    </row>
    <row r="28" s="4" customFormat="1" ht="15" customHeight="1" spans="1:21">
      <c r="A28" s="40">
        <v>0.875</v>
      </c>
      <c r="B28" s="41" t="s">
        <v>11</v>
      </c>
      <c r="C28" s="42"/>
      <c r="D28" s="41">
        <v>287</v>
      </c>
      <c r="E28" s="42"/>
      <c r="F28" s="41">
        <v>240</v>
      </c>
      <c r="G28" s="42"/>
      <c r="H28" s="43">
        <f t="shared" si="0"/>
        <v>527</v>
      </c>
      <c r="I28" s="44">
        <f t="shared" si="1"/>
        <v>263.5</v>
      </c>
      <c r="J28" s="45">
        <f t="shared" si="2"/>
        <v>2</v>
      </c>
      <c r="K28" s="46">
        <v>0.875</v>
      </c>
      <c r="L28" s="47">
        <v>1800</v>
      </c>
      <c r="M28" s="54">
        <v>172.34</v>
      </c>
      <c r="N28" s="49">
        <f t="shared" si="3"/>
        <v>599.999999999795</v>
      </c>
      <c r="O28" s="56"/>
      <c r="P28" s="51"/>
      <c r="Q28" s="52"/>
      <c r="R28" s="52"/>
      <c r="S28" s="52"/>
      <c r="T28" s="52"/>
      <c r="U28" s="53"/>
    </row>
    <row r="29" s="3" customFormat="1" ht="15" customHeight="1" spans="1:21">
      <c r="A29" s="40">
        <v>0.916666666666667</v>
      </c>
      <c r="B29" s="41" t="s">
        <v>11</v>
      </c>
      <c r="C29" s="42"/>
      <c r="D29" s="41">
        <v>269</v>
      </c>
      <c r="E29" s="42"/>
      <c r="F29" s="41">
        <v>271</v>
      </c>
      <c r="G29" s="42"/>
      <c r="H29" s="43">
        <f t="shared" si="0"/>
        <v>540</v>
      </c>
      <c r="I29" s="44">
        <f t="shared" si="1"/>
        <v>270</v>
      </c>
      <c r="J29" s="45">
        <f t="shared" si="2"/>
        <v>2</v>
      </c>
      <c r="K29" s="46">
        <v>0.916666666666666</v>
      </c>
      <c r="L29" s="47">
        <v>1800</v>
      </c>
      <c r="M29" s="54">
        <v>172.39</v>
      </c>
      <c r="N29" s="49">
        <f t="shared" si="3"/>
        <v>600.000000000136</v>
      </c>
      <c r="O29" s="56"/>
      <c r="P29" s="51"/>
      <c r="Q29" s="52"/>
      <c r="R29" s="52"/>
      <c r="S29" s="52"/>
      <c r="T29" s="52"/>
      <c r="U29" s="53"/>
    </row>
    <row r="30" s="3" customFormat="1" ht="15" customHeight="1" spans="1:21">
      <c r="A30" s="40">
        <v>0.958333333333334</v>
      </c>
      <c r="B30" s="41" t="s">
        <v>11</v>
      </c>
      <c r="C30" s="42"/>
      <c r="D30" s="41">
        <v>268</v>
      </c>
      <c r="E30" s="42"/>
      <c r="F30" s="41">
        <v>252</v>
      </c>
      <c r="G30" s="42"/>
      <c r="H30" s="43">
        <f t="shared" si="0"/>
        <v>520</v>
      </c>
      <c r="I30" s="44">
        <f t="shared" si="1"/>
        <v>260</v>
      </c>
      <c r="J30" s="45">
        <f t="shared" si="2"/>
        <v>2</v>
      </c>
      <c r="K30" s="46">
        <v>0.958333333333333</v>
      </c>
      <c r="L30" s="47">
        <v>1800</v>
      </c>
      <c r="M30" s="54">
        <v>172.44</v>
      </c>
      <c r="N30" s="49">
        <f t="shared" si="3"/>
        <v>600.000000000136</v>
      </c>
      <c r="O30" s="56"/>
      <c r="P30" s="51"/>
      <c r="Q30" s="52"/>
      <c r="R30" s="52"/>
      <c r="S30" s="52"/>
      <c r="T30" s="52"/>
      <c r="U30" s="53"/>
    </row>
    <row r="31" s="2" customFormat="1" ht="15" customHeight="1" spans="1:21">
      <c r="A31" s="57">
        <v>1</v>
      </c>
      <c r="B31" s="41" t="s">
        <v>11</v>
      </c>
      <c r="C31" s="42"/>
      <c r="D31" s="41">
        <v>231</v>
      </c>
      <c r="E31" s="42"/>
      <c r="F31" s="41">
        <v>243</v>
      </c>
      <c r="G31" s="42"/>
      <c r="H31" s="43">
        <f t="shared" si="0"/>
        <v>474</v>
      </c>
      <c r="I31" s="58">
        <f t="shared" si="1"/>
        <v>237</v>
      </c>
      <c r="J31" s="59">
        <f t="shared" si="2"/>
        <v>2</v>
      </c>
      <c r="K31" s="60">
        <v>1</v>
      </c>
      <c r="L31" s="47">
        <v>4500</v>
      </c>
      <c r="M31" s="61">
        <v>172.49</v>
      </c>
      <c r="N31" s="49">
        <f>H31</f>
        <v>474</v>
      </c>
      <c r="O31" s="56"/>
      <c r="P31" s="51"/>
      <c r="Q31" s="52"/>
      <c r="R31" s="52"/>
      <c r="S31" s="52"/>
      <c r="T31" s="52"/>
      <c r="U31" s="53"/>
    </row>
    <row r="32" s="3" customFormat="1" ht="23.25" customHeight="1" spans="1:21">
      <c r="A32" s="62" t="s">
        <v>12</v>
      </c>
      <c r="B32" s="63">
        <f>SUM(B8:B31)/1000</f>
        <v>0</v>
      </c>
      <c r="C32" s="64"/>
      <c r="D32" s="63">
        <f>SUM(D8:D31)/1000</f>
        <v>4.992</v>
      </c>
      <c r="E32" s="64"/>
      <c r="F32" s="63">
        <f>SUM(F8:F31)/1000</f>
        <v>5.997</v>
      </c>
      <c r="G32" s="64"/>
      <c r="H32" s="65">
        <f>SUM(H8:H31)</f>
        <v>10989</v>
      </c>
      <c r="I32" s="66" t="s">
        <v>13</v>
      </c>
      <c r="J32" s="67"/>
      <c r="K32" s="68"/>
      <c r="L32" s="69"/>
      <c r="M32" s="70">
        <f>SUM(M31-M8+N8)</f>
        <v>481.029999999904</v>
      </c>
      <c r="N32" s="71">
        <f>SUM(N8:N31)</f>
        <v>12834</v>
      </c>
      <c r="O32" s="72">
        <f>SUM(O8:O31)</f>
        <v>0</v>
      </c>
      <c r="P32" s="73"/>
      <c r="Q32" s="74"/>
      <c r="R32" s="74"/>
      <c r="S32" s="74"/>
      <c r="T32" s="74"/>
      <c r="U32" s="75"/>
    </row>
    <row r="33" ht="15" customHeight="1" spans="1:29">
      <c r="A33" s="76" t="s">
        <v>14</v>
      </c>
      <c r="B33" s="77" t="str">
        <f>IFERROR((AVERAGE(B8:B31)),"0")</f>
        <v>0</v>
      </c>
      <c r="C33" s="78"/>
      <c r="D33" s="79">
        <f>IFERROR((AVERAGE(D8:D31)),"0")</f>
        <v>293.647058823529</v>
      </c>
      <c r="E33" s="78"/>
      <c r="F33" s="79">
        <f>IFERROR((AVERAGE(F8:F31)),"0")</f>
        <v>299.85</v>
      </c>
      <c r="G33" s="80"/>
      <c r="H33" s="81">
        <f>H32*1000</f>
        <v>10989000</v>
      </c>
      <c r="I33" s="82" t="s">
        <v>15</v>
      </c>
      <c r="J33" s="83"/>
      <c r="K33" s="84"/>
      <c r="L33" s="85"/>
      <c r="M33" s="86"/>
      <c r="N33" s="85"/>
      <c r="O33" s="87"/>
      <c r="P33" s="87"/>
      <c r="Q33" s="88"/>
      <c r="R33" s="88"/>
      <c r="S33" s="89"/>
      <c r="T33" s="89"/>
      <c r="U33" s="89"/>
      <c r="V33" s="89"/>
    </row>
    <row r="34" ht="18.75" customHeight="1" spans="1:29">
      <c r="A34" s="90"/>
      <c r="B34" s="91"/>
      <c r="C34" s="92"/>
      <c r="D34" s="93"/>
      <c r="E34" s="92"/>
      <c r="F34" s="93"/>
      <c r="G34" s="94"/>
      <c r="H34" s="95"/>
      <c r="I34" s="96"/>
      <c r="J34" s="97"/>
      <c r="K34" s="98"/>
      <c r="L34" s="85"/>
      <c r="M34" s="86"/>
      <c r="N34" s="99"/>
      <c r="O34" s="99"/>
      <c r="P34" s="99"/>
      <c r="Q34" s="99"/>
      <c r="R34" s="88"/>
      <c r="S34" s="89"/>
      <c r="T34" s="89"/>
      <c r="U34" s="89"/>
      <c r="V34" s="89"/>
    </row>
    <row r="35" ht="22.5" customHeight="1" spans="1:29">
      <c r="A35" s="100" t="s">
        <v>16</v>
      </c>
      <c r="B35" s="101">
        <f>COUNT(B8:B31)</f>
        <v>0</v>
      </c>
      <c r="C35" s="102"/>
      <c r="D35" s="103">
        <f>COUNT(D8:D31)</f>
        <v>17</v>
      </c>
      <c r="E35" s="102"/>
      <c r="F35" s="103">
        <f>COUNT(F8:F31)</f>
        <v>20</v>
      </c>
      <c r="G35" s="104"/>
      <c r="H35" s="105"/>
      <c r="I35" s="106"/>
      <c r="J35" s="107"/>
      <c r="K35" s="107"/>
      <c r="L35" s="107"/>
      <c r="M35" s="107"/>
      <c r="N35" s="99"/>
      <c r="O35" s="99"/>
      <c r="P35" s="99"/>
      <c r="Q35" s="99"/>
      <c r="R35" s="108"/>
      <c r="S35" s="89"/>
      <c r="T35" s="89"/>
      <c r="U35" s="89"/>
      <c r="V35" s="89"/>
    </row>
    <row r="36" ht="9" customHeight="1" spans="1:29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10"/>
      <c r="N36" s="106"/>
      <c r="O36" s="107"/>
      <c r="P36" s="107"/>
      <c r="Q36" s="107"/>
      <c r="R36" s="107"/>
      <c r="S36" s="107"/>
      <c r="T36" s="107"/>
      <c r="U36" s="111"/>
      <c r="V36" s="112"/>
      <c r="W36" s="108"/>
      <c r="X36" s="108"/>
      <c r="Y36" s="108"/>
      <c r="Z36" s="89"/>
      <c r="AA36" s="89"/>
      <c r="AB36" s="89"/>
      <c r="AC36" s="89"/>
    </row>
    <row r="37" ht="24" customHeight="1" spans="1:29">
      <c r="D37" s="113"/>
      <c r="E37" s="113"/>
      <c r="F37" s="113"/>
      <c r="G37" s="113"/>
      <c r="H37" s="113"/>
      <c r="I37" s="113"/>
      <c r="J37" s="113"/>
      <c r="K37" s="114"/>
      <c r="L37" s="114"/>
      <c r="N37" s="115" t="s">
        <v>17</v>
      </c>
      <c r="O37" s="116"/>
      <c r="P37" s="116"/>
      <c r="Q37" s="117"/>
      <c r="R37" s="118">
        <f>SUM(B35:F35)</f>
        <v>37</v>
      </c>
      <c r="S37" s="69"/>
      <c r="T37" s="69"/>
      <c r="U37" s="69"/>
      <c r="V37" s="69"/>
      <c r="X37" s="119"/>
      <c r="Y37" s="119"/>
      <c r="Z37" s="119"/>
      <c r="AA37" s="119"/>
      <c r="AB37" s="119"/>
      <c r="AC37" s="114"/>
    </row>
    <row r="38" ht="15" spans="1:29">
      <c r="D38" s="113"/>
      <c r="E38" s="113"/>
      <c r="F38" s="113"/>
      <c r="G38" s="113"/>
      <c r="H38" s="113"/>
      <c r="I38" s="113"/>
      <c r="J38" s="113"/>
      <c r="K38" s="114"/>
      <c r="L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</row>
    <row r="39" ht="24.75" customHeight="1" spans="1:29">
      <c r="A39" s="120" t="s">
        <v>18</v>
      </c>
      <c r="B39" s="121"/>
      <c r="C39" s="122">
        <f>MAX(H8:H31)</f>
        <v>647</v>
      </c>
      <c r="D39" s="123"/>
      <c r="E39" s="124">
        <f>VLOOKUP(C39,H8:L31,4,FALSE)</f>
        <v>0.833333333333333</v>
      </c>
      <c r="F39" s="125"/>
      <c r="G39" s="125"/>
      <c r="H39" s="126" t="s">
        <v>19</v>
      </c>
      <c r="I39" s="127"/>
      <c r="J39" s="128"/>
      <c r="K39" s="129">
        <f>MAX(J8:J31)</f>
        <v>2</v>
      </c>
      <c r="L39" s="130"/>
      <c r="N39" s="131" t="s">
        <v>20</v>
      </c>
      <c r="O39" s="132"/>
      <c r="P39" s="132"/>
      <c r="Q39" s="133"/>
      <c r="R39" s="134">
        <f>AVERAGE(H8:H31)</f>
        <v>457.875</v>
      </c>
      <c r="S39" s="135"/>
      <c r="T39" s="135"/>
    </row>
    <row r="40" ht="15" spans="1:29">
      <c r="C40" s="136"/>
      <c r="D40" s="137"/>
      <c r="E40" s="138"/>
      <c r="F40" s="138"/>
      <c r="G40" s="138"/>
      <c r="H40" s="138"/>
      <c r="I40" s="139"/>
      <c r="J40" s="106"/>
      <c r="K40" s="110"/>
      <c r="L40" s="110"/>
      <c r="N40" s="140"/>
      <c r="O40" s="140"/>
      <c r="P40" s="140"/>
      <c r="Q40" s="140"/>
      <c r="R40" s="140"/>
      <c r="X40" s="5"/>
      <c r="Y40" s="5"/>
      <c r="Z40" s="5"/>
      <c r="AA40" s="5"/>
      <c r="AB40" s="5"/>
      <c r="AC40" s="141"/>
    </row>
    <row r="41" ht="24.75" customHeight="1" spans="1:29">
      <c r="A41" s="120" t="s">
        <v>21</v>
      </c>
      <c r="B41" s="121"/>
      <c r="C41" s="122">
        <f>MIN(H8:H31)</f>
        <v>201</v>
      </c>
      <c r="D41" s="123"/>
      <c r="E41" s="124">
        <f>VLOOKUP(C41,H8:L31,4,FALSE)</f>
        <v>0.0416666666666667</v>
      </c>
      <c r="F41" s="142"/>
      <c r="G41" s="125"/>
      <c r="H41" s="126" t="s">
        <v>22</v>
      </c>
      <c r="I41" s="127"/>
      <c r="J41" s="128"/>
      <c r="K41" s="129">
        <f>MIN(J8:J31)</f>
        <v>1</v>
      </c>
      <c r="L41" s="130"/>
      <c r="N41" s="126" t="s">
        <v>23</v>
      </c>
      <c r="O41" s="127"/>
      <c r="P41" s="127"/>
      <c r="Q41" s="128"/>
      <c r="R41" s="143">
        <f>AVERAGE(I8:I31)</f>
        <v>322.8125</v>
      </c>
      <c r="S41" s="144"/>
      <c r="T41" s="144"/>
      <c r="U41" s="144"/>
      <c r="V41" s="144"/>
      <c r="X41" s="145"/>
    </row>
    <row r="42" ht="15" spans="1:29">
      <c r="D42" s="138"/>
      <c r="E42" s="138"/>
      <c r="F42" s="138"/>
      <c r="G42" s="138"/>
      <c r="H42" s="138"/>
      <c r="I42" s="146"/>
      <c r="J42" s="138"/>
      <c r="K42" s="147"/>
      <c r="L42" s="147"/>
      <c r="V42" s="148"/>
      <c r="W42" s="148"/>
      <c r="X42" s="149"/>
      <c r="Y42" s="149"/>
      <c r="Z42" s="150"/>
      <c r="AA42" s="150"/>
      <c r="AB42" s="150"/>
      <c r="AC42" s="150"/>
    </row>
    <row r="43" ht="24.75" customHeight="1" spans="1:29">
      <c r="C43" s="136"/>
      <c r="H43" s="151"/>
      <c r="I43" s="151"/>
      <c r="J43" s="151"/>
      <c r="K43" s="145"/>
      <c r="L43" s="139"/>
      <c r="N43" s="152" t="s">
        <v>24</v>
      </c>
      <c r="O43" s="153"/>
      <c r="P43" s="153"/>
      <c r="Q43" s="154"/>
      <c r="R43" s="155" t="e">
        <f>AVERAGE(T8:T31)</f>
        <v>#DIV/0!</v>
      </c>
      <c r="X43" s="156"/>
      <c r="Z43" s="157"/>
      <c r="AA43" s="157"/>
      <c r="AB43" s="157"/>
      <c r="AC43" s="157"/>
    </row>
    <row r="44" ht="19.5" spans="1:29">
      <c r="I44" s="158"/>
      <c r="K44" s="159"/>
      <c r="L44" s="159"/>
      <c r="Z44" s="160"/>
      <c r="AA44" s="160"/>
      <c r="AB44" s="160"/>
      <c r="AC44" s="160"/>
    </row>
    <row r="45" ht="24.75" customHeight="1" spans="1:29">
      <c r="D45" s="158"/>
      <c r="E45" s="158"/>
      <c r="F45" s="158"/>
      <c r="G45" s="158"/>
      <c r="H45" s="158"/>
      <c r="N45" s="126" t="s">
        <v>25</v>
      </c>
      <c r="O45" s="127"/>
      <c r="P45" s="127"/>
      <c r="Q45" s="128"/>
      <c r="R45" s="161">
        <f>SUM(M32-H32)/24</f>
        <v>-437.832083333337</v>
      </c>
      <c r="X45" s="162"/>
      <c r="Z45" s="163"/>
      <c r="AA45" s="163"/>
      <c r="AB45" s="163"/>
      <c r="AC45" s="163"/>
    </row>
    <row r="46" spans="1:29">
      <c r="Z46" s="164"/>
      <c r="AA46" s="164"/>
      <c r="AB46" s="164"/>
      <c r="AC46" s="164"/>
    </row>
    <row r="47" spans="1:29">
      <c r="Z47" s="139"/>
      <c r="AA47" s="139"/>
      <c r="AB47" s="139"/>
      <c r="AC47" s="139"/>
    </row>
    <row r="48" spans="1:29">
      <c r="Z48" s="139"/>
      <c r="AA48" s="139"/>
      <c r="AB48" s="139"/>
      <c r="AC48" s="139"/>
    </row>
    <row r="49" spans="11:29">
      <c r="Z49" s="157"/>
      <c r="AA49" s="157"/>
      <c r="AB49" s="157"/>
      <c r="AC49" s="157"/>
    </row>
    <row r="50" spans="11:29">
      <c r="Z50" s="157"/>
      <c r="AA50" s="157"/>
      <c r="AB50" s="157"/>
      <c r="AC50" s="157"/>
    </row>
    <row r="51" spans="11:29">
      <c r="K51" s="150"/>
      <c r="L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0"/>
      <c r="AC51" s="150"/>
    </row>
    <row r="52" spans="11:29">
      <c r="K52" s="150"/>
      <c r="L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  <c r="AB52" s="150"/>
      <c r="AC52" s="150"/>
    </row>
    <row r="53" spans="11:29">
      <c r="K53" s="150"/>
      <c r="L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50"/>
      <c r="AB53" s="150"/>
      <c r="AC53" s="150"/>
    </row>
    <row r="60" spans="11:29">
      <c r="O60" s="165"/>
      <c r="P60" s="165"/>
      <c r="Q60" s="165"/>
      <c r="R60" s="165"/>
      <c r="S60" s="165"/>
      <c r="T60" s="165"/>
    </row>
    <row r="61" spans="11:29">
      <c r="O61" s="165"/>
      <c r="P61" s="165"/>
      <c r="Q61" s="165"/>
      <c r="R61" s="165"/>
      <c r="S61" s="165"/>
      <c r="T61" s="165"/>
    </row>
    <row r="62" spans="11:29">
      <c r="O62" s="165"/>
      <c r="P62" s="165"/>
      <c r="Q62" s="165"/>
      <c r="R62" s="165"/>
      <c r="S62" s="165"/>
      <c r="T62" s="165"/>
    </row>
    <row r="63" spans="11:29">
      <c r="O63" s="165"/>
      <c r="P63" s="165"/>
      <c r="Q63" s="165"/>
      <c r="R63" s="165"/>
      <c r="S63" s="165"/>
      <c r="T63" s="165"/>
    </row>
    <row r="64" spans="11:29">
      <c r="O64" s="165"/>
      <c r="P64" s="165"/>
      <c r="Q64" s="165"/>
      <c r="R64" s="165"/>
      <c r="S64" s="165"/>
      <c r="T64" s="165"/>
    </row>
    <row r="65" spans="15:20">
      <c r="O65" s="165"/>
      <c r="P65" s="165"/>
      <c r="Q65" s="165"/>
      <c r="R65" s="165"/>
      <c r="S65" s="165"/>
      <c r="T65" s="165"/>
    </row>
    <row r="66" spans="15:20">
      <c r="O66" s="165"/>
      <c r="P66" s="165"/>
      <c r="Q66" s="165"/>
      <c r="R66" s="165"/>
      <c r="S66" s="165"/>
      <c r="T66" s="165"/>
    </row>
    <row r="67" spans="15:20">
      <c r="O67" s="165"/>
      <c r="P67" s="165"/>
      <c r="Q67" s="165"/>
      <c r="R67" s="165"/>
      <c r="S67" s="165"/>
      <c r="T67" s="165"/>
    </row>
    <row r="68" spans="15:20">
      <c r="O68" s="165"/>
      <c r="P68" s="165"/>
      <c r="Q68" s="165"/>
      <c r="R68" s="165"/>
      <c r="S68" s="165"/>
      <c r="T68" s="165"/>
    </row>
  </sheetData>
  <mergeCells count="116">
    <mergeCell ref="H4:K4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B29:C29"/>
    <mergeCell ref="D29:E29"/>
    <mergeCell ref="F29:G2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N34:Q34"/>
    <mergeCell ref="B35:C35"/>
    <mergeCell ref="D35:E35"/>
    <mergeCell ref="F35:G35"/>
    <mergeCell ref="N35:Q35"/>
    <mergeCell ref="N37:Q37"/>
    <mergeCell ref="A39:B39"/>
    <mergeCell ref="C39:D39"/>
    <mergeCell ref="H39:J39"/>
    <mergeCell ref="N39:Q39"/>
    <mergeCell ref="A41:B41"/>
    <mergeCell ref="C41:D41"/>
    <mergeCell ref="H41:J41"/>
    <mergeCell ref="N41:Q41"/>
    <mergeCell ref="H43:J43"/>
    <mergeCell ref="N43:Q43"/>
    <mergeCell ref="N45:Q45"/>
    <mergeCell ref="A6:A7"/>
    <mergeCell ref="A33:A34"/>
    <mergeCell ref="H6:H7"/>
    <mergeCell ref="H33:H34"/>
    <mergeCell ref="I6:I7"/>
    <mergeCell ref="I33:I34"/>
    <mergeCell ref="J6:J7"/>
    <mergeCell ref="K6:K7"/>
    <mergeCell ref="L6:L7"/>
    <mergeCell ref="M6:M7"/>
    <mergeCell ref="N6:N7"/>
    <mergeCell ref="O6:O7"/>
    <mergeCell ref="T6:T7"/>
    <mergeCell ref="U6:U7"/>
    <mergeCell ref="B33:C34"/>
    <mergeCell ref="D33:E34"/>
    <mergeCell ref="F33:G34"/>
  </mergeCells>
  <conditionalFormatting sqref="O8">
    <cfRule type="cellIs" dxfId="0" priority="10" operator="equal">
      <formula>"N/A"</formula>
    </cfRule>
  </conditionalFormatting>
  <conditionalFormatting sqref="A30">
    <cfRule type="cellIs" dxfId="1" priority="11" operator="equal">
      <formula>"STB"</formula>
    </cfRule>
    <cfRule type="cellIs" dxfId="0" priority="12" operator="equal">
      <formula>"BD"</formula>
    </cfRule>
  </conditionalFormatting>
  <conditionalFormatting sqref="B8:B31">
    <cfRule type="cellIs" dxfId="1" priority="1" operator="equal">
      <formula>"STB"</formula>
    </cfRule>
    <cfRule type="cellIs" dxfId="0" priority="2" operator="equal">
      <formula>"BD"</formula>
    </cfRule>
  </conditionalFormatting>
  <conditionalFormatting sqref="D8:D31">
    <cfRule type="cellIs" dxfId="1" priority="8" operator="equal">
      <formula>"STB"</formula>
    </cfRule>
    <cfRule type="cellIs" dxfId="0" priority="9" operator="equal">
      <formula>"BD"</formula>
    </cfRule>
  </conditionalFormatting>
  <conditionalFormatting sqref="F8:F31">
    <cfRule type="cellIs" dxfId="1" priority="3" operator="equal">
      <formula>"STB"</formula>
    </cfRule>
    <cfRule type="cellIs" dxfId="0" priority="4" operator="equal">
      <formula>"BD"</formula>
    </cfRule>
  </conditionalFormatting>
  <conditionalFormatting sqref="H8:H31">
    <cfRule type="top10" dxfId="2" priority="5" bottom="1" rank="1"/>
    <cfRule type="top10" dxfId="3" priority="6" rank="1"/>
    <cfRule type="cellIs" dxfId="4" priority="7" stopIfTrue="1" operator="equal">
      <formula>28000</formula>
    </cfRule>
  </conditionalFormatting>
  <conditionalFormatting sqref="H32:H33">
    <cfRule type="top10" dxfId="2" priority="14" bottom="1" rank="1"/>
    <cfRule type="top10" dxfId="3" priority="15" rank="1"/>
    <cfRule type="cellIs" dxfId="4" priority="17" stopIfTrue="1" operator="equal">
      <formula>28000</formula>
    </cfRule>
  </conditionalFormatting>
  <conditionalFormatting sqref="Y8:Y31">
    <cfRule type="containsText" dxfId="5" priority="13" operator="between" text="-">
      <formula>NOT(ISERROR(SEARCH("-",Y8)))</formula>
    </cfRule>
  </conditionalFormatting>
  <conditionalFormatting sqref="N8 N9:O31">
    <cfRule type="cellIs" dxfId="0" priority="16" operator="equal">
      <formula>"BD"</formula>
    </cfRule>
  </conditionalFormatting>
  <pageMargins left="0.7" right="0.7" top="0.75" bottom="0.75" header="0.3" footer="0.3"/>
  <pageSetup paperSize="1" orientation="portrait" verticalDpi="360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C68"/>
  <sheetViews>
    <sheetView zoomScale="80" zoomScaleNormal="80" workbookViewId="0">
      <pane ySplit="7" topLeftCell="A9" activePane="bottomLeft" state="frozen"/>
      <selection/>
      <selection pane="bottomLeft" activeCell="A3" sqref="$A3:$XFD3"/>
    </sheetView>
  </sheetViews>
  <sheetFormatPr defaultColWidth="8.81666666666667" defaultRowHeight="14.25"/>
  <cols>
    <col min="1" max="1" width="16.725" customWidth="1"/>
    <col min="2" max="2" width="8.725" customWidth="1"/>
    <col min="3" max="7" width="5.725" customWidth="1"/>
    <col min="8" max="8" width="14.2666666666667" customWidth="1"/>
    <col min="9" max="9" width="15.1833333333333" customWidth="1"/>
    <col min="10" max="10" width="15.5416666666667" customWidth="1"/>
    <col min="11" max="11" width="7" customWidth="1"/>
    <col min="12" max="12" width="8.54166666666667" customWidth="1"/>
    <col min="13" max="13" width="11.725" style="5" customWidth="1"/>
    <col min="14" max="14" width="17.1833333333333" customWidth="1"/>
    <col min="15" max="15" width="15.45" customWidth="1"/>
    <col min="16" max="16" width="7.45" customWidth="1"/>
    <col min="17" max="17" width="9.54166666666667" customWidth="1"/>
    <col min="18" max="18" width="10" customWidth="1"/>
    <col min="19" max="20" width="9.81666666666667" customWidth="1"/>
    <col min="21" max="21" width="6.725" customWidth="1"/>
    <col min="22" max="22" width="13.8166666666667" customWidth="1"/>
    <col min="23" max="23" width="11.2666666666667" customWidth="1"/>
    <col min="24" max="24" width="9.26666666666667" customWidth="1"/>
    <col min="25" max="25" width="3.725" customWidth="1"/>
    <col min="26" max="29" width="7.725" customWidth="1"/>
    <col min="30" max="30" width="6.725" customWidth="1"/>
  </cols>
  <sheetData>
    <row r="1" ht="3" customHeight="1"/>
    <row r="2" ht="6" customHeight="1" spans="1:2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="1" customFormat="1" ht="6.75" customHeight="1" spans="1:29">
      <c r="K3" s="7"/>
      <c r="L3" s="8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17.25" customHeight="1" spans="1:29">
      <c r="A4" s="1"/>
      <c r="B4" s="10"/>
      <c r="C4" s="10"/>
      <c r="D4" s="10"/>
      <c r="E4" s="11"/>
      <c r="F4" s="11"/>
      <c r="G4" s="11"/>
      <c r="H4" s="12">
        <f>'[18]Taniwel daily'!C4</f>
        <v>45309</v>
      </c>
      <c r="I4" s="13"/>
      <c r="J4" s="13"/>
      <c r="K4" s="14"/>
      <c r="L4" s="15"/>
      <c r="M4" s="16"/>
      <c r="N4" s="10"/>
      <c r="O4" s="10"/>
      <c r="P4" s="10"/>
      <c r="Q4" s="10"/>
      <c r="R4" s="10"/>
      <c r="S4" s="10"/>
      <c r="T4" s="10"/>
      <c r="U4" s="10"/>
      <c r="V4" s="7"/>
      <c r="W4" s="7"/>
      <c r="X4" s="7"/>
      <c r="Y4" s="7"/>
      <c r="Z4" s="7"/>
      <c r="AA4" s="7"/>
      <c r="AB4" s="7"/>
      <c r="AC4" s="7"/>
    </row>
    <row r="5" ht="7.5" customHeight="1" spans="1:29">
      <c r="A5" s="1"/>
      <c r="B5" s="17"/>
      <c r="C5" s="1"/>
      <c r="D5" s="1"/>
      <c r="E5" s="1"/>
      <c r="F5" s="1"/>
      <c r="G5" s="1"/>
      <c r="H5" s="1"/>
      <c r="I5" s="1"/>
      <c r="J5" s="1"/>
      <c r="K5" s="18"/>
      <c r="L5" s="7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ht="17.25" customHeight="1" spans="1:29">
      <c r="A6" s="19" t="s">
        <v>0</v>
      </c>
      <c r="B6" s="20" t="s">
        <v>1</v>
      </c>
      <c r="C6" s="21"/>
      <c r="D6" s="20" t="s">
        <v>2</v>
      </c>
      <c r="E6" s="21"/>
      <c r="F6" s="20" t="s">
        <v>3</v>
      </c>
      <c r="G6" s="21"/>
      <c r="H6" s="22" t="s">
        <v>4</v>
      </c>
      <c r="I6" s="22" t="s">
        <v>5</v>
      </c>
      <c r="J6" s="23" t="s">
        <v>6</v>
      </c>
      <c r="K6" s="19" t="s">
        <v>0</v>
      </c>
      <c r="L6" s="24" t="s">
        <v>7</v>
      </c>
      <c r="M6" s="25" t="s">
        <v>8</v>
      </c>
      <c r="N6" s="26" t="s">
        <v>9</v>
      </c>
      <c r="O6" s="25" t="s">
        <v>10</v>
      </c>
      <c r="P6" s="27"/>
      <c r="Q6" s="28"/>
      <c r="R6" s="28"/>
      <c r="S6" s="28"/>
      <c r="T6" s="28"/>
      <c r="U6" s="29"/>
    </row>
    <row r="7" ht="15.75" customHeight="1" spans="1:29">
      <c r="A7" s="30"/>
      <c r="B7" s="31">
        <v>1</v>
      </c>
      <c r="C7" s="32"/>
      <c r="D7" s="31">
        <v>2</v>
      </c>
      <c r="E7" s="32"/>
      <c r="F7" s="31">
        <v>3</v>
      </c>
      <c r="G7" s="32"/>
      <c r="H7" s="33"/>
      <c r="I7" s="33"/>
      <c r="J7" s="34"/>
      <c r="K7" s="30"/>
      <c r="L7" s="35"/>
      <c r="M7" s="36"/>
      <c r="N7" s="37"/>
      <c r="O7" s="38"/>
      <c r="P7" s="27"/>
      <c r="Q7" s="28"/>
      <c r="R7" s="28"/>
      <c r="S7" s="28"/>
      <c r="T7" s="28"/>
      <c r="U7" s="29"/>
      <c r="X7" s="39"/>
    </row>
    <row r="8" s="2" customFormat="1" ht="15" customHeight="1" spans="1:29">
      <c r="A8" s="40">
        <v>0.0416666666666666</v>
      </c>
      <c r="B8" s="41" t="s">
        <v>11</v>
      </c>
      <c r="C8" s="42"/>
      <c r="D8" s="41">
        <v>362</v>
      </c>
      <c r="E8" s="42"/>
      <c r="F8" s="41" t="s">
        <v>26</v>
      </c>
      <c r="G8" s="42"/>
      <c r="H8" s="43">
        <f t="shared" ref="H8:H31" si="0">IF(SUM(B8:G8)/1000=0,"0",SUM(B8:G8))</f>
        <v>362</v>
      </c>
      <c r="I8" s="44">
        <f t="shared" ref="I8:I31" si="1">IFERROR(AVERAGE(B8:G8),"0")</f>
        <v>362</v>
      </c>
      <c r="J8" s="45">
        <f t="shared" ref="J8:J31" si="2">COUNT(B8:G8)</f>
        <v>1</v>
      </c>
      <c r="K8" s="46">
        <v>0.0416666666666667</v>
      </c>
      <c r="L8" s="47">
        <v>4500</v>
      </c>
      <c r="M8" s="48">
        <v>172.51</v>
      </c>
      <c r="N8" s="49">
        <f>(M9-M8)*12000</f>
        <v>480.000000000246</v>
      </c>
      <c r="O8" s="50"/>
      <c r="P8" s="51"/>
      <c r="Q8" s="52"/>
      <c r="R8" s="52"/>
      <c r="S8" s="52"/>
      <c r="T8" s="52"/>
      <c r="U8" s="53"/>
    </row>
    <row r="9" s="3" customFormat="1" ht="15" customHeight="1" spans="1:29">
      <c r="A9" s="40">
        <v>0.0833333333333333</v>
      </c>
      <c r="B9" s="41" t="s">
        <v>11</v>
      </c>
      <c r="C9" s="42"/>
      <c r="D9" s="41">
        <v>343</v>
      </c>
      <c r="E9" s="42"/>
      <c r="F9" s="41" t="s">
        <v>26</v>
      </c>
      <c r="G9" s="42"/>
      <c r="H9" s="43">
        <f t="shared" si="0"/>
        <v>343</v>
      </c>
      <c r="I9" s="44">
        <f t="shared" si="1"/>
        <v>343</v>
      </c>
      <c r="J9" s="45">
        <f t="shared" si="2"/>
        <v>1</v>
      </c>
      <c r="K9" s="46">
        <v>0.0833333333333333</v>
      </c>
      <c r="L9" s="47">
        <v>4200</v>
      </c>
      <c r="M9" s="54">
        <v>172.55</v>
      </c>
      <c r="N9" s="49">
        <f t="shared" ref="N9:N30" si="3">(M10-M9)*12000</f>
        <v>479.999999999905</v>
      </c>
      <c r="O9" s="55"/>
      <c r="P9" s="51"/>
      <c r="Q9" s="52"/>
      <c r="R9" s="52"/>
      <c r="S9" s="52"/>
      <c r="T9" s="52"/>
      <c r="U9" s="53"/>
    </row>
    <row r="10" s="3" customFormat="1" ht="15" customHeight="1" spans="1:29">
      <c r="A10" s="40">
        <v>0.125</v>
      </c>
      <c r="B10" s="41" t="s">
        <v>11</v>
      </c>
      <c r="C10" s="42"/>
      <c r="D10" s="41">
        <v>452</v>
      </c>
      <c r="E10" s="42"/>
      <c r="F10" s="41" t="s">
        <v>26</v>
      </c>
      <c r="G10" s="42"/>
      <c r="H10" s="43">
        <f t="shared" si="0"/>
        <v>452</v>
      </c>
      <c r="I10" s="44">
        <f t="shared" si="1"/>
        <v>452</v>
      </c>
      <c r="J10" s="45">
        <f t="shared" si="2"/>
        <v>1</v>
      </c>
      <c r="K10" s="46">
        <v>0.125</v>
      </c>
      <c r="L10" s="47">
        <v>4200</v>
      </c>
      <c r="M10" s="54">
        <v>172.59</v>
      </c>
      <c r="N10" s="49">
        <f t="shared" si="3"/>
        <v>360.000000000014</v>
      </c>
      <c r="O10" s="56"/>
      <c r="P10" s="51"/>
      <c r="Q10" s="52"/>
      <c r="R10" s="52"/>
      <c r="S10" s="52"/>
      <c r="T10" s="52"/>
      <c r="U10" s="53"/>
    </row>
    <row r="11" s="3" customFormat="1" ht="15" customHeight="1" spans="1:29">
      <c r="A11" s="40">
        <v>0.166666666666667</v>
      </c>
      <c r="B11" s="41" t="s">
        <v>11</v>
      </c>
      <c r="C11" s="42"/>
      <c r="D11" s="41">
        <v>330</v>
      </c>
      <c r="E11" s="42"/>
      <c r="F11" s="41" t="s">
        <v>26</v>
      </c>
      <c r="G11" s="42"/>
      <c r="H11" s="43">
        <f t="shared" si="0"/>
        <v>330</v>
      </c>
      <c r="I11" s="44">
        <f t="shared" si="1"/>
        <v>330</v>
      </c>
      <c r="J11" s="45">
        <f t="shared" si="2"/>
        <v>1</v>
      </c>
      <c r="K11" s="46">
        <v>0.166666666666667</v>
      </c>
      <c r="L11" s="47">
        <v>4000</v>
      </c>
      <c r="M11" s="54">
        <v>172.62</v>
      </c>
      <c r="N11" s="49">
        <f t="shared" si="3"/>
        <v>360.000000000014</v>
      </c>
      <c r="O11" s="56"/>
      <c r="P11" s="51"/>
      <c r="Q11" s="52"/>
      <c r="R11" s="52"/>
      <c r="S11" s="52"/>
      <c r="T11" s="52"/>
      <c r="U11" s="53"/>
    </row>
    <row r="12" s="3" customFormat="1" ht="15" customHeight="1" spans="1:29">
      <c r="A12" s="40">
        <v>0.208333333333333</v>
      </c>
      <c r="B12" s="41" t="s">
        <v>11</v>
      </c>
      <c r="C12" s="42"/>
      <c r="D12" s="41">
        <v>339</v>
      </c>
      <c r="E12" s="42"/>
      <c r="F12" s="41" t="s">
        <v>26</v>
      </c>
      <c r="G12" s="42"/>
      <c r="H12" s="43">
        <f t="shared" si="0"/>
        <v>339</v>
      </c>
      <c r="I12" s="44">
        <f t="shared" si="1"/>
        <v>339</v>
      </c>
      <c r="J12" s="45">
        <f t="shared" si="2"/>
        <v>1</v>
      </c>
      <c r="K12" s="46">
        <v>0.208333333333333</v>
      </c>
      <c r="L12" s="47">
        <v>3900</v>
      </c>
      <c r="M12" s="54">
        <v>172.65</v>
      </c>
      <c r="N12" s="49">
        <f t="shared" si="3"/>
        <v>360.000000000014</v>
      </c>
      <c r="O12" s="56"/>
      <c r="P12" s="51"/>
      <c r="Q12" s="52"/>
      <c r="R12" s="52"/>
      <c r="S12" s="52"/>
      <c r="T12" s="52"/>
      <c r="U12" s="53"/>
    </row>
    <row r="13" s="3" customFormat="1" ht="15" customHeight="1" spans="1:29">
      <c r="A13" s="40">
        <v>0.25</v>
      </c>
      <c r="B13" s="41" t="s">
        <v>11</v>
      </c>
      <c r="C13" s="42"/>
      <c r="D13" s="41">
        <v>364</v>
      </c>
      <c r="E13" s="42"/>
      <c r="F13" s="41" t="s">
        <v>26</v>
      </c>
      <c r="G13" s="42"/>
      <c r="H13" s="43">
        <f t="shared" si="0"/>
        <v>364</v>
      </c>
      <c r="I13" s="44">
        <f t="shared" si="1"/>
        <v>364</v>
      </c>
      <c r="J13" s="45">
        <f t="shared" si="2"/>
        <v>1</v>
      </c>
      <c r="K13" s="46">
        <v>0.25</v>
      </c>
      <c r="L13" s="47">
        <v>3600</v>
      </c>
      <c r="M13" s="54">
        <v>172.68</v>
      </c>
      <c r="N13" s="49">
        <f t="shared" si="3"/>
        <v>479.999999999905</v>
      </c>
      <c r="O13" s="56"/>
      <c r="P13" s="51"/>
      <c r="Q13" s="52"/>
      <c r="R13" s="52"/>
      <c r="S13" s="52"/>
      <c r="T13" s="52"/>
      <c r="U13" s="53"/>
    </row>
    <row r="14" s="3" customFormat="1" ht="15" customHeight="1" spans="1:29">
      <c r="A14" s="40">
        <v>0.291666666666667</v>
      </c>
      <c r="B14" s="41" t="s">
        <v>11</v>
      </c>
      <c r="C14" s="42"/>
      <c r="D14" s="41">
        <v>388</v>
      </c>
      <c r="E14" s="42"/>
      <c r="F14" s="41" t="s">
        <v>26</v>
      </c>
      <c r="G14" s="42"/>
      <c r="H14" s="43">
        <f t="shared" si="0"/>
        <v>388</v>
      </c>
      <c r="I14" s="44">
        <f t="shared" si="1"/>
        <v>388</v>
      </c>
      <c r="J14" s="45">
        <f t="shared" si="2"/>
        <v>1</v>
      </c>
      <c r="K14" s="46">
        <v>0.291666666666667</v>
      </c>
      <c r="L14" s="47">
        <v>3600</v>
      </c>
      <c r="M14" s="54">
        <v>172.72</v>
      </c>
      <c r="N14" s="49">
        <f t="shared" si="3"/>
        <v>360.000000000014</v>
      </c>
      <c r="O14" s="56"/>
      <c r="P14" s="51"/>
      <c r="Q14" s="52"/>
      <c r="R14" s="52"/>
      <c r="S14" s="52"/>
      <c r="T14" s="52"/>
      <c r="U14" s="53"/>
    </row>
    <row r="15" s="3" customFormat="1" ht="15" customHeight="1" spans="1:29">
      <c r="A15" s="40">
        <v>0.333333333333333</v>
      </c>
      <c r="B15" s="41" t="s">
        <v>11</v>
      </c>
      <c r="C15" s="42"/>
      <c r="D15" s="41" t="s">
        <v>26</v>
      </c>
      <c r="E15" s="42"/>
      <c r="F15" s="41">
        <v>363</v>
      </c>
      <c r="G15" s="42"/>
      <c r="H15" s="43">
        <f t="shared" si="0"/>
        <v>363</v>
      </c>
      <c r="I15" s="44">
        <f t="shared" si="1"/>
        <v>363</v>
      </c>
      <c r="J15" s="45">
        <f t="shared" si="2"/>
        <v>1</v>
      </c>
      <c r="K15" s="46">
        <v>0.333333333333333</v>
      </c>
      <c r="L15" s="47">
        <v>3600</v>
      </c>
      <c r="M15" s="54">
        <v>172.75</v>
      </c>
      <c r="N15" s="49">
        <f t="shared" si="3"/>
        <v>479.999999999905</v>
      </c>
      <c r="O15" s="56"/>
      <c r="P15" s="51"/>
      <c r="Q15" s="52"/>
      <c r="R15" s="52"/>
      <c r="S15" s="52"/>
      <c r="T15" s="52"/>
      <c r="U15" s="53"/>
    </row>
    <row r="16" s="3" customFormat="1" ht="15" customHeight="1" spans="1:29">
      <c r="A16" s="40">
        <v>0.375</v>
      </c>
      <c r="B16" s="41" t="s">
        <v>11</v>
      </c>
      <c r="C16" s="42"/>
      <c r="D16" s="41">
        <v>239</v>
      </c>
      <c r="E16" s="42"/>
      <c r="F16" s="41">
        <v>232</v>
      </c>
      <c r="G16" s="42"/>
      <c r="H16" s="43">
        <f t="shared" si="0"/>
        <v>471</v>
      </c>
      <c r="I16" s="44">
        <f t="shared" si="1"/>
        <v>235.5</v>
      </c>
      <c r="J16" s="45">
        <f t="shared" si="2"/>
        <v>2</v>
      </c>
      <c r="K16" s="46">
        <v>0.375</v>
      </c>
      <c r="L16" s="47">
        <v>3600</v>
      </c>
      <c r="M16" s="54">
        <v>172.79</v>
      </c>
      <c r="N16" s="49">
        <f t="shared" si="3"/>
        <v>600.000000000136</v>
      </c>
      <c r="O16" s="56"/>
      <c r="P16" s="51"/>
      <c r="Q16" s="52"/>
      <c r="R16" s="52"/>
      <c r="S16" s="52"/>
      <c r="T16" s="52"/>
      <c r="U16" s="53"/>
    </row>
    <row r="17" s="3" customFormat="1" ht="15" customHeight="1" spans="1:21">
      <c r="A17" s="40">
        <v>0.416666666666667</v>
      </c>
      <c r="B17" s="41" t="s">
        <v>11</v>
      </c>
      <c r="C17" s="42"/>
      <c r="D17" s="41">
        <v>221</v>
      </c>
      <c r="E17" s="42"/>
      <c r="F17" s="41">
        <v>217</v>
      </c>
      <c r="G17" s="42"/>
      <c r="H17" s="43">
        <f t="shared" si="0"/>
        <v>438</v>
      </c>
      <c r="I17" s="44">
        <f t="shared" si="1"/>
        <v>219</v>
      </c>
      <c r="J17" s="45">
        <f t="shared" si="2"/>
        <v>2</v>
      </c>
      <c r="K17" s="46">
        <v>0.416666666666666</v>
      </c>
      <c r="L17" s="47">
        <v>3400</v>
      </c>
      <c r="M17" s="54">
        <v>172.84</v>
      </c>
      <c r="N17" s="49">
        <f t="shared" si="3"/>
        <v>479.999999999905</v>
      </c>
      <c r="O17" s="56"/>
      <c r="P17" s="51"/>
      <c r="Q17" s="52"/>
      <c r="R17" s="52"/>
      <c r="S17" s="52"/>
      <c r="T17" s="52"/>
      <c r="U17" s="53"/>
    </row>
    <row r="18" s="3" customFormat="1" ht="15" customHeight="1" spans="1:21">
      <c r="A18" s="40">
        <v>0.458333333333333</v>
      </c>
      <c r="B18" s="41" t="s">
        <v>11</v>
      </c>
      <c r="C18" s="42"/>
      <c r="D18" s="41">
        <v>223</v>
      </c>
      <c r="E18" s="42"/>
      <c r="F18" s="41">
        <v>212</v>
      </c>
      <c r="G18" s="42"/>
      <c r="H18" s="43">
        <f t="shared" si="0"/>
        <v>435</v>
      </c>
      <c r="I18" s="44">
        <f t="shared" si="1"/>
        <v>217.5</v>
      </c>
      <c r="J18" s="45">
        <f t="shared" si="2"/>
        <v>2</v>
      </c>
      <c r="K18" s="46">
        <v>0.458333333333333</v>
      </c>
      <c r="L18" s="47">
        <v>3300</v>
      </c>
      <c r="M18" s="54">
        <v>172.88</v>
      </c>
      <c r="N18" s="49">
        <f t="shared" si="3"/>
        <v>479.999999999905</v>
      </c>
      <c r="O18" s="56"/>
      <c r="P18" s="51"/>
      <c r="Q18" s="52"/>
      <c r="R18" s="52"/>
      <c r="S18" s="52"/>
      <c r="T18" s="52"/>
      <c r="U18" s="53"/>
    </row>
    <row r="19" s="3" customFormat="1" ht="15" customHeight="1" spans="1:21">
      <c r="A19" s="40">
        <v>0.5</v>
      </c>
      <c r="B19" s="41" t="s">
        <v>11</v>
      </c>
      <c r="C19" s="42"/>
      <c r="D19" s="41" t="s">
        <v>26</v>
      </c>
      <c r="E19" s="42"/>
      <c r="F19" s="41">
        <v>432</v>
      </c>
      <c r="G19" s="42"/>
      <c r="H19" s="43">
        <f t="shared" si="0"/>
        <v>432</v>
      </c>
      <c r="I19" s="44">
        <f t="shared" si="1"/>
        <v>432</v>
      </c>
      <c r="J19" s="45">
        <f t="shared" si="2"/>
        <v>1</v>
      </c>
      <c r="K19" s="46">
        <v>0.5</v>
      </c>
      <c r="L19" s="47">
        <v>3300</v>
      </c>
      <c r="M19" s="54">
        <v>172.92</v>
      </c>
      <c r="N19" s="49">
        <f t="shared" si="3"/>
        <v>480.000000000246</v>
      </c>
      <c r="O19" s="56"/>
      <c r="P19" s="51"/>
      <c r="Q19" s="52"/>
      <c r="R19" s="52"/>
      <c r="S19" s="52"/>
      <c r="T19" s="52"/>
      <c r="U19" s="53"/>
    </row>
    <row r="20" s="3" customFormat="1" ht="15" customHeight="1" spans="1:21">
      <c r="A20" s="40">
        <v>0.541666666666667</v>
      </c>
      <c r="B20" s="41" t="s">
        <v>11</v>
      </c>
      <c r="C20" s="42"/>
      <c r="D20" s="41" t="s">
        <v>26</v>
      </c>
      <c r="E20" s="42"/>
      <c r="F20" s="41">
        <v>409</v>
      </c>
      <c r="G20" s="42"/>
      <c r="H20" s="43">
        <f t="shared" si="0"/>
        <v>409</v>
      </c>
      <c r="I20" s="44">
        <f t="shared" si="1"/>
        <v>409</v>
      </c>
      <c r="J20" s="45">
        <f t="shared" si="2"/>
        <v>1</v>
      </c>
      <c r="K20" s="46">
        <v>0.541666666666667</v>
      </c>
      <c r="L20" s="47">
        <v>3000</v>
      </c>
      <c r="M20" s="54">
        <v>172.96</v>
      </c>
      <c r="N20" s="49">
        <f t="shared" si="3"/>
        <v>479.999999999905</v>
      </c>
      <c r="O20" s="56"/>
      <c r="P20" s="51"/>
      <c r="Q20" s="52"/>
      <c r="R20" s="52"/>
      <c r="S20" s="52"/>
      <c r="T20" s="52"/>
      <c r="U20" s="53"/>
    </row>
    <row r="21" s="3" customFormat="1" ht="15" customHeight="1" spans="1:21">
      <c r="A21" s="40">
        <v>0.583333333333333</v>
      </c>
      <c r="B21" s="41" t="s">
        <v>11</v>
      </c>
      <c r="C21" s="42"/>
      <c r="D21" s="41" t="s">
        <v>26</v>
      </c>
      <c r="E21" s="42"/>
      <c r="F21" s="41">
        <v>402</v>
      </c>
      <c r="G21" s="42"/>
      <c r="H21" s="43">
        <f t="shared" si="0"/>
        <v>402</v>
      </c>
      <c r="I21" s="44">
        <f t="shared" si="1"/>
        <v>402</v>
      </c>
      <c r="J21" s="45">
        <f t="shared" si="2"/>
        <v>1</v>
      </c>
      <c r="K21" s="46">
        <v>0.583333333333333</v>
      </c>
      <c r="L21" s="47">
        <v>3000</v>
      </c>
      <c r="M21" s="54">
        <v>173</v>
      </c>
      <c r="N21" s="49">
        <f t="shared" si="3"/>
        <v>360.000000000014</v>
      </c>
      <c r="O21" s="56"/>
      <c r="P21" s="51"/>
      <c r="Q21" s="52"/>
      <c r="R21" s="52"/>
      <c r="S21" s="52"/>
      <c r="T21" s="52"/>
      <c r="U21" s="53"/>
    </row>
    <row r="22" s="3" customFormat="1" ht="15" customHeight="1" spans="1:21">
      <c r="A22" s="40">
        <v>0.625</v>
      </c>
      <c r="B22" s="41" t="s">
        <v>11</v>
      </c>
      <c r="C22" s="42"/>
      <c r="D22" s="41" t="s">
        <v>26</v>
      </c>
      <c r="E22" s="42"/>
      <c r="F22" s="41">
        <v>411</v>
      </c>
      <c r="G22" s="42"/>
      <c r="H22" s="43">
        <f t="shared" si="0"/>
        <v>411</v>
      </c>
      <c r="I22" s="44">
        <f t="shared" si="1"/>
        <v>411</v>
      </c>
      <c r="J22" s="45">
        <f t="shared" si="2"/>
        <v>1</v>
      </c>
      <c r="K22" s="46">
        <v>0.625</v>
      </c>
      <c r="L22" s="47">
        <v>3000</v>
      </c>
      <c r="M22" s="54">
        <v>173.03</v>
      </c>
      <c r="N22" s="49">
        <f t="shared" si="3"/>
        <v>479.999999999905</v>
      </c>
      <c r="O22" s="56"/>
      <c r="P22" s="51"/>
      <c r="Q22" s="52"/>
      <c r="R22" s="52"/>
      <c r="S22" s="52"/>
      <c r="T22" s="52"/>
      <c r="U22" s="53"/>
    </row>
    <row r="23" s="3" customFormat="1" ht="15" customHeight="1" spans="1:21">
      <c r="A23" s="40">
        <v>0.666666666666667</v>
      </c>
      <c r="B23" s="41" t="s">
        <v>11</v>
      </c>
      <c r="C23" s="42"/>
      <c r="D23" s="41" t="s">
        <v>26</v>
      </c>
      <c r="E23" s="42"/>
      <c r="F23" s="41">
        <v>406</v>
      </c>
      <c r="G23" s="42"/>
      <c r="H23" s="43">
        <f t="shared" si="0"/>
        <v>406</v>
      </c>
      <c r="I23" s="44">
        <f t="shared" si="1"/>
        <v>406</v>
      </c>
      <c r="J23" s="45">
        <f t="shared" si="2"/>
        <v>1</v>
      </c>
      <c r="K23" s="46">
        <v>0.666666666666666</v>
      </c>
      <c r="L23" s="47">
        <v>3000</v>
      </c>
      <c r="M23" s="54">
        <v>173.07</v>
      </c>
      <c r="N23" s="49">
        <f t="shared" si="3"/>
        <v>480.000000000246</v>
      </c>
      <c r="O23" s="56"/>
      <c r="P23" s="51"/>
      <c r="Q23" s="52"/>
      <c r="R23" s="52"/>
      <c r="S23" s="52"/>
      <c r="T23" s="52"/>
      <c r="U23" s="53"/>
    </row>
    <row r="24" s="3" customFormat="1" ht="15" customHeight="1" spans="1:21">
      <c r="A24" s="40">
        <v>0.708333333333334</v>
      </c>
      <c r="B24" s="41" t="s">
        <v>11</v>
      </c>
      <c r="C24" s="42"/>
      <c r="D24" s="41" t="s">
        <v>26</v>
      </c>
      <c r="E24" s="42"/>
      <c r="F24" s="41">
        <v>424</v>
      </c>
      <c r="G24" s="42"/>
      <c r="H24" s="43">
        <f t="shared" si="0"/>
        <v>424</v>
      </c>
      <c r="I24" s="44">
        <f t="shared" si="1"/>
        <v>424</v>
      </c>
      <c r="J24" s="45">
        <f t="shared" si="2"/>
        <v>1</v>
      </c>
      <c r="K24" s="46">
        <v>0.708333333333333</v>
      </c>
      <c r="L24" s="47">
        <v>2700</v>
      </c>
      <c r="M24" s="54">
        <v>173.11</v>
      </c>
      <c r="N24" s="49">
        <f t="shared" si="3"/>
        <v>479.999999999905</v>
      </c>
      <c r="O24" s="56"/>
      <c r="P24" s="51"/>
      <c r="Q24" s="52"/>
      <c r="R24" s="52"/>
      <c r="S24" s="52"/>
      <c r="T24" s="52"/>
      <c r="U24" s="53"/>
    </row>
    <row r="25" s="3" customFormat="1" ht="15" customHeight="1" spans="1:21">
      <c r="A25" s="40">
        <v>0.75</v>
      </c>
      <c r="B25" s="41" t="s">
        <v>11</v>
      </c>
      <c r="C25" s="42"/>
      <c r="D25" s="41">
        <v>226</v>
      </c>
      <c r="E25" s="42"/>
      <c r="F25" s="41">
        <v>235</v>
      </c>
      <c r="G25" s="42"/>
      <c r="H25" s="43">
        <f t="shared" si="0"/>
        <v>461</v>
      </c>
      <c r="I25" s="44">
        <f t="shared" si="1"/>
        <v>230.5</v>
      </c>
      <c r="J25" s="45">
        <f t="shared" si="2"/>
        <v>2</v>
      </c>
      <c r="K25" s="46">
        <v>0.75</v>
      </c>
      <c r="L25" s="47">
        <v>2400</v>
      </c>
      <c r="M25" s="54">
        <v>173.15</v>
      </c>
      <c r="N25" s="49">
        <f t="shared" si="3"/>
        <v>720.000000000027</v>
      </c>
      <c r="O25" s="56"/>
      <c r="P25" s="51"/>
      <c r="Q25" s="52"/>
      <c r="R25" s="52"/>
      <c r="S25" s="52"/>
      <c r="T25" s="52"/>
      <c r="U25" s="53"/>
    </row>
    <row r="26" s="3" customFormat="1" ht="15" customHeight="1" spans="1:21">
      <c r="A26" s="40">
        <v>0.791666666666667</v>
      </c>
      <c r="B26" s="41" t="s">
        <v>11</v>
      </c>
      <c r="C26" s="42"/>
      <c r="D26" s="41">
        <v>273</v>
      </c>
      <c r="E26" s="42"/>
      <c r="F26" s="41">
        <v>321</v>
      </c>
      <c r="G26" s="42"/>
      <c r="H26" s="43">
        <f t="shared" si="0"/>
        <v>594</v>
      </c>
      <c r="I26" s="44">
        <f t="shared" si="1"/>
        <v>297</v>
      </c>
      <c r="J26" s="45">
        <f t="shared" si="2"/>
        <v>2</v>
      </c>
      <c r="K26" s="46">
        <v>0.791666666666666</v>
      </c>
      <c r="L26" s="47">
        <v>2100</v>
      </c>
      <c r="M26" s="54">
        <v>173.21</v>
      </c>
      <c r="N26" s="49">
        <f t="shared" si="3"/>
        <v>720.000000000027</v>
      </c>
      <c r="O26" s="56"/>
      <c r="P26" s="51"/>
      <c r="Q26" s="52"/>
      <c r="R26" s="52"/>
      <c r="S26" s="52"/>
      <c r="T26" s="52"/>
      <c r="U26" s="53"/>
    </row>
    <row r="27" s="3" customFormat="1" ht="15" customHeight="1" spans="1:21">
      <c r="A27" s="40">
        <v>0.833333333333334</v>
      </c>
      <c r="B27" s="41" t="s">
        <v>11</v>
      </c>
      <c r="C27" s="42"/>
      <c r="D27" s="41">
        <v>231</v>
      </c>
      <c r="E27" s="42"/>
      <c r="F27" s="41">
        <v>387</v>
      </c>
      <c r="G27" s="42"/>
      <c r="H27" s="43">
        <f t="shared" si="0"/>
        <v>618</v>
      </c>
      <c r="I27" s="44">
        <f t="shared" si="1"/>
        <v>309</v>
      </c>
      <c r="J27" s="45">
        <f t="shared" si="2"/>
        <v>2</v>
      </c>
      <c r="K27" s="46">
        <v>0.833333333333333</v>
      </c>
      <c r="L27" s="47">
        <v>2100</v>
      </c>
      <c r="M27" s="54">
        <v>173.27</v>
      </c>
      <c r="N27" s="49">
        <f t="shared" si="3"/>
        <v>599.999999999795</v>
      </c>
      <c r="O27" s="56"/>
      <c r="P27" s="51"/>
      <c r="Q27" s="52"/>
      <c r="R27" s="52"/>
      <c r="S27" s="52"/>
      <c r="T27" s="52"/>
      <c r="U27" s="53"/>
    </row>
    <row r="28" s="4" customFormat="1" ht="15" customHeight="1" spans="1:21">
      <c r="A28" s="40">
        <v>0.875</v>
      </c>
      <c r="B28" s="41" t="s">
        <v>11</v>
      </c>
      <c r="C28" s="42"/>
      <c r="D28" s="41">
        <v>220</v>
      </c>
      <c r="E28" s="42"/>
      <c r="F28" s="41">
        <v>249</v>
      </c>
      <c r="G28" s="42"/>
      <c r="H28" s="43">
        <f t="shared" si="0"/>
        <v>469</v>
      </c>
      <c r="I28" s="44">
        <f t="shared" si="1"/>
        <v>234.5</v>
      </c>
      <c r="J28" s="45">
        <f t="shared" si="2"/>
        <v>2</v>
      </c>
      <c r="K28" s="46">
        <v>0.875</v>
      </c>
      <c r="L28" s="47">
        <v>1800</v>
      </c>
      <c r="M28" s="54">
        <v>173.32</v>
      </c>
      <c r="N28" s="49">
        <f t="shared" si="3"/>
        <v>600.000000000136</v>
      </c>
      <c r="O28" s="56"/>
      <c r="P28" s="51"/>
      <c r="Q28" s="52"/>
      <c r="R28" s="52"/>
      <c r="S28" s="52"/>
      <c r="T28" s="52"/>
      <c r="U28" s="53"/>
    </row>
    <row r="29" s="3" customFormat="1" ht="15" customHeight="1" spans="1:21">
      <c r="A29" s="40">
        <v>0.916666666666667</v>
      </c>
      <c r="B29" s="41" t="s">
        <v>11</v>
      </c>
      <c r="C29" s="42"/>
      <c r="D29" s="41">
        <v>191</v>
      </c>
      <c r="E29" s="42"/>
      <c r="F29" s="41">
        <v>249</v>
      </c>
      <c r="G29" s="42"/>
      <c r="H29" s="43">
        <f t="shared" si="0"/>
        <v>440</v>
      </c>
      <c r="I29" s="44">
        <f t="shared" si="1"/>
        <v>220</v>
      </c>
      <c r="J29" s="45">
        <f t="shared" si="2"/>
        <v>2</v>
      </c>
      <c r="K29" s="46">
        <v>0.916666666666666</v>
      </c>
      <c r="L29" s="47">
        <v>1800</v>
      </c>
      <c r="M29" s="54">
        <v>173.37</v>
      </c>
      <c r="N29" s="49">
        <f t="shared" si="3"/>
        <v>479.999999999905</v>
      </c>
      <c r="O29" s="56"/>
      <c r="P29" s="51"/>
      <c r="Q29" s="52"/>
      <c r="R29" s="52"/>
      <c r="S29" s="52"/>
      <c r="T29" s="52"/>
      <c r="U29" s="53"/>
    </row>
    <row r="30" s="3" customFormat="1" ht="15" customHeight="1" spans="1:21">
      <c r="A30" s="40">
        <v>0.958333333333334</v>
      </c>
      <c r="B30" s="41" t="s">
        <v>11</v>
      </c>
      <c r="C30" s="42"/>
      <c r="D30" s="41">
        <v>283</v>
      </c>
      <c r="E30" s="42"/>
      <c r="F30" s="41">
        <v>320</v>
      </c>
      <c r="G30" s="42"/>
      <c r="H30" s="43">
        <f t="shared" si="0"/>
        <v>603</v>
      </c>
      <c r="I30" s="44">
        <f t="shared" si="1"/>
        <v>301.5</v>
      </c>
      <c r="J30" s="45">
        <f t="shared" si="2"/>
        <v>2</v>
      </c>
      <c r="K30" s="46">
        <v>0.958333333333333</v>
      </c>
      <c r="L30" s="47">
        <v>1800</v>
      </c>
      <c r="M30" s="54">
        <v>173.41</v>
      </c>
      <c r="N30" s="49">
        <f t="shared" si="3"/>
        <v>600.000000000136</v>
      </c>
      <c r="O30" s="56"/>
      <c r="P30" s="51"/>
      <c r="Q30" s="52"/>
      <c r="R30" s="52"/>
      <c r="S30" s="52"/>
      <c r="T30" s="52"/>
      <c r="U30" s="53"/>
    </row>
    <row r="31" s="2" customFormat="1" ht="15" customHeight="1" spans="1:21">
      <c r="A31" s="57">
        <v>1</v>
      </c>
      <c r="B31" s="41" t="s">
        <v>11</v>
      </c>
      <c r="C31" s="42"/>
      <c r="D31" s="41">
        <v>178</v>
      </c>
      <c r="E31" s="42"/>
      <c r="F31" s="41">
        <v>324</v>
      </c>
      <c r="G31" s="42"/>
      <c r="H31" s="43">
        <f t="shared" si="0"/>
        <v>502</v>
      </c>
      <c r="I31" s="58">
        <f t="shared" si="1"/>
        <v>251</v>
      </c>
      <c r="J31" s="59">
        <f t="shared" si="2"/>
        <v>2</v>
      </c>
      <c r="K31" s="60">
        <v>1</v>
      </c>
      <c r="L31" s="47">
        <v>4500</v>
      </c>
      <c r="M31" s="61">
        <v>173.46</v>
      </c>
      <c r="N31" s="49">
        <f>H31</f>
        <v>502</v>
      </c>
      <c r="O31" s="56"/>
      <c r="P31" s="51"/>
      <c r="Q31" s="52"/>
      <c r="R31" s="52"/>
      <c r="S31" s="52"/>
      <c r="T31" s="52"/>
      <c r="U31" s="53"/>
    </row>
    <row r="32" s="3" customFormat="1" ht="23.25" customHeight="1" spans="1:21">
      <c r="A32" s="62" t="s">
        <v>12</v>
      </c>
      <c r="B32" s="63">
        <f>SUM(B8:B31)/1000</f>
        <v>0</v>
      </c>
      <c r="C32" s="64"/>
      <c r="D32" s="63">
        <f>SUM(D8:D31)/1000</f>
        <v>4.863</v>
      </c>
      <c r="E32" s="64"/>
      <c r="F32" s="63">
        <f>SUM(F8:F31)/1000</f>
        <v>5.593</v>
      </c>
      <c r="G32" s="64"/>
      <c r="H32" s="65">
        <f>SUM(H8:H31)</f>
        <v>10456</v>
      </c>
      <c r="I32" s="66" t="s">
        <v>13</v>
      </c>
      <c r="J32" s="67"/>
      <c r="K32" s="68"/>
      <c r="L32" s="69"/>
      <c r="M32" s="70">
        <f>SUM(M31-M8+N8)</f>
        <v>480.950000000246</v>
      </c>
      <c r="N32" s="71">
        <f>SUM(N8:N31)</f>
        <v>11902.0000000002</v>
      </c>
      <c r="O32" s="72">
        <f>SUM(O8:O31)</f>
        <v>0</v>
      </c>
      <c r="P32" s="73"/>
      <c r="Q32" s="74"/>
      <c r="R32" s="74"/>
      <c r="S32" s="74"/>
      <c r="T32" s="74"/>
      <c r="U32" s="75"/>
    </row>
    <row r="33" ht="15" customHeight="1" spans="1:29">
      <c r="A33" s="76" t="s">
        <v>14</v>
      </c>
      <c r="B33" s="77" t="str">
        <f>IFERROR((AVERAGE(B8:B31)),"0")</f>
        <v>0</v>
      </c>
      <c r="C33" s="78"/>
      <c r="D33" s="79">
        <f>IFERROR((AVERAGE(D8:D31)),"0")</f>
        <v>286.058823529412</v>
      </c>
      <c r="E33" s="78"/>
      <c r="F33" s="79">
        <f>IFERROR((AVERAGE(F8:F31)),"0")</f>
        <v>329</v>
      </c>
      <c r="G33" s="80"/>
      <c r="H33" s="81">
        <f>H32*1000</f>
        <v>10456000</v>
      </c>
      <c r="I33" s="82" t="s">
        <v>15</v>
      </c>
      <c r="J33" s="83"/>
      <c r="K33" s="84"/>
      <c r="L33" s="85"/>
      <c r="M33" s="86"/>
      <c r="N33" s="85"/>
      <c r="O33" s="87"/>
      <c r="P33" s="87"/>
      <c r="Q33" s="88"/>
      <c r="R33" s="88"/>
      <c r="S33" s="89"/>
      <c r="T33" s="89"/>
      <c r="U33" s="89"/>
      <c r="V33" s="89"/>
    </row>
    <row r="34" ht="18.75" customHeight="1" spans="1:29">
      <c r="A34" s="90"/>
      <c r="B34" s="91"/>
      <c r="C34" s="92"/>
      <c r="D34" s="93"/>
      <c r="E34" s="92"/>
      <c r="F34" s="93"/>
      <c r="G34" s="94"/>
      <c r="H34" s="95"/>
      <c r="I34" s="96"/>
      <c r="J34" s="97"/>
      <c r="K34" s="98"/>
      <c r="L34" s="85"/>
      <c r="M34" s="86"/>
      <c r="N34" s="99"/>
      <c r="O34" s="99"/>
      <c r="P34" s="99"/>
      <c r="Q34" s="99"/>
      <c r="R34" s="88"/>
      <c r="S34" s="89"/>
      <c r="T34" s="89"/>
      <c r="U34" s="89"/>
      <c r="V34" s="89"/>
    </row>
    <row r="35" ht="22.5" customHeight="1" spans="1:29">
      <c r="A35" s="100" t="s">
        <v>16</v>
      </c>
      <c r="B35" s="101">
        <f>COUNT(B8:B31)</f>
        <v>0</v>
      </c>
      <c r="C35" s="102"/>
      <c r="D35" s="103">
        <f>COUNT(D8:D31)</f>
        <v>17</v>
      </c>
      <c r="E35" s="102"/>
      <c r="F35" s="103">
        <f>COUNT(F8:F31)</f>
        <v>17</v>
      </c>
      <c r="G35" s="104"/>
      <c r="H35" s="105"/>
      <c r="I35" s="106"/>
      <c r="J35" s="107"/>
      <c r="K35" s="107"/>
      <c r="L35" s="107"/>
      <c r="M35" s="107"/>
      <c r="N35" s="99"/>
      <c r="O35" s="99"/>
      <c r="P35" s="99"/>
      <c r="Q35" s="99"/>
      <c r="R35" s="108"/>
      <c r="S35" s="89"/>
      <c r="T35" s="89"/>
      <c r="U35" s="89"/>
      <c r="V35" s="89"/>
    </row>
    <row r="36" ht="9" customHeight="1" spans="1:29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10"/>
      <c r="N36" s="106"/>
      <c r="O36" s="107"/>
      <c r="P36" s="107"/>
      <c r="Q36" s="107"/>
      <c r="R36" s="107"/>
      <c r="S36" s="107"/>
      <c r="T36" s="107"/>
      <c r="U36" s="111"/>
      <c r="V36" s="112"/>
      <c r="W36" s="108"/>
      <c r="X36" s="108"/>
      <c r="Y36" s="108"/>
      <c r="Z36" s="89"/>
      <c r="AA36" s="89"/>
      <c r="AB36" s="89"/>
      <c r="AC36" s="89"/>
    </row>
    <row r="37" ht="24" customHeight="1" spans="1:29">
      <c r="D37" s="113"/>
      <c r="E37" s="113"/>
      <c r="F37" s="113"/>
      <c r="G37" s="113"/>
      <c r="H37" s="113"/>
      <c r="I37" s="113"/>
      <c r="J37" s="113"/>
      <c r="K37" s="114"/>
      <c r="L37" s="114"/>
      <c r="N37" s="115" t="s">
        <v>17</v>
      </c>
      <c r="O37" s="116"/>
      <c r="P37" s="116"/>
      <c r="Q37" s="117"/>
      <c r="R37" s="118">
        <f>SUM(B35:F35)</f>
        <v>34</v>
      </c>
      <c r="S37" s="69"/>
      <c r="T37" s="69"/>
      <c r="U37" s="69"/>
      <c r="V37" s="69"/>
      <c r="X37" s="119"/>
      <c r="Y37" s="119"/>
      <c r="Z37" s="119"/>
      <c r="AA37" s="119"/>
      <c r="AB37" s="119"/>
      <c r="AC37" s="114"/>
    </row>
    <row r="38" ht="15" spans="1:29">
      <c r="D38" s="113"/>
      <c r="E38" s="113"/>
      <c r="F38" s="113"/>
      <c r="G38" s="113"/>
      <c r="H38" s="113"/>
      <c r="I38" s="113"/>
      <c r="J38" s="113"/>
      <c r="K38" s="114"/>
      <c r="L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</row>
    <row r="39" ht="24.75" customHeight="1" spans="1:29">
      <c r="A39" s="120" t="s">
        <v>18</v>
      </c>
      <c r="B39" s="121"/>
      <c r="C39" s="122">
        <f>MAX(H8:H31)</f>
        <v>618</v>
      </c>
      <c r="D39" s="123"/>
      <c r="E39" s="124">
        <f>VLOOKUP(C39,H8:L31,4,FALSE)</f>
        <v>0.833333333333333</v>
      </c>
      <c r="F39" s="125"/>
      <c r="G39" s="125"/>
      <c r="H39" s="126" t="s">
        <v>19</v>
      </c>
      <c r="I39" s="127"/>
      <c r="J39" s="128"/>
      <c r="K39" s="129">
        <f>MAX(J8:J31)</f>
        <v>2</v>
      </c>
      <c r="L39" s="130"/>
      <c r="N39" s="131" t="s">
        <v>20</v>
      </c>
      <c r="O39" s="132"/>
      <c r="P39" s="132"/>
      <c r="Q39" s="133"/>
      <c r="R39" s="134">
        <f>AVERAGE(H8:H31)</f>
        <v>435.666666666667</v>
      </c>
      <c r="S39" s="135"/>
      <c r="T39" s="135"/>
    </row>
    <row r="40" ht="15" spans="1:29">
      <c r="C40" s="136"/>
      <c r="D40" s="137"/>
      <c r="E40" s="138"/>
      <c r="F40" s="138"/>
      <c r="G40" s="138"/>
      <c r="H40" s="138"/>
      <c r="I40" s="139"/>
      <c r="J40" s="106"/>
      <c r="K40" s="110"/>
      <c r="L40" s="110"/>
      <c r="N40" s="140"/>
      <c r="O40" s="140"/>
      <c r="P40" s="140"/>
      <c r="Q40" s="140"/>
      <c r="R40" s="140"/>
      <c r="X40" s="5"/>
      <c r="Y40" s="5"/>
      <c r="Z40" s="5"/>
      <c r="AA40" s="5"/>
      <c r="AB40" s="5"/>
      <c r="AC40" s="141"/>
    </row>
    <row r="41" ht="24.75" customHeight="1" spans="1:29">
      <c r="A41" s="120" t="s">
        <v>21</v>
      </c>
      <c r="B41" s="121"/>
      <c r="C41" s="122">
        <f>MIN(H8:H31)</f>
        <v>330</v>
      </c>
      <c r="D41" s="123"/>
      <c r="E41" s="124">
        <f>VLOOKUP(C41,H8:L31,4,FALSE)</f>
        <v>0.166666666666667</v>
      </c>
      <c r="F41" s="142"/>
      <c r="G41" s="125"/>
      <c r="H41" s="126" t="s">
        <v>22</v>
      </c>
      <c r="I41" s="127"/>
      <c r="J41" s="128"/>
      <c r="K41" s="129">
        <f>MIN(J8:J31)</f>
        <v>1</v>
      </c>
      <c r="L41" s="130"/>
      <c r="N41" s="126" t="s">
        <v>23</v>
      </c>
      <c r="O41" s="127"/>
      <c r="P41" s="127"/>
      <c r="Q41" s="128"/>
      <c r="R41" s="143">
        <f>AVERAGE(I8:I31)</f>
        <v>330.854166666667</v>
      </c>
      <c r="S41" s="144"/>
      <c r="T41" s="144"/>
      <c r="U41" s="144"/>
      <c r="V41" s="144"/>
      <c r="X41" s="145"/>
    </row>
    <row r="42" ht="15" spans="1:29">
      <c r="D42" s="138"/>
      <c r="E42" s="138"/>
      <c r="F42" s="138"/>
      <c r="G42" s="138"/>
      <c r="H42" s="138"/>
      <c r="I42" s="146"/>
      <c r="J42" s="138"/>
      <c r="K42" s="147"/>
      <c r="L42" s="147"/>
      <c r="V42" s="148"/>
      <c r="W42" s="148"/>
      <c r="X42" s="149"/>
      <c r="Y42" s="149"/>
      <c r="Z42" s="150"/>
      <c r="AA42" s="150"/>
      <c r="AB42" s="150"/>
      <c r="AC42" s="150"/>
    </row>
    <row r="43" ht="24.75" customHeight="1" spans="1:29">
      <c r="C43" s="136"/>
      <c r="H43" s="151"/>
      <c r="I43" s="151"/>
      <c r="J43" s="151"/>
      <c r="K43" s="145"/>
      <c r="L43" s="139"/>
      <c r="N43" s="152" t="s">
        <v>24</v>
      </c>
      <c r="O43" s="153"/>
      <c r="P43" s="153"/>
      <c r="Q43" s="154"/>
      <c r="R43" s="155" t="e">
        <f>AVERAGE(T8:T31)</f>
        <v>#DIV/0!</v>
      </c>
      <c r="X43" s="156"/>
      <c r="Z43" s="157"/>
      <c r="AA43" s="157"/>
      <c r="AB43" s="157"/>
      <c r="AC43" s="157"/>
    </row>
    <row r="44" ht="19.5" spans="1:29">
      <c r="I44" s="158"/>
      <c r="K44" s="159"/>
      <c r="L44" s="159"/>
      <c r="Z44" s="160"/>
      <c r="AA44" s="160"/>
      <c r="AB44" s="160"/>
      <c r="AC44" s="160"/>
    </row>
    <row r="45" ht="24.75" customHeight="1" spans="1:29">
      <c r="D45" s="158"/>
      <c r="E45" s="158"/>
      <c r="F45" s="158"/>
      <c r="G45" s="158"/>
      <c r="H45" s="158"/>
      <c r="N45" s="126" t="s">
        <v>25</v>
      </c>
      <c r="O45" s="127"/>
      <c r="P45" s="127"/>
      <c r="Q45" s="128"/>
      <c r="R45" s="161">
        <f>SUM(M32-H32)/24</f>
        <v>-415.627083333323</v>
      </c>
      <c r="X45" s="162"/>
      <c r="Z45" s="163"/>
      <c r="AA45" s="163"/>
      <c r="AB45" s="163"/>
      <c r="AC45" s="163"/>
    </row>
    <row r="46" spans="1:29">
      <c r="Z46" s="164"/>
      <c r="AA46" s="164"/>
      <c r="AB46" s="164"/>
      <c r="AC46" s="164"/>
    </row>
    <row r="47" spans="1:29">
      <c r="Z47" s="139"/>
      <c r="AA47" s="139"/>
      <c r="AB47" s="139"/>
      <c r="AC47" s="139"/>
    </row>
    <row r="48" spans="1:29">
      <c r="Z48" s="139"/>
      <c r="AA48" s="139"/>
      <c r="AB48" s="139"/>
      <c r="AC48" s="139"/>
    </row>
    <row r="49" spans="11:29">
      <c r="Z49" s="157"/>
      <c r="AA49" s="157"/>
      <c r="AB49" s="157"/>
      <c r="AC49" s="157"/>
    </row>
    <row r="50" spans="11:29">
      <c r="Z50" s="157"/>
      <c r="AA50" s="157"/>
      <c r="AB50" s="157"/>
      <c r="AC50" s="157"/>
    </row>
    <row r="51" spans="11:29">
      <c r="K51" s="150"/>
      <c r="L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0"/>
      <c r="AC51" s="150"/>
    </row>
    <row r="52" spans="11:29">
      <c r="K52" s="150"/>
      <c r="L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  <c r="AB52" s="150"/>
      <c r="AC52" s="150"/>
    </row>
    <row r="53" spans="11:29">
      <c r="K53" s="150"/>
      <c r="L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50"/>
      <c r="AB53" s="150"/>
      <c r="AC53" s="150"/>
    </row>
    <row r="60" spans="11:29">
      <c r="O60" s="165"/>
      <c r="P60" s="165"/>
      <c r="Q60" s="165"/>
      <c r="R60" s="165"/>
      <c r="S60" s="165"/>
      <c r="T60" s="165"/>
    </row>
    <row r="61" spans="11:29">
      <c r="O61" s="165"/>
      <c r="P61" s="165"/>
      <c r="Q61" s="165"/>
      <c r="R61" s="165"/>
      <c r="S61" s="165"/>
      <c r="T61" s="165"/>
    </row>
    <row r="62" spans="11:29">
      <c r="O62" s="165"/>
      <c r="P62" s="165"/>
      <c r="Q62" s="165"/>
      <c r="R62" s="165"/>
      <c r="S62" s="165"/>
      <c r="T62" s="165"/>
    </row>
    <row r="63" spans="11:29">
      <c r="O63" s="165"/>
      <c r="P63" s="165"/>
      <c r="Q63" s="165"/>
      <c r="R63" s="165"/>
      <c r="S63" s="165"/>
      <c r="T63" s="165"/>
    </row>
    <row r="64" spans="11:29">
      <c r="O64" s="165"/>
      <c r="P64" s="165"/>
      <c r="Q64" s="165"/>
      <c r="R64" s="165"/>
      <c r="S64" s="165"/>
      <c r="T64" s="165"/>
    </row>
    <row r="65" spans="15:20">
      <c r="O65" s="165"/>
      <c r="P65" s="165"/>
      <c r="Q65" s="165"/>
      <c r="R65" s="165"/>
      <c r="S65" s="165"/>
      <c r="T65" s="165"/>
    </row>
    <row r="66" spans="15:20">
      <c r="O66" s="165"/>
      <c r="P66" s="165"/>
      <c r="Q66" s="165"/>
      <c r="R66" s="165"/>
      <c r="S66" s="165"/>
      <c r="T66" s="165"/>
    </row>
    <row r="67" spans="15:20">
      <c r="O67" s="165"/>
      <c r="P67" s="165"/>
      <c r="Q67" s="165"/>
      <c r="R67" s="165"/>
      <c r="S67" s="165"/>
      <c r="T67" s="165"/>
    </row>
    <row r="68" spans="15:20">
      <c r="O68" s="165"/>
      <c r="P68" s="165"/>
      <c r="Q68" s="165"/>
      <c r="R68" s="165"/>
      <c r="S68" s="165"/>
      <c r="T68" s="165"/>
    </row>
  </sheetData>
  <mergeCells count="116">
    <mergeCell ref="H4:K4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B29:C29"/>
    <mergeCell ref="D29:E29"/>
    <mergeCell ref="F29:G2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N34:Q34"/>
    <mergeCell ref="B35:C35"/>
    <mergeCell ref="D35:E35"/>
    <mergeCell ref="F35:G35"/>
    <mergeCell ref="N35:Q35"/>
    <mergeCell ref="N37:Q37"/>
    <mergeCell ref="A39:B39"/>
    <mergeCell ref="C39:D39"/>
    <mergeCell ref="H39:J39"/>
    <mergeCell ref="N39:Q39"/>
    <mergeCell ref="A41:B41"/>
    <mergeCell ref="C41:D41"/>
    <mergeCell ref="H41:J41"/>
    <mergeCell ref="N41:Q41"/>
    <mergeCell ref="H43:J43"/>
    <mergeCell ref="N43:Q43"/>
    <mergeCell ref="N45:Q45"/>
    <mergeCell ref="A6:A7"/>
    <mergeCell ref="A33:A34"/>
    <mergeCell ref="H6:H7"/>
    <mergeCell ref="H33:H34"/>
    <mergeCell ref="I6:I7"/>
    <mergeCell ref="I33:I34"/>
    <mergeCell ref="J6:J7"/>
    <mergeCell ref="K6:K7"/>
    <mergeCell ref="L6:L7"/>
    <mergeCell ref="M6:M7"/>
    <mergeCell ref="N6:N7"/>
    <mergeCell ref="O6:O7"/>
    <mergeCell ref="T6:T7"/>
    <mergeCell ref="U6:U7"/>
    <mergeCell ref="B33:C34"/>
    <mergeCell ref="D33:E34"/>
    <mergeCell ref="F33:G34"/>
  </mergeCells>
  <conditionalFormatting sqref="O8">
    <cfRule type="cellIs" dxfId="0" priority="10" operator="equal">
      <formula>"N/A"</formula>
    </cfRule>
  </conditionalFormatting>
  <conditionalFormatting sqref="A30">
    <cfRule type="cellIs" dxfId="1" priority="11" operator="equal">
      <formula>"STB"</formula>
    </cfRule>
    <cfRule type="cellIs" dxfId="0" priority="12" operator="equal">
      <formula>"BD"</formula>
    </cfRule>
  </conditionalFormatting>
  <conditionalFormatting sqref="B8:B31">
    <cfRule type="cellIs" dxfId="1" priority="1" operator="equal">
      <formula>"STB"</formula>
    </cfRule>
    <cfRule type="cellIs" dxfId="0" priority="2" operator="equal">
      <formula>"BD"</formula>
    </cfRule>
  </conditionalFormatting>
  <conditionalFormatting sqref="D8:D31">
    <cfRule type="cellIs" dxfId="1" priority="8" operator="equal">
      <formula>"STB"</formula>
    </cfRule>
    <cfRule type="cellIs" dxfId="0" priority="9" operator="equal">
      <formula>"BD"</formula>
    </cfRule>
  </conditionalFormatting>
  <conditionalFormatting sqref="F8:F31">
    <cfRule type="cellIs" dxfId="1" priority="3" operator="equal">
      <formula>"STB"</formula>
    </cfRule>
    <cfRule type="cellIs" dxfId="0" priority="4" operator="equal">
      <formula>"BD"</formula>
    </cfRule>
  </conditionalFormatting>
  <conditionalFormatting sqref="H8:H31">
    <cfRule type="top10" dxfId="2" priority="5" bottom="1" rank="1"/>
    <cfRule type="top10" dxfId="3" priority="6" rank="1"/>
    <cfRule type="cellIs" dxfId="4" priority="7" stopIfTrue="1" operator="equal">
      <formula>28000</formula>
    </cfRule>
  </conditionalFormatting>
  <conditionalFormatting sqref="H32:H33">
    <cfRule type="top10" dxfId="2" priority="14" bottom="1" rank="1"/>
    <cfRule type="top10" dxfId="3" priority="15" rank="1"/>
    <cfRule type="cellIs" dxfId="4" priority="17" stopIfTrue="1" operator="equal">
      <formula>28000</formula>
    </cfRule>
  </conditionalFormatting>
  <conditionalFormatting sqref="Y8:Y31">
    <cfRule type="containsText" dxfId="5" priority="13" operator="between" text="-">
      <formula>NOT(ISERROR(SEARCH("-",Y8)))</formula>
    </cfRule>
  </conditionalFormatting>
  <conditionalFormatting sqref="N8 N9:O31">
    <cfRule type="cellIs" dxfId="0" priority="16" operator="equal">
      <formula>"BD"</formula>
    </cfRule>
  </conditionalFormatting>
  <pageMargins left="0.7" right="0.7" top="0.75" bottom="0.75" header="0.3" footer="0.3"/>
  <pageSetup paperSize="1" orientation="portrait" verticalDpi="360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C68"/>
  <sheetViews>
    <sheetView zoomScale="80" zoomScaleNormal="80" workbookViewId="0">
      <pane ySplit="7" topLeftCell="A9" activePane="bottomLeft" state="frozen"/>
      <selection/>
      <selection pane="bottomLeft" activeCell="A3" sqref="$A3:$XFD3"/>
    </sheetView>
  </sheetViews>
  <sheetFormatPr defaultColWidth="8.81666666666667" defaultRowHeight="14.25"/>
  <cols>
    <col min="1" max="1" width="16.725" customWidth="1"/>
    <col min="2" max="2" width="8.725" customWidth="1"/>
    <col min="3" max="7" width="5.725" customWidth="1"/>
    <col min="8" max="8" width="14.2666666666667" customWidth="1"/>
    <col min="9" max="9" width="15.1833333333333" customWidth="1"/>
    <col min="10" max="10" width="15.5416666666667" customWidth="1"/>
    <col min="11" max="11" width="7" customWidth="1"/>
    <col min="12" max="12" width="8.54166666666667" customWidth="1"/>
    <col min="13" max="13" width="11.725" style="5" customWidth="1"/>
    <col min="14" max="14" width="17.1833333333333" customWidth="1"/>
    <col min="15" max="15" width="15.45" customWidth="1"/>
    <col min="16" max="16" width="7.45" customWidth="1"/>
    <col min="17" max="17" width="9.54166666666667" customWidth="1"/>
    <col min="18" max="18" width="10" customWidth="1"/>
    <col min="19" max="20" width="9.81666666666667" customWidth="1"/>
    <col min="21" max="21" width="6.725" customWidth="1"/>
    <col min="22" max="22" width="13.8166666666667" customWidth="1"/>
    <col min="23" max="23" width="11.2666666666667" customWidth="1"/>
    <col min="24" max="24" width="9.26666666666667" customWidth="1"/>
    <col min="25" max="25" width="3.725" customWidth="1"/>
    <col min="26" max="29" width="7.725" customWidth="1"/>
    <col min="30" max="30" width="6.725" customWidth="1"/>
  </cols>
  <sheetData>
    <row r="1" ht="3" customHeight="1"/>
    <row r="2" ht="6" customHeight="1" spans="1:2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="1" customFormat="1" ht="6.75" customHeight="1" spans="1:29">
      <c r="K3" s="7"/>
      <c r="L3" s="8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17.25" customHeight="1" spans="1:29">
      <c r="A4" s="1"/>
      <c r="B4" s="10"/>
      <c r="C4" s="10"/>
      <c r="D4" s="10"/>
      <c r="E4" s="11"/>
      <c r="F4" s="11"/>
      <c r="G4" s="11"/>
      <c r="H4" s="12">
        <f>'[19]Taniwel daily'!C4</f>
        <v>45310</v>
      </c>
      <c r="I4" s="13"/>
      <c r="J4" s="13"/>
      <c r="K4" s="14"/>
      <c r="L4" s="15"/>
      <c r="M4" s="16"/>
      <c r="N4" s="10"/>
      <c r="O4" s="10"/>
      <c r="P4" s="10"/>
      <c r="Q4" s="10"/>
      <c r="R4" s="10"/>
      <c r="S4" s="10"/>
      <c r="T4" s="10"/>
      <c r="U4" s="10"/>
      <c r="V4" s="7"/>
      <c r="W4" s="7"/>
      <c r="X4" s="7"/>
      <c r="Y4" s="7"/>
      <c r="Z4" s="7"/>
      <c r="AA4" s="7"/>
      <c r="AB4" s="7"/>
      <c r="AC4" s="7"/>
    </row>
    <row r="5" ht="7.5" customHeight="1" spans="1:29">
      <c r="A5" s="1"/>
      <c r="B5" s="17"/>
      <c r="C5" s="1"/>
      <c r="D5" s="1"/>
      <c r="E5" s="1"/>
      <c r="F5" s="1"/>
      <c r="G5" s="1"/>
      <c r="H5" s="1"/>
      <c r="I5" s="1"/>
      <c r="J5" s="1"/>
      <c r="K5" s="18"/>
      <c r="L5" s="7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ht="17.25" customHeight="1" spans="1:29">
      <c r="A6" s="19" t="s">
        <v>0</v>
      </c>
      <c r="B6" s="20" t="s">
        <v>1</v>
      </c>
      <c r="C6" s="21"/>
      <c r="D6" s="20" t="s">
        <v>2</v>
      </c>
      <c r="E6" s="21"/>
      <c r="F6" s="20" t="s">
        <v>3</v>
      </c>
      <c r="G6" s="21"/>
      <c r="H6" s="22" t="s">
        <v>4</v>
      </c>
      <c r="I6" s="22" t="s">
        <v>5</v>
      </c>
      <c r="J6" s="23" t="s">
        <v>6</v>
      </c>
      <c r="K6" s="19" t="s">
        <v>0</v>
      </c>
      <c r="L6" s="24" t="s">
        <v>7</v>
      </c>
      <c r="M6" s="25" t="s">
        <v>8</v>
      </c>
      <c r="N6" s="26" t="s">
        <v>9</v>
      </c>
      <c r="O6" s="25" t="s">
        <v>10</v>
      </c>
      <c r="P6" s="27"/>
      <c r="Q6" s="28"/>
      <c r="R6" s="28"/>
      <c r="S6" s="28"/>
      <c r="T6" s="28"/>
      <c r="U6" s="29"/>
    </row>
    <row r="7" ht="15.75" customHeight="1" spans="1:29">
      <c r="A7" s="30"/>
      <c r="B7" s="31">
        <v>1</v>
      </c>
      <c r="C7" s="32"/>
      <c r="D7" s="31">
        <v>2</v>
      </c>
      <c r="E7" s="32"/>
      <c r="F7" s="31">
        <v>3</v>
      </c>
      <c r="G7" s="32"/>
      <c r="H7" s="33"/>
      <c r="I7" s="33"/>
      <c r="J7" s="34"/>
      <c r="K7" s="30"/>
      <c r="L7" s="35"/>
      <c r="M7" s="36"/>
      <c r="N7" s="37"/>
      <c r="O7" s="38"/>
      <c r="P7" s="27"/>
      <c r="Q7" s="28"/>
      <c r="R7" s="28"/>
      <c r="S7" s="28"/>
      <c r="T7" s="28"/>
      <c r="U7" s="29"/>
      <c r="X7" s="39"/>
    </row>
    <row r="8" s="2" customFormat="1" ht="15" customHeight="1" spans="1:29">
      <c r="A8" s="40">
        <v>0.0416666666666666</v>
      </c>
      <c r="B8" s="41" t="s">
        <v>11</v>
      </c>
      <c r="C8" s="42"/>
      <c r="D8" s="41">
        <v>170</v>
      </c>
      <c r="E8" s="42"/>
      <c r="F8" s="41">
        <v>297</v>
      </c>
      <c r="G8" s="42"/>
      <c r="H8" s="43">
        <f t="shared" ref="H8:H31" si="0">IF(SUM(B8:G8)/1000=0,"0",SUM(B8:G8))</f>
        <v>467</v>
      </c>
      <c r="I8" s="44">
        <f t="shared" ref="I8:I31" si="1">IFERROR(AVERAGE(B8:G8),"0")</f>
        <v>233.5</v>
      </c>
      <c r="J8" s="45">
        <f t="shared" ref="J8:J31" si="2">COUNT(B8:G8)</f>
        <v>2</v>
      </c>
      <c r="K8" s="46">
        <v>0.0416666666666667</v>
      </c>
      <c r="L8" s="47">
        <v>4500</v>
      </c>
      <c r="M8" s="48">
        <v>173.5</v>
      </c>
      <c r="N8" s="49">
        <f>(M9-M8)*12000</f>
        <v>479.999999999905</v>
      </c>
      <c r="O8" s="50"/>
      <c r="P8" s="51"/>
      <c r="Q8" s="52"/>
      <c r="R8" s="52"/>
      <c r="S8" s="52"/>
      <c r="T8" s="52"/>
      <c r="U8" s="53"/>
    </row>
    <row r="9" s="3" customFormat="1" ht="15" customHeight="1" spans="1:29">
      <c r="A9" s="40">
        <v>0.0833333333333333</v>
      </c>
      <c r="B9" s="41" t="s">
        <v>11</v>
      </c>
      <c r="C9" s="42"/>
      <c r="D9" s="41" t="s">
        <v>26</v>
      </c>
      <c r="E9" s="42"/>
      <c r="F9" s="41">
        <v>450</v>
      </c>
      <c r="G9" s="42"/>
      <c r="H9" s="43">
        <f t="shared" si="0"/>
        <v>450</v>
      </c>
      <c r="I9" s="44">
        <f t="shared" si="1"/>
        <v>450</v>
      </c>
      <c r="J9" s="45">
        <f t="shared" si="2"/>
        <v>1</v>
      </c>
      <c r="K9" s="46">
        <v>0.0833333333333333</v>
      </c>
      <c r="L9" s="47">
        <v>4200</v>
      </c>
      <c r="M9" s="54">
        <v>173.54</v>
      </c>
      <c r="N9" s="49">
        <f t="shared" ref="N9:N30" si="3">(M10-M9)*12000</f>
        <v>600.000000000136</v>
      </c>
      <c r="O9" s="55"/>
      <c r="P9" s="51"/>
      <c r="Q9" s="52"/>
      <c r="R9" s="52"/>
      <c r="S9" s="52"/>
      <c r="T9" s="52"/>
      <c r="U9" s="53"/>
    </row>
    <row r="10" s="3" customFormat="1" ht="15" customHeight="1" spans="1:29">
      <c r="A10" s="40">
        <v>0.125</v>
      </c>
      <c r="B10" s="41" t="s">
        <v>11</v>
      </c>
      <c r="C10" s="42"/>
      <c r="D10" s="41" t="s">
        <v>26</v>
      </c>
      <c r="E10" s="42"/>
      <c r="F10" s="41">
        <v>442</v>
      </c>
      <c r="G10" s="42"/>
      <c r="H10" s="43">
        <f t="shared" si="0"/>
        <v>442</v>
      </c>
      <c r="I10" s="44">
        <f t="shared" si="1"/>
        <v>442</v>
      </c>
      <c r="J10" s="45">
        <f t="shared" si="2"/>
        <v>1</v>
      </c>
      <c r="K10" s="46">
        <v>0.125</v>
      </c>
      <c r="L10" s="47">
        <v>4200</v>
      </c>
      <c r="M10" s="54">
        <v>173.59</v>
      </c>
      <c r="N10" s="49">
        <f t="shared" si="3"/>
        <v>479.999999999905</v>
      </c>
      <c r="O10" s="56"/>
      <c r="P10" s="51"/>
      <c r="Q10" s="52"/>
      <c r="R10" s="52"/>
      <c r="S10" s="52"/>
      <c r="T10" s="52"/>
      <c r="U10" s="53"/>
    </row>
    <row r="11" s="3" customFormat="1" ht="15" customHeight="1" spans="1:29">
      <c r="A11" s="40">
        <v>0.166666666666667</v>
      </c>
      <c r="B11" s="41" t="s">
        <v>11</v>
      </c>
      <c r="C11" s="42"/>
      <c r="D11" s="41" t="s">
        <v>26</v>
      </c>
      <c r="E11" s="42"/>
      <c r="F11" s="41">
        <v>438</v>
      </c>
      <c r="G11" s="42"/>
      <c r="H11" s="43">
        <f t="shared" si="0"/>
        <v>438</v>
      </c>
      <c r="I11" s="44">
        <f t="shared" si="1"/>
        <v>438</v>
      </c>
      <c r="J11" s="45">
        <f t="shared" si="2"/>
        <v>1</v>
      </c>
      <c r="K11" s="46">
        <v>0.166666666666667</v>
      </c>
      <c r="L11" s="47">
        <v>4000</v>
      </c>
      <c r="M11" s="54">
        <v>173.63</v>
      </c>
      <c r="N11" s="49">
        <f t="shared" si="3"/>
        <v>360.000000000014</v>
      </c>
      <c r="O11" s="56"/>
      <c r="P11" s="51"/>
      <c r="Q11" s="52"/>
      <c r="R11" s="52"/>
      <c r="S11" s="52"/>
      <c r="T11" s="52"/>
      <c r="U11" s="53"/>
    </row>
    <row r="12" s="3" customFormat="1" ht="15" customHeight="1" spans="1:29">
      <c r="A12" s="40">
        <v>0.208333333333333</v>
      </c>
      <c r="B12" s="41" t="s">
        <v>11</v>
      </c>
      <c r="C12" s="42"/>
      <c r="D12" s="41" t="s">
        <v>26</v>
      </c>
      <c r="E12" s="42"/>
      <c r="F12" s="41">
        <v>198</v>
      </c>
      <c r="G12" s="42"/>
      <c r="H12" s="43">
        <f t="shared" si="0"/>
        <v>198</v>
      </c>
      <c r="I12" s="44">
        <f t="shared" si="1"/>
        <v>198</v>
      </c>
      <c r="J12" s="45">
        <f t="shared" si="2"/>
        <v>1</v>
      </c>
      <c r="K12" s="46">
        <v>0.208333333333333</v>
      </c>
      <c r="L12" s="47">
        <v>3900</v>
      </c>
      <c r="M12" s="54">
        <v>173.66</v>
      </c>
      <c r="N12" s="49">
        <f t="shared" si="3"/>
        <v>479.999999999905</v>
      </c>
      <c r="O12" s="56"/>
      <c r="P12" s="51"/>
      <c r="Q12" s="52"/>
      <c r="R12" s="52"/>
      <c r="S12" s="52"/>
      <c r="T12" s="52"/>
      <c r="U12" s="53"/>
    </row>
    <row r="13" s="3" customFormat="1" ht="15" customHeight="1" spans="1:29">
      <c r="A13" s="40">
        <v>0.25</v>
      </c>
      <c r="B13" s="41" t="s">
        <v>11</v>
      </c>
      <c r="C13" s="42"/>
      <c r="D13" s="41">
        <v>180</v>
      </c>
      <c r="E13" s="42"/>
      <c r="F13" s="41">
        <v>307</v>
      </c>
      <c r="G13" s="42"/>
      <c r="H13" s="43">
        <f t="shared" si="0"/>
        <v>487</v>
      </c>
      <c r="I13" s="44">
        <f t="shared" si="1"/>
        <v>243.5</v>
      </c>
      <c r="J13" s="45">
        <f t="shared" si="2"/>
        <v>2</v>
      </c>
      <c r="K13" s="46">
        <v>0.25</v>
      </c>
      <c r="L13" s="47">
        <v>3600</v>
      </c>
      <c r="M13" s="54">
        <v>173.7</v>
      </c>
      <c r="N13" s="49">
        <f t="shared" si="3"/>
        <v>600.000000000136</v>
      </c>
      <c r="O13" s="56"/>
      <c r="P13" s="51"/>
      <c r="Q13" s="52"/>
      <c r="R13" s="52"/>
      <c r="S13" s="52"/>
      <c r="T13" s="52"/>
      <c r="U13" s="53"/>
    </row>
    <row r="14" s="3" customFormat="1" ht="15" customHeight="1" spans="1:29">
      <c r="A14" s="40">
        <v>0.291666666666667</v>
      </c>
      <c r="B14" s="41" t="s">
        <v>11</v>
      </c>
      <c r="C14" s="42"/>
      <c r="D14" s="41">
        <v>194</v>
      </c>
      <c r="E14" s="42"/>
      <c r="F14" s="41">
        <v>327</v>
      </c>
      <c r="G14" s="42"/>
      <c r="H14" s="43">
        <f t="shared" si="0"/>
        <v>521</v>
      </c>
      <c r="I14" s="44">
        <f t="shared" si="1"/>
        <v>260.5</v>
      </c>
      <c r="J14" s="45">
        <f t="shared" si="2"/>
        <v>2</v>
      </c>
      <c r="K14" s="46">
        <v>0.291666666666667</v>
      </c>
      <c r="L14" s="47">
        <v>3600</v>
      </c>
      <c r="M14" s="54">
        <v>173.75</v>
      </c>
      <c r="N14" s="49">
        <f t="shared" si="3"/>
        <v>479.999999999905</v>
      </c>
      <c r="O14" s="56"/>
      <c r="P14" s="51"/>
      <c r="Q14" s="52"/>
      <c r="R14" s="52"/>
      <c r="S14" s="52"/>
      <c r="T14" s="52"/>
      <c r="U14" s="53"/>
    </row>
    <row r="15" s="3" customFormat="1" ht="15" customHeight="1" spans="1:29">
      <c r="A15" s="40">
        <v>0.333333333333333</v>
      </c>
      <c r="B15" s="41" t="s">
        <v>11</v>
      </c>
      <c r="C15" s="42"/>
      <c r="D15" s="41">
        <v>161</v>
      </c>
      <c r="E15" s="42"/>
      <c r="F15" s="41">
        <v>295</v>
      </c>
      <c r="G15" s="42"/>
      <c r="H15" s="43">
        <f t="shared" si="0"/>
        <v>456</v>
      </c>
      <c r="I15" s="44">
        <f t="shared" si="1"/>
        <v>228</v>
      </c>
      <c r="J15" s="45">
        <f t="shared" si="2"/>
        <v>2</v>
      </c>
      <c r="K15" s="46">
        <v>0.333333333333333</v>
      </c>
      <c r="L15" s="47">
        <v>3600</v>
      </c>
      <c r="M15" s="54">
        <v>173.79</v>
      </c>
      <c r="N15" s="49">
        <f t="shared" si="3"/>
        <v>600.000000000136</v>
      </c>
      <c r="O15" s="56"/>
      <c r="P15" s="51"/>
      <c r="Q15" s="52"/>
      <c r="R15" s="52"/>
      <c r="S15" s="52"/>
      <c r="T15" s="52"/>
      <c r="U15" s="53"/>
    </row>
    <row r="16" s="3" customFormat="1" ht="15" customHeight="1" spans="1:29">
      <c r="A16" s="40">
        <v>0.375</v>
      </c>
      <c r="B16" s="41" t="s">
        <v>11</v>
      </c>
      <c r="C16" s="42"/>
      <c r="D16" s="41" t="s">
        <v>26</v>
      </c>
      <c r="E16" s="42"/>
      <c r="F16" s="41">
        <v>464</v>
      </c>
      <c r="G16" s="42"/>
      <c r="H16" s="43">
        <f t="shared" si="0"/>
        <v>464</v>
      </c>
      <c r="I16" s="44">
        <f t="shared" si="1"/>
        <v>464</v>
      </c>
      <c r="J16" s="45">
        <f t="shared" si="2"/>
        <v>1</v>
      </c>
      <c r="K16" s="46">
        <v>0.375</v>
      </c>
      <c r="L16" s="47">
        <v>3600</v>
      </c>
      <c r="M16" s="54">
        <v>173.84</v>
      </c>
      <c r="N16" s="49">
        <f t="shared" si="3"/>
        <v>479.999999999905</v>
      </c>
      <c r="O16" s="56"/>
      <c r="P16" s="51"/>
      <c r="Q16" s="52"/>
      <c r="R16" s="52"/>
      <c r="S16" s="52"/>
      <c r="T16" s="52"/>
      <c r="U16" s="53"/>
    </row>
    <row r="17" s="3" customFormat="1" ht="15" customHeight="1" spans="1:21">
      <c r="A17" s="40">
        <v>0.416666666666667</v>
      </c>
      <c r="B17" s="41" t="s">
        <v>11</v>
      </c>
      <c r="C17" s="42"/>
      <c r="D17" s="41" t="s">
        <v>26</v>
      </c>
      <c r="E17" s="42"/>
      <c r="F17" s="41">
        <v>351</v>
      </c>
      <c r="G17" s="42"/>
      <c r="H17" s="43">
        <f t="shared" si="0"/>
        <v>351</v>
      </c>
      <c r="I17" s="44">
        <f t="shared" si="1"/>
        <v>351</v>
      </c>
      <c r="J17" s="45">
        <f t="shared" si="2"/>
        <v>1</v>
      </c>
      <c r="K17" s="46">
        <v>0.416666666666666</v>
      </c>
      <c r="L17" s="47">
        <v>3400</v>
      </c>
      <c r="M17" s="54">
        <v>173.88</v>
      </c>
      <c r="N17" s="49">
        <f t="shared" si="3"/>
        <v>360.000000000014</v>
      </c>
      <c r="O17" s="56"/>
      <c r="P17" s="51"/>
      <c r="Q17" s="52"/>
      <c r="R17" s="52"/>
      <c r="S17" s="52"/>
      <c r="T17" s="52"/>
      <c r="U17" s="53"/>
    </row>
    <row r="18" s="3" customFormat="1" ht="15" customHeight="1" spans="1:21">
      <c r="A18" s="40">
        <v>0.458333333333333</v>
      </c>
      <c r="B18" s="41" t="s">
        <v>11</v>
      </c>
      <c r="C18" s="42"/>
      <c r="D18" s="41" t="s">
        <v>26</v>
      </c>
      <c r="E18" s="42"/>
      <c r="F18" s="41">
        <v>338</v>
      </c>
      <c r="G18" s="42"/>
      <c r="H18" s="43">
        <f t="shared" si="0"/>
        <v>338</v>
      </c>
      <c r="I18" s="44">
        <f t="shared" si="1"/>
        <v>338</v>
      </c>
      <c r="J18" s="45">
        <f t="shared" si="2"/>
        <v>1</v>
      </c>
      <c r="K18" s="46">
        <v>0.458333333333333</v>
      </c>
      <c r="L18" s="47">
        <v>3300</v>
      </c>
      <c r="M18" s="54">
        <v>173.91</v>
      </c>
      <c r="N18" s="49">
        <f t="shared" si="3"/>
        <v>479.999999999905</v>
      </c>
      <c r="O18" s="56"/>
      <c r="P18" s="51"/>
      <c r="Q18" s="52"/>
      <c r="R18" s="52"/>
      <c r="S18" s="52"/>
      <c r="T18" s="52"/>
      <c r="U18" s="53"/>
    </row>
    <row r="19" s="3" customFormat="1" ht="15" customHeight="1" spans="1:21">
      <c r="A19" s="40">
        <v>0.5</v>
      </c>
      <c r="B19" s="41" t="s">
        <v>11</v>
      </c>
      <c r="C19" s="42"/>
      <c r="D19" s="41">
        <v>235</v>
      </c>
      <c r="E19" s="42"/>
      <c r="F19" s="41">
        <v>278</v>
      </c>
      <c r="G19" s="42"/>
      <c r="H19" s="43">
        <f t="shared" si="0"/>
        <v>513</v>
      </c>
      <c r="I19" s="44">
        <f t="shared" si="1"/>
        <v>256.5</v>
      </c>
      <c r="J19" s="45">
        <f t="shared" si="2"/>
        <v>2</v>
      </c>
      <c r="K19" s="46">
        <v>0.5</v>
      </c>
      <c r="L19" s="47">
        <v>3300</v>
      </c>
      <c r="M19" s="54">
        <v>173.95</v>
      </c>
      <c r="N19" s="49">
        <f t="shared" si="3"/>
        <v>480.000000000246</v>
      </c>
      <c r="O19" s="56"/>
      <c r="P19" s="51"/>
      <c r="Q19" s="52"/>
      <c r="R19" s="52"/>
      <c r="S19" s="52"/>
      <c r="T19" s="52"/>
      <c r="U19" s="53"/>
    </row>
    <row r="20" s="3" customFormat="1" ht="15" customHeight="1" spans="1:21">
      <c r="A20" s="40">
        <v>0.541666666666667</v>
      </c>
      <c r="B20" s="41" t="s">
        <v>11</v>
      </c>
      <c r="C20" s="42"/>
      <c r="D20" s="41">
        <v>222</v>
      </c>
      <c r="E20" s="42"/>
      <c r="F20" s="41">
        <v>233</v>
      </c>
      <c r="G20" s="42"/>
      <c r="H20" s="43">
        <f t="shared" si="0"/>
        <v>455</v>
      </c>
      <c r="I20" s="44">
        <f t="shared" si="1"/>
        <v>227.5</v>
      </c>
      <c r="J20" s="45">
        <f t="shared" si="2"/>
        <v>2</v>
      </c>
      <c r="K20" s="46">
        <v>0.541666666666667</v>
      </c>
      <c r="L20" s="47">
        <v>3000</v>
      </c>
      <c r="M20" s="54">
        <v>173.99</v>
      </c>
      <c r="N20" s="49">
        <f t="shared" si="3"/>
        <v>599.999999999795</v>
      </c>
      <c r="O20" s="56"/>
      <c r="P20" s="51"/>
      <c r="Q20" s="52"/>
      <c r="R20" s="52"/>
      <c r="S20" s="52"/>
      <c r="T20" s="52"/>
      <c r="U20" s="53"/>
    </row>
    <row r="21" s="3" customFormat="1" ht="15" customHeight="1" spans="1:21">
      <c r="A21" s="40">
        <v>0.583333333333333</v>
      </c>
      <c r="B21" s="41" t="s">
        <v>11</v>
      </c>
      <c r="C21" s="42"/>
      <c r="D21" s="41">
        <v>210</v>
      </c>
      <c r="E21" s="42"/>
      <c r="F21" s="41">
        <v>212</v>
      </c>
      <c r="G21" s="42"/>
      <c r="H21" s="43">
        <f t="shared" si="0"/>
        <v>422</v>
      </c>
      <c r="I21" s="44">
        <f t="shared" si="1"/>
        <v>211</v>
      </c>
      <c r="J21" s="45">
        <f t="shared" si="2"/>
        <v>2</v>
      </c>
      <c r="K21" s="46">
        <v>0.583333333333333</v>
      </c>
      <c r="L21" s="47">
        <v>3000</v>
      </c>
      <c r="M21" s="54">
        <v>174.04</v>
      </c>
      <c r="N21" s="49">
        <f t="shared" si="3"/>
        <v>480.000000000246</v>
      </c>
      <c r="O21" s="56"/>
      <c r="P21" s="51"/>
      <c r="Q21" s="52"/>
      <c r="R21" s="52"/>
      <c r="S21" s="52"/>
      <c r="T21" s="52"/>
      <c r="U21" s="53"/>
    </row>
    <row r="22" s="3" customFormat="1" ht="15" customHeight="1" spans="1:21">
      <c r="A22" s="40">
        <v>0.625</v>
      </c>
      <c r="B22" s="41" t="s">
        <v>11</v>
      </c>
      <c r="C22" s="42"/>
      <c r="D22" s="41">
        <v>416</v>
      </c>
      <c r="E22" s="42"/>
      <c r="F22" s="41" t="s">
        <v>26</v>
      </c>
      <c r="G22" s="42"/>
      <c r="H22" s="43">
        <f t="shared" si="0"/>
        <v>416</v>
      </c>
      <c r="I22" s="44">
        <f t="shared" si="1"/>
        <v>416</v>
      </c>
      <c r="J22" s="45">
        <f t="shared" si="2"/>
        <v>1</v>
      </c>
      <c r="K22" s="46">
        <v>0.625</v>
      </c>
      <c r="L22" s="47">
        <v>3000</v>
      </c>
      <c r="M22" s="54">
        <v>174.08</v>
      </c>
      <c r="N22" s="49">
        <f t="shared" si="3"/>
        <v>360.000000000014</v>
      </c>
      <c r="O22" s="56"/>
      <c r="P22" s="51"/>
      <c r="Q22" s="52"/>
      <c r="R22" s="52"/>
      <c r="S22" s="52"/>
      <c r="T22" s="52"/>
      <c r="U22" s="53"/>
    </row>
    <row r="23" s="3" customFormat="1" ht="15" customHeight="1" spans="1:21">
      <c r="A23" s="40">
        <v>0.666666666666667</v>
      </c>
      <c r="B23" s="41" t="s">
        <v>11</v>
      </c>
      <c r="C23" s="42"/>
      <c r="D23" s="41">
        <v>406</v>
      </c>
      <c r="E23" s="42"/>
      <c r="F23" s="41" t="s">
        <v>26</v>
      </c>
      <c r="G23" s="42"/>
      <c r="H23" s="43">
        <f t="shared" si="0"/>
        <v>406</v>
      </c>
      <c r="I23" s="44">
        <f t="shared" si="1"/>
        <v>406</v>
      </c>
      <c r="J23" s="45">
        <f t="shared" si="2"/>
        <v>1</v>
      </c>
      <c r="K23" s="46">
        <v>0.666666666666666</v>
      </c>
      <c r="L23" s="47">
        <v>3000</v>
      </c>
      <c r="M23" s="54">
        <v>174.11</v>
      </c>
      <c r="N23" s="49">
        <f t="shared" si="3"/>
        <v>599.999999999795</v>
      </c>
      <c r="O23" s="56"/>
      <c r="P23" s="51"/>
      <c r="Q23" s="52"/>
      <c r="R23" s="52"/>
      <c r="S23" s="52"/>
      <c r="T23" s="52"/>
      <c r="U23" s="53"/>
    </row>
    <row r="24" s="3" customFormat="1" ht="15" customHeight="1" spans="1:21">
      <c r="A24" s="40">
        <v>0.708333333333334</v>
      </c>
      <c r="B24" s="41" t="s">
        <v>11</v>
      </c>
      <c r="C24" s="42"/>
      <c r="D24" s="41">
        <v>447</v>
      </c>
      <c r="E24" s="42"/>
      <c r="F24" s="41" t="s">
        <v>26</v>
      </c>
      <c r="G24" s="42"/>
      <c r="H24" s="43">
        <f t="shared" si="0"/>
        <v>447</v>
      </c>
      <c r="I24" s="44">
        <f t="shared" si="1"/>
        <v>447</v>
      </c>
      <c r="J24" s="45">
        <f t="shared" si="2"/>
        <v>1</v>
      </c>
      <c r="K24" s="46">
        <v>0.708333333333333</v>
      </c>
      <c r="L24" s="47">
        <v>2700</v>
      </c>
      <c r="M24" s="54">
        <v>174.16</v>
      </c>
      <c r="N24" s="49">
        <f t="shared" si="3"/>
        <v>479.999999999905</v>
      </c>
      <c r="O24" s="56"/>
      <c r="P24" s="51"/>
      <c r="Q24" s="52"/>
      <c r="R24" s="52"/>
      <c r="S24" s="52"/>
      <c r="T24" s="52"/>
      <c r="U24" s="53"/>
    </row>
    <row r="25" s="3" customFormat="1" ht="15" customHeight="1" spans="1:21">
      <c r="A25" s="40">
        <v>0.75</v>
      </c>
      <c r="B25" s="41" t="s">
        <v>11</v>
      </c>
      <c r="C25" s="42"/>
      <c r="D25" s="41">
        <v>244</v>
      </c>
      <c r="E25" s="42"/>
      <c r="F25" s="41">
        <v>232</v>
      </c>
      <c r="G25" s="42"/>
      <c r="H25" s="43">
        <f t="shared" si="0"/>
        <v>476</v>
      </c>
      <c r="I25" s="44">
        <f t="shared" si="1"/>
        <v>238</v>
      </c>
      <c r="J25" s="45">
        <f t="shared" si="2"/>
        <v>2</v>
      </c>
      <c r="K25" s="46">
        <v>0.75</v>
      </c>
      <c r="L25" s="47">
        <v>2400</v>
      </c>
      <c r="M25" s="54">
        <v>174.2</v>
      </c>
      <c r="N25" s="49">
        <f t="shared" si="3"/>
        <v>720.000000000027</v>
      </c>
      <c r="O25" s="56"/>
      <c r="P25" s="51"/>
      <c r="Q25" s="52"/>
      <c r="R25" s="52"/>
      <c r="S25" s="52"/>
      <c r="T25" s="52"/>
      <c r="U25" s="53"/>
    </row>
    <row r="26" s="3" customFormat="1" ht="15" customHeight="1" spans="1:21">
      <c r="A26" s="40">
        <v>0.791666666666667</v>
      </c>
      <c r="B26" s="41" t="s">
        <v>11</v>
      </c>
      <c r="C26" s="42"/>
      <c r="D26" s="41">
        <v>288</v>
      </c>
      <c r="E26" s="42"/>
      <c r="F26" s="41">
        <v>321</v>
      </c>
      <c r="G26" s="42"/>
      <c r="H26" s="43">
        <f t="shared" si="0"/>
        <v>609</v>
      </c>
      <c r="I26" s="44">
        <f t="shared" si="1"/>
        <v>304.5</v>
      </c>
      <c r="J26" s="45">
        <f t="shared" si="2"/>
        <v>2</v>
      </c>
      <c r="K26" s="46">
        <v>0.791666666666666</v>
      </c>
      <c r="L26" s="47">
        <v>2100</v>
      </c>
      <c r="M26" s="54">
        <v>174.26</v>
      </c>
      <c r="N26" s="49">
        <f t="shared" si="3"/>
        <v>720.000000000027</v>
      </c>
      <c r="O26" s="56"/>
      <c r="P26" s="51"/>
      <c r="Q26" s="52"/>
      <c r="R26" s="52"/>
      <c r="S26" s="52"/>
      <c r="T26" s="52"/>
      <c r="U26" s="53"/>
    </row>
    <row r="27" s="3" customFormat="1" ht="15" customHeight="1" spans="1:21">
      <c r="A27" s="40">
        <v>0.833333333333334</v>
      </c>
      <c r="B27" s="41" t="s">
        <v>11</v>
      </c>
      <c r="C27" s="42"/>
      <c r="D27" s="41">
        <v>355</v>
      </c>
      <c r="E27" s="42"/>
      <c r="F27" s="41">
        <v>341</v>
      </c>
      <c r="G27" s="42"/>
      <c r="H27" s="43">
        <f t="shared" si="0"/>
        <v>696</v>
      </c>
      <c r="I27" s="44">
        <f t="shared" si="1"/>
        <v>348</v>
      </c>
      <c r="J27" s="45">
        <f t="shared" si="2"/>
        <v>2</v>
      </c>
      <c r="K27" s="46">
        <v>0.833333333333333</v>
      </c>
      <c r="L27" s="47">
        <v>2100</v>
      </c>
      <c r="M27" s="54">
        <v>174.32</v>
      </c>
      <c r="N27" s="49">
        <f t="shared" si="3"/>
        <v>720.000000000027</v>
      </c>
      <c r="O27" s="56"/>
      <c r="P27" s="51"/>
      <c r="Q27" s="52"/>
      <c r="R27" s="52"/>
      <c r="S27" s="52"/>
      <c r="T27" s="52"/>
      <c r="U27" s="53"/>
    </row>
    <row r="28" s="4" customFormat="1" ht="15" customHeight="1" spans="1:21">
      <c r="A28" s="40">
        <v>0.875</v>
      </c>
      <c r="B28" s="41" t="s">
        <v>11</v>
      </c>
      <c r="C28" s="42"/>
      <c r="D28" s="41">
        <v>318</v>
      </c>
      <c r="E28" s="42"/>
      <c r="F28" s="41">
        <v>303</v>
      </c>
      <c r="G28" s="42"/>
      <c r="H28" s="43">
        <f t="shared" si="0"/>
        <v>621</v>
      </c>
      <c r="I28" s="44">
        <f t="shared" si="1"/>
        <v>310.5</v>
      </c>
      <c r="J28" s="45">
        <f t="shared" si="2"/>
        <v>2</v>
      </c>
      <c r="K28" s="46">
        <v>0.875</v>
      </c>
      <c r="L28" s="47">
        <v>1800</v>
      </c>
      <c r="M28" s="54">
        <v>174.38</v>
      </c>
      <c r="N28" s="49">
        <f t="shared" si="3"/>
        <v>720.000000000027</v>
      </c>
      <c r="O28" s="56"/>
      <c r="P28" s="51"/>
      <c r="Q28" s="52"/>
      <c r="R28" s="52"/>
      <c r="S28" s="52"/>
      <c r="T28" s="52"/>
      <c r="U28" s="53"/>
    </row>
    <row r="29" s="3" customFormat="1" ht="15" customHeight="1" spans="1:21">
      <c r="A29" s="40">
        <v>0.916666666666667</v>
      </c>
      <c r="B29" s="41" t="s">
        <v>11</v>
      </c>
      <c r="C29" s="42"/>
      <c r="D29" s="41">
        <v>298</v>
      </c>
      <c r="E29" s="42"/>
      <c r="F29" s="41">
        <v>292</v>
      </c>
      <c r="G29" s="42"/>
      <c r="H29" s="43">
        <f t="shared" si="0"/>
        <v>590</v>
      </c>
      <c r="I29" s="44">
        <f t="shared" si="1"/>
        <v>295</v>
      </c>
      <c r="J29" s="45">
        <f t="shared" si="2"/>
        <v>2</v>
      </c>
      <c r="K29" s="46">
        <v>0.916666666666666</v>
      </c>
      <c r="L29" s="47">
        <v>1800</v>
      </c>
      <c r="M29" s="54">
        <v>174.44</v>
      </c>
      <c r="N29" s="49">
        <f t="shared" si="3"/>
        <v>600.000000000136</v>
      </c>
      <c r="O29" s="56"/>
      <c r="P29" s="51"/>
      <c r="Q29" s="52"/>
      <c r="R29" s="52"/>
      <c r="S29" s="52"/>
      <c r="T29" s="52"/>
      <c r="U29" s="53"/>
    </row>
    <row r="30" s="3" customFormat="1" ht="15" customHeight="1" spans="1:21">
      <c r="A30" s="40">
        <v>0.958333333333334</v>
      </c>
      <c r="B30" s="41" t="s">
        <v>11</v>
      </c>
      <c r="C30" s="42"/>
      <c r="D30" s="41">
        <v>262</v>
      </c>
      <c r="E30" s="42"/>
      <c r="F30" s="41">
        <v>265</v>
      </c>
      <c r="G30" s="42"/>
      <c r="H30" s="43">
        <f t="shared" si="0"/>
        <v>527</v>
      </c>
      <c r="I30" s="44">
        <f t="shared" si="1"/>
        <v>263.5</v>
      </c>
      <c r="J30" s="45">
        <f t="shared" si="2"/>
        <v>2</v>
      </c>
      <c r="K30" s="46">
        <v>0.958333333333333</v>
      </c>
      <c r="L30" s="47">
        <v>1800</v>
      </c>
      <c r="M30" s="54">
        <v>174.49</v>
      </c>
      <c r="N30" s="49">
        <f t="shared" si="3"/>
        <v>479.999999999905</v>
      </c>
      <c r="O30" s="56"/>
      <c r="P30" s="51"/>
      <c r="Q30" s="52"/>
      <c r="R30" s="52"/>
      <c r="S30" s="52"/>
      <c r="T30" s="52"/>
      <c r="U30" s="53"/>
    </row>
    <row r="31" s="2" customFormat="1" ht="15" customHeight="1" spans="1:21">
      <c r="A31" s="57">
        <v>1</v>
      </c>
      <c r="B31" s="41" t="s">
        <v>11</v>
      </c>
      <c r="C31" s="42"/>
      <c r="D31" s="41">
        <v>248</v>
      </c>
      <c r="E31" s="42"/>
      <c r="F31" s="41">
        <v>230</v>
      </c>
      <c r="G31" s="42"/>
      <c r="H31" s="43">
        <f t="shared" si="0"/>
        <v>478</v>
      </c>
      <c r="I31" s="58">
        <f t="shared" si="1"/>
        <v>239</v>
      </c>
      <c r="J31" s="59">
        <f t="shared" si="2"/>
        <v>2</v>
      </c>
      <c r="K31" s="60">
        <v>1</v>
      </c>
      <c r="L31" s="47">
        <v>4500</v>
      </c>
      <c r="M31" s="61">
        <v>174.53</v>
      </c>
      <c r="N31" s="49">
        <f>H31</f>
        <v>478</v>
      </c>
      <c r="O31" s="56"/>
      <c r="P31" s="51"/>
      <c r="Q31" s="52"/>
      <c r="R31" s="52"/>
      <c r="S31" s="52"/>
      <c r="T31" s="52"/>
      <c r="U31" s="53"/>
    </row>
    <row r="32" s="3" customFormat="1" ht="23.25" customHeight="1" spans="1:21">
      <c r="A32" s="62" t="s">
        <v>12</v>
      </c>
      <c r="B32" s="63">
        <f>SUM(B8:B31)/1000</f>
        <v>0</v>
      </c>
      <c r="C32" s="64"/>
      <c r="D32" s="63">
        <f>SUM(D8:D31)/1000</f>
        <v>4.654</v>
      </c>
      <c r="E32" s="64"/>
      <c r="F32" s="63">
        <f>SUM(F8:F31)/1000</f>
        <v>6.614</v>
      </c>
      <c r="G32" s="64"/>
      <c r="H32" s="65">
        <f>SUM(H8:H31)</f>
        <v>11268</v>
      </c>
      <c r="I32" s="66" t="s">
        <v>13</v>
      </c>
      <c r="J32" s="67"/>
      <c r="K32" s="68"/>
      <c r="L32" s="69"/>
      <c r="M32" s="70">
        <f>SUM(M31-M8+N8)</f>
        <v>481.029999999904</v>
      </c>
      <c r="N32" s="71">
        <f>SUM(N8:N31)</f>
        <v>12838</v>
      </c>
      <c r="O32" s="72">
        <f>SUM(O8:O31)</f>
        <v>0</v>
      </c>
      <c r="P32" s="73"/>
      <c r="Q32" s="74"/>
      <c r="R32" s="74"/>
      <c r="S32" s="74"/>
      <c r="T32" s="74"/>
      <c r="U32" s="75"/>
    </row>
    <row r="33" ht="15" customHeight="1" spans="1:29">
      <c r="A33" s="76" t="s">
        <v>14</v>
      </c>
      <c r="B33" s="77" t="str">
        <f>IFERROR((AVERAGE(B8:B31)),"0")</f>
        <v>0</v>
      </c>
      <c r="C33" s="78"/>
      <c r="D33" s="79">
        <f>IFERROR((AVERAGE(D8:D31)),"0")</f>
        <v>273.764705882353</v>
      </c>
      <c r="E33" s="78"/>
      <c r="F33" s="79">
        <f>IFERROR((AVERAGE(F8:F31)),"0")</f>
        <v>314.952380952381</v>
      </c>
      <c r="G33" s="80"/>
      <c r="H33" s="81">
        <f>H32*1000</f>
        <v>11268000</v>
      </c>
      <c r="I33" s="82" t="s">
        <v>15</v>
      </c>
      <c r="J33" s="83"/>
      <c r="K33" s="84"/>
      <c r="L33" s="85"/>
      <c r="M33" s="86"/>
      <c r="N33" s="85"/>
      <c r="O33" s="87"/>
      <c r="P33" s="87"/>
      <c r="Q33" s="88"/>
      <c r="R33" s="88"/>
      <c r="S33" s="89"/>
      <c r="T33" s="89"/>
      <c r="U33" s="89"/>
      <c r="V33" s="89"/>
    </row>
    <row r="34" ht="18.75" customHeight="1" spans="1:29">
      <c r="A34" s="90"/>
      <c r="B34" s="91"/>
      <c r="C34" s="92"/>
      <c r="D34" s="93"/>
      <c r="E34" s="92"/>
      <c r="F34" s="93"/>
      <c r="G34" s="94"/>
      <c r="H34" s="95"/>
      <c r="I34" s="96"/>
      <c r="J34" s="97"/>
      <c r="K34" s="98"/>
      <c r="L34" s="85"/>
      <c r="M34" s="86"/>
      <c r="N34" s="99"/>
      <c r="O34" s="99"/>
      <c r="P34" s="99"/>
      <c r="Q34" s="99"/>
      <c r="R34" s="88"/>
      <c r="S34" s="89"/>
      <c r="T34" s="89"/>
      <c r="U34" s="89"/>
      <c r="V34" s="89"/>
    </row>
    <row r="35" ht="22.5" customHeight="1" spans="1:29">
      <c r="A35" s="100" t="s">
        <v>16</v>
      </c>
      <c r="B35" s="101">
        <f>COUNT(B8:B31)</f>
        <v>0</v>
      </c>
      <c r="C35" s="102"/>
      <c r="D35" s="103">
        <f>COUNT(D8:D31)</f>
        <v>17</v>
      </c>
      <c r="E35" s="102"/>
      <c r="F35" s="103">
        <f>COUNT(F8:F31)</f>
        <v>21</v>
      </c>
      <c r="G35" s="104"/>
      <c r="H35" s="105"/>
      <c r="I35" s="106"/>
      <c r="J35" s="107"/>
      <c r="K35" s="107"/>
      <c r="L35" s="107"/>
      <c r="M35" s="107"/>
      <c r="N35" s="99"/>
      <c r="O35" s="99"/>
      <c r="P35" s="99"/>
      <c r="Q35" s="99"/>
      <c r="R35" s="108"/>
      <c r="S35" s="89"/>
      <c r="T35" s="89"/>
      <c r="U35" s="89"/>
      <c r="V35" s="89"/>
    </row>
    <row r="36" ht="9" customHeight="1" spans="1:29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10"/>
      <c r="N36" s="106"/>
      <c r="O36" s="107"/>
      <c r="P36" s="107"/>
      <c r="Q36" s="107"/>
      <c r="R36" s="107"/>
      <c r="S36" s="107"/>
      <c r="T36" s="107"/>
      <c r="U36" s="111"/>
      <c r="V36" s="112"/>
      <c r="W36" s="108"/>
      <c r="X36" s="108"/>
      <c r="Y36" s="108"/>
      <c r="Z36" s="89"/>
      <c r="AA36" s="89"/>
      <c r="AB36" s="89"/>
      <c r="AC36" s="89"/>
    </row>
    <row r="37" ht="24" customHeight="1" spans="1:29">
      <c r="D37" s="113"/>
      <c r="E37" s="113"/>
      <c r="F37" s="113"/>
      <c r="G37" s="113"/>
      <c r="H37" s="113"/>
      <c r="I37" s="113"/>
      <c r="J37" s="113"/>
      <c r="K37" s="114"/>
      <c r="L37" s="114"/>
      <c r="N37" s="115" t="s">
        <v>17</v>
      </c>
      <c r="O37" s="116"/>
      <c r="P37" s="116"/>
      <c r="Q37" s="117"/>
      <c r="R37" s="118">
        <f>SUM(B35:F35)</f>
        <v>38</v>
      </c>
      <c r="S37" s="69"/>
      <c r="T37" s="69"/>
      <c r="U37" s="69"/>
      <c r="V37" s="69"/>
      <c r="X37" s="119"/>
      <c r="Y37" s="119"/>
      <c r="Z37" s="119"/>
      <c r="AA37" s="119"/>
      <c r="AB37" s="119"/>
      <c r="AC37" s="114"/>
    </row>
    <row r="38" ht="15" spans="1:29">
      <c r="D38" s="113"/>
      <c r="E38" s="113"/>
      <c r="F38" s="113"/>
      <c r="G38" s="113"/>
      <c r="H38" s="113"/>
      <c r="I38" s="113"/>
      <c r="J38" s="113"/>
      <c r="K38" s="114"/>
      <c r="L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</row>
    <row r="39" ht="24.75" customHeight="1" spans="1:29">
      <c r="A39" s="120" t="s">
        <v>18</v>
      </c>
      <c r="B39" s="121"/>
      <c r="C39" s="122">
        <f>MAX(H8:H31)</f>
        <v>696</v>
      </c>
      <c r="D39" s="123"/>
      <c r="E39" s="124">
        <f>VLOOKUP(C39,H8:L31,4,FALSE)</f>
        <v>0.833333333333333</v>
      </c>
      <c r="F39" s="125"/>
      <c r="G39" s="125"/>
      <c r="H39" s="126" t="s">
        <v>19</v>
      </c>
      <c r="I39" s="127"/>
      <c r="J39" s="128"/>
      <c r="K39" s="129">
        <f>MAX(J8:J31)</f>
        <v>2</v>
      </c>
      <c r="L39" s="130"/>
      <c r="N39" s="131" t="s">
        <v>20</v>
      </c>
      <c r="O39" s="132"/>
      <c r="P39" s="132"/>
      <c r="Q39" s="133"/>
      <c r="R39" s="134">
        <f>AVERAGE(H8:H31)</f>
        <v>469.5</v>
      </c>
      <c r="S39" s="135"/>
      <c r="T39" s="135"/>
    </row>
    <row r="40" ht="15" spans="1:29">
      <c r="C40" s="136"/>
      <c r="D40" s="137"/>
      <c r="E40" s="138"/>
      <c r="F40" s="138"/>
      <c r="G40" s="138"/>
      <c r="H40" s="138"/>
      <c r="I40" s="139"/>
      <c r="J40" s="106"/>
      <c r="K40" s="110"/>
      <c r="L40" s="110"/>
      <c r="N40" s="140"/>
      <c r="O40" s="140"/>
      <c r="P40" s="140"/>
      <c r="Q40" s="140"/>
      <c r="R40" s="140"/>
      <c r="X40" s="5"/>
      <c r="Y40" s="5"/>
      <c r="Z40" s="5"/>
      <c r="AA40" s="5"/>
      <c r="AB40" s="5"/>
      <c r="AC40" s="141"/>
    </row>
    <row r="41" ht="24.75" customHeight="1" spans="1:29">
      <c r="A41" s="120" t="s">
        <v>21</v>
      </c>
      <c r="B41" s="121"/>
      <c r="C41" s="122">
        <f>MIN(H8:H31)</f>
        <v>198</v>
      </c>
      <c r="D41" s="123"/>
      <c r="E41" s="124">
        <f>VLOOKUP(C41,H8:L31,4,FALSE)</f>
        <v>0.208333333333333</v>
      </c>
      <c r="F41" s="142"/>
      <c r="G41" s="125"/>
      <c r="H41" s="126" t="s">
        <v>22</v>
      </c>
      <c r="I41" s="127"/>
      <c r="J41" s="128"/>
      <c r="K41" s="129">
        <f>MIN(J8:J31)</f>
        <v>1</v>
      </c>
      <c r="L41" s="130"/>
      <c r="N41" s="126" t="s">
        <v>23</v>
      </c>
      <c r="O41" s="127"/>
      <c r="P41" s="127"/>
      <c r="Q41" s="128"/>
      <c r="R41" s="143">
        <f>AVERAGE(I8:I31)</f>
        <v>317.041666666667</v>
      </c>
      <c r="S41" s="144"/>
      <c r="T41" s="144"/>
      <c r="U41" s="144"/>
      <c r="V41" s="144"/>
      <c r="X41" s="145"/>
    </row>
    <row r="42" ht="15" spans="1:29">
      <c r="D42" s="138"/>
      <c r="E42" s="138"/>
      <c r="F42" s="138"/>
      <c r="G42" s="138"/>
      <c r="H42" s="138"/>
      <c r="I42" s="146"/>
      <c r="J42" s="138"/>
      <c r="K42" s="147"/>
      <c r="L42" s="147"/>
      <c r="V42" s="148"/>
      <c r="W42" s="148"/>
      <c r="X42" s="149"/>
      <c r="Y42" s="149"/>
      <c r="Z42" s="150"/>
      <c r="AA42" s="150"/>
      <c r="AB42" s="150"/>
      <c r="AC42" s="150"/>
    </row>
    <row r="43" ht="24.75" customHeight="1" spans="1:29">
      <c r="C43" s="136"/>
      <c r="H43" s="151"/>
      <c r="I43" s="151"/>
      <c r="J43" s="151"/>
      <c r="K43" s="145"/>
      <c r="L43" s="139"/>
      <c r="N43" s="152" t="s">
        <v>24</v>
      </c>
      <c r="O43" s="153"/>
      <c r="P43" s="153"/>
      <c r="Q43" s="154"/>
      <c r="R43" s="155" t="e">
        <f>AVERAGE(T8:T31)</f>
        <v>#DIV/0!</v>
      </c>
      <c r="X43" s="156"/>
      <c r="Z43" s="157"/>
      <c r="AA43" s="157"/>
      <c r="AB43" s="157"/>
      <c r="AC43" s="157"/>
    </row>
    <row r="44" ht="19.5" spans="1:29">
      <c r="I44" s="158"/>
      <c r="K44" s="159"/>
      <c r="L44" s="159"/>
      <c r="Z44" s="160"/>
      <c r="AA44" s="160"/>
      <c r="AB44" s="160"/>
      <c r="AC44" s="160"/>
    </row>
    <row r="45" ht="24.75" customHeight="1" spans="1:29">
      <c r="D45" s="158"/>
      <c r="E45" s="158"/>
      <c r="F45" s="158"/>
      <c r="G45" s="158"/>
      <c r="H45" s="158"/>
      <c r="N45" s="126" t="s">
        <v>25</v>
      </c>
      <c r="O45" s="127"/>
      <c r="P45" s="127"/>
      <c r="Q45" s="128"/>
      <c r="R45" s="161">
        <f>SUM(M32-H32)/24</f>
        <v>-449.457083333337</v>
      </c>
      <c r="X45" s="162"/>
      <c r="Z45" s="163"/>
      <c r="AA45" s="163"/>
      <c r="AB45" s="163"/>
      <c r="AC45" s="163"/>
    </row>
    <row r="46" spans="1:29">
      <c r="Z46" s="164"/>
      <c r="AA46" s="164"/>
      <c r="AB46" s="164"/>
      <c r="AC46" s="164"/>
    </row>
    <row r="47" spans="1:29">
      <c r="Z47" s="139"/>
      <c r="AA47" s="139"/>
      <c r="AB47" s="139"/>
      <c r="AC47" s="139"/>
    </row>
    <row r="48" spans="1:29">
      <c r="Z48" s="139"/>
      <c r="AA48" s="139"/>
      <c r="AB48" s="139"/>
      <c r="AC48" s="139"/>
    </row>
    <row r="49" spans="11:29">
      <c r="Z49" s="157"/>
      <c r="AA49" s="157"/>
      <c r="AB49" s="157"/>
      <c r="AC49" s="157"/>
    </row>
    <row r="50" spans="11:29">
      <c r="Z50" s="157"/>
      <c r="AA50" s="157"/>
      <c r="AB50" s="157"/>
      <c r="AC50" s="157"/>
    </row>
    <row r="51" spans="11:29">
      <c r="K51" s="150"/>
      <c r="L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0"/>
      <c r="AC51" s="150"/>
    </row>
    <row r="52" spans="11:29">
      <c r="K52" s="150"/>
      <c r="L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  <c r="AB52" s="150"/>
      <c r="AC52" s="150"/>
    </row>
    <row r="53" spans="11:29">
      <c r="K53" s="150"/>
      <c r="L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50"/>
      <c r="AB53" s="150"/>
      <c r="AC53" s="150"/>
    </row>
    <row r="60" spans="11:29">
      <c r="O60" s="165"/>
      <c r="P60" s="165"/>
      <c r="Q60" s="165"/>
      <c r="R60" s="165"/>
      <c r="S60" s="165"/>
      <c r="T60" s="165"/>
    </row>
    <row r="61" spans="11:29">
      <c r="O61" s="165"/>
      <c r="P61" s="165"/>
      <c r="Q61" s="165"/>
      <c r="R61" s="165"/>
      <c r="S61" s="165"/>
      <c r="T61" s="165"/>
    </row>
    <row r="62" spans="11:29">
      <c r="O62" s="165"/>
      <c r="P62" s="165"/>
      <c r="Q62" s="165"/>
      <c r="R62" s="165"/>
      <c r="S62" s="165"/>
      <c r="T62" s="165"/>
    </row>
    <row r="63" spans="11:29">
      <c r="O63" s="165"/>
      <c r="P63" s="165"/>
      <c r="Q63" s="165"/>
      <c r="R63" s="165"/>
      <c r="S63" s="165"/>
      <c r="T63" s="165"/>
    </row>
    <row r="64" spans="11:29">
      <c r="O64" s="165"/>
      <c r="P64" s="165"/>
      <c r="Q64" s="165"/>
      <c r="R64" s="165"/>
      <c r="S64" s="165"/>
      <c r="T64" s="165"/>
    </row>
    <row r="65" spans="15:20">
      <c r="O65" s="165"/>
      <c r="P65" s="165"/>
      <c r="Q65" s="165"/>
      <c r="R65" s="165"/>
      <c r="S65" s="165"/>
      <c r="T65" s="165"/>
    </row>
    <row r="66" spans="15:20">
      <c r="O66" s="165"/>
      <c r="P66" s="165"/>
      <c r="Q66" s="165"/>
      <c r="R66" s="165"/>
      <c r="S66" s="165"/>
      <c r="T66" s="165"/>
    </row>
    <row r="67" spans="15:20">
      <c r="O67" s="165"/>
      <c r="P67" s="165"/>
      <c r="Q67" s="165"/>
      <c r="R67" s="165"/>
      <c r="S67" s="165"/>
      <c r="T67" s="165"/>
    </row>
    <row r="68" spans="15:20">
      <c r="O68" s="165"/>
      <c r="P68" s="165"/>
      <c r="Q68" s="165"/>
      <c r="R68" s="165"/>
      <c r="S68" s="165"/>
      <c r="T68" s="165"/>
    </row>
  </sheetData>
  <mergeCells count="116">
    <mergeCell ref="H4:K4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B29:C29"/>
    <mergeCell ref="D29:E29"/>
    <mergeCell ref="F29:G2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N34:Q34"/>
    <mergeCell ref="B35:C35"/>
    <mergeCell ref="D35:E35"/>
    <mergeCell ref="F35:G35"/>
    <mergeCell ref="N35:Q35"/>
    <mergeCell ref="N37:Q37"/>
    <mergeCell ref="A39:B39"/>
    <mergeCell ref="C39:D39"/>
    <mergeCell ref="H39:J39"/>
    <mergeCell ref="N39:Q39"/>
    <mergeCell ref="A41:B41"/>
    <mergeCell ref="C41:D41"/>
    <mergeCell ref="H41:J41"/>
    <mergeCell ref="N41:Q41"/>
    <mergeCell ref="H43:J43"/>
    <mergeCell ref="N43:Q43"/>
    <mergeCell ref="N45:Q45"/>
    <mergeCell ref="A6:A7"/>
    <mergeCell ref="A33:A34"/>
    <mergeCell ref="H6:H7"/>
    <mergeCell ref="H33:H34"/>
    <mergeCell ref="I6:I7"/>
    <mergeCell ref="I33:I34"/>
    <mergeCell ref="J6:J7"/>
    <mergeCell ref="K6:K7"/>
    <mergeCell ref="L6:L7"/>
    <mergeCell ref="M6:M7"/>
    <mergeCell ref="N6:N7"/>
    <mergeCell ref="O6:O7"/>
    <mergeCell ref="T6:T7"/>
    <mergeCell ref="U6:U7"/>
    <mergeCell ref="B33:C34"/>
    <mergeCell ref="D33:E34"/>
    <mergeCell ref="F33:G34"/>
  </mergeCells>
  <conditionalFormatting sqref="O8">
    <cfRule type="cellIs" dxfId="0" priority="10" operator="equal">
      <formula>"N/A"</formula>
    </cfRule>
  </conditionalFormatting>
  <conditionalFormatting sqref="A30">
    <cfRule type="cellIs" dxfId="1" priority="11" operator="equal">
      <formula>"STB"</formula>
    </cfRule>
    <cfRule type="cellIs" dxfId="0" priority="12" operator="equal">
      <formula>"BD"</formula>
    </cfRule>
  </conditionalFormatting>
  <conditionalFormatting sqref="B8:B31">
    <cfRule type="cellIs" dxfId="1" priority="1" operator="equal">
      <formula>"STB"</formula>
    </cfRule>
    <cfRule type="cellIs" dxfId="0" priority="2" operator="equal">
      <formula>"BD"</formula>
    </cfRule>
  </conditionalFormatting>
  <conditionalFormatting sqref="D8:D31">
    <cfRule type="cellIs" dxfId="1" priority="8" operator="equal">
      <formula>"STB"</formula>
    </cfRule>
    <cfRule type="cellIs" dxfId="0" priority="9" operator="equal">
      <formula>"BD"</formula>
    </cfRule>
  </conditionalFormatting>
  <conditionalFormatting sqref="F8:F31">
    <cfRule type="cellIs" dxfId="1" priority="3" operator="equal">
      <formula>"STB"</formula>
    </cfRule>
    <cfRule type="cellIs" dxfId="0" priority="4" operator="equal">
      <formula>"BD"</formula>
    </cfRule>
  </conditionalFormatting>
  <conditionalFormatting sqref="H8:H31">
    <cfRule type="top10" dxfId="2" priority="5" bottom="1" rank="1"/>
    <cfRule type="top10" dxfId="3" priority="6" rank="1"/>
    <cfRule type="cellIs" dxfId="4" priority="7" stopIfTrue="1" operator="equal">
      <formula>28000</formula>
    </cfRule>
  </conditionalFormatting>
  <conditionalFormatting sqref="H32:H33">
    <cfRule type="top10" dxfId="2" priority="14" bottom="1" rank="1"/>
    <cfRule type="top10" dxfId="3" priority="15" rank="1"/>
    <cfRule type="cellIs" dxfId="4" priority="17" stopIfTrue="1" operator="equal">
      <formula>28000</formula>
    </cfRule>
  </conditionalFormatting>
  <conditionalFormatting sqref="Y8:Y31">
    <cfRule type="containsText" dxfId="5" priority="13" operator="between" text="-">
      <formula>NOT(ISERROR(SEARCH("-",Y8)))</formula>
    </cfRule>
  </conditionalFormatting>
  <conditionalFormatting sqref="N8 N9:O31">
    <cfRule type="cellIs" dxfId="0" priority="16" operator="equal">
      <formula>"BD"</formula>
    </cfRule>
  </conditionalFormatting>
  <pageMargins left="0.7" right="0.7" top="0.75" bottom="0.75" header="0.3" footer="0.3"/>
  <pageSetup paperSize="1" orientation="portrait" verticalDpi="360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C68"/>
  <sheetViews>
    <sheetView zoomScale="80" zoomScaleNormal="80" workbookViewId="0">
      <pane ySplit="7" topLeftCell="A9" activePane="bottomLeft" state="frozen"/>
      <selection/>
      <selection pane="bottomLeft" activeCell="A3" sqref="$A3:$XFD3"/>
    </sheetView>
  </sheetViews>
  <sheetFormatPr defaultColWidth="8.81666666666667" defaultRowHeight="14.25"/>
  <cols>
    <col min="1" max="1" width="16.725" customWidth="1"/>
    <col min="2" max="2" width="8.725" customWidth="1"/>
    <col min="3" max="7" width="5.725" customWidth="1"/>
    <col min="8" max="8" width="14.2666666666667" customWidth="1"/>
    <col min="9" max="9" width="15.1833333333333" customWidth="1"/>
    <col min="10" max="10" width="15.5416666666667" customWidth="1"/>
    <col min="11" max="11" width="7" customWidth="1"/>
    <col min="12" max="12" width="8.54166666666667" customWidth="1"/>
    <col min="13" max="13" width="11.725" style="5" customWidth="1"/>
    <col min="14" max="14" width="17.1833333333333" customWidth="1"/>
    <col min="15" max="15" width="15.45" customWidth="1"/>
    <col min="16" max="16" width="7.45" customWidth="1"/>
    <col min="17" max="17" width="9.54166666666667" customWidth="1"/>
    <col min="18" max="18" width="10" customWidth="1"/>
    <col min="19" max="20" width="9.81666666666667" customWidth="1"/>
    <col min="21" max="21" width="6.725" customWidth="1"/>
    <col min="22" max="22" width="13.8166666666667" customWidth="1"/>
    <col min="23" max="23" width="11.2666666666667" customWidth="1"/>
    <col min="24" max="24" width="9.26666666666667" customWidth="1"/>
    <col min="25" max="25" width="3.725" customWidth="1"/>
    <col min="26" max="29" width="7.725" customWidth="1"/>
    <col min="30" max="30" width="6.725" customWidth="1"/>
  </cols>
  <sheetData>
    <row r="1" ht="3" customHeight="1"/>
    <row r="2" ht="6" customHeight="1" spans="1:2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="1" customFormat="1" ht="6.75" customHeight="1" spans="1:29">
      <c r="K3" s="7"/>
      <c r="L3" s="8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17.25" customHeight="1" spans="1:29">
      <c r="A4" s="1"/>
      <c r="B4" s="10"/>
      <c r="C4" s="10"/>
      <c r="D4" s="10"/>
      <c r="E4" s="11"/>
      <c r="F4" s="11"/>
      <c r="G4" s="11"/>
      <c r="H4" s="12">
        <f>'[20]Taniwel daily'!C4</f>
        <v>45311</v>
      </c>
      <c r="I4" s="13"/>
      <c r="J4" s="13"/>
      <c r="K4" s="14"/>
      <c r="L4" s="15"/>
      <c r="M4" s="16"/>
      <c r="N4" s="10"/>
      <c r="O4" s="10"/>
      <c r="P4" s="10"/>
      <c r="Q4" s="10"/>
      <c r="R4" s="10"/>
      <c r="S4" s="10"/>
      <c r="T4" s="10"/>
      <c r="U4" s="10"/>
      <c r="V4" s="7"/>
      <c r="W4" s="7"/>
      <c r="X4" s="7"/>
      <c r="Y4" s="7"/>
      <c r="Z4" s="7"/>
      <c r="AA4" s="7"/>
      <c r="AB4" s="7"/>
      <c r="AC4" s="7"/>
    </row>
    <row r="5" ht="7.5" customHeight="1" spans="1:29">
      <c r="A5" s="1"/>
      <c r="B5" s="17"/>
      <c r="C5" s="1"/>
      <c r="D5" s="1"/>
      <c r="E5" s="1"/>
      <c r="F5" s="1"/>
      <c r="G5" s="1"/>
      <c r="H5" s="1"/>
      <c r="I5" s="1"/>
      <c r="J5" s="1"/>
      <c r="K5" s="18"/>
      <c r="L5" s="7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ht="17.25" customHeight="1" spans="1:29">
      <c r="A6" s="19" t="s">
        <v>0</v>
      </c>
      <c r="B6" s="20" t="s">
        <v>1</v>
      </c>
      <c r="C6" s="21"/>
      <c r="D6" s="20" t="s">
        <v>2</v>
      </c>
      <c r="E6" s="21"/>
      <c r="F6" s="20" t="s">
        <v>3</v>
      </c>
      <c r="G6" s="21"/>
      <c r="H6" s="22" t="s">
        <v>4</v>
      </c>
      <c r="I6" s="22" t="s">
        <v>5</v>
      </c>
      <c r="J6" s="23" t="s">
        <v>6</v>
      </c>
      <c r="K6" s="19" t="s">
        <v>0</v>
      </c>
      <c r="L6" s="24" t="s">
        <v>7</v>
      </c>
      <c r="M6" s="25" t="s">
        <v>8</v>
      </c>
      <c r="N6" s="26" t="s">
        <v>9</v>
      </c>
      <c r="O6" s="25" t="s">
        <v>10</v>
      </c>
      <c r="P6" s="27"/>
      <c r="Q6" s="28"/>
      <c r="R6" s="28"/>
      <c r="S6" s="28"/>
      <c r="T6" s="28"/>
      <c r="U6" s="29"/>
    </row>
    <row r="7" ht="15.75" customHeight="1" spans="1:29">
      <c r="A7" s="30"/>
      <c r="B7" s="31">
        <v>1</v>
      </c>
      <c r="C7" s="32"/>
      <c r="D7" s="31">
        <v>2</v>
      </c>
      <c r="E7" s="32"/>
      <c r="F7" s="31">
        <v>3</v>
      </c>
      <c r="G7" s="32"/>
      <c r="H7" s="33"/>
      <c r="I7" s="33"/>
      <c r="J7" s="34"/>
      <c r="K7" s="30"/>
      <c r="L7" s="35"/>
      <c r="M7" s="36"/>
      <c r="N7" s="37"/>
      <c r="O7" s="38"/>
      <c r="P7" s="27"/>
      <c r="Q7" s="28"/>
      <c r="R7" s="28"/>
      <c r="S7" s="28"/>
      <c r="T7" s="28"/>
      <c r="U7" s="29"/>
      <c r="X7" s="39"/>
    </row>
    <row r="8" s="2" customFormat="1" ht="15" customHeight="1" spans="1:29">
      <c r="A8" s="40">
        <v>0.0416666666666666</v>
      </c>
      <c r="B8" s="41" t="s">
        <v>11</v>
      </c>
      <c r="C8" s="42"/>
      <c r="D8" s="41">
        <v>248</v>
      </c>
      <c r="E8" s="42"/>
      <c r="F8" s="41">
        <v>232</v>
      </c>
      <c r="G8" s="42"/>
      <c r="H8" s="43">
        <f t="shared" ref="H8:H31" si="0">IF(SUM(B8:G8)/1000=0,"0",SUM(B8:G8))</f>
        <v>480</v>
      </c>
      <c r="I8" s="44">
        <f t="shared" ref="I8:I31" si="1">IFERROR(AVERAGE(B8:G8),"0")</f>
        <v>240</v>
      </c>
      <c r="J8" s="45">
        <f t="shared" ref="J8:J31" si="2">COUNT(B8:G8)</f>
        <v>2</v>
      </c>
      <c r="K8" s="46">
        <v>0.0416666666666667</v>
      </c>
      <c r="L8" s="47">
        <v>4500</v>
      </c>
      <c r="M8" s="48">
        <v>174.58</v>
      </c>
      <c r="N8" s="49">
        <f>(M9-M8)*12000</f>
        <v>599.999999999795</v>
      </c>
      <c r="O8" s="50"/>
      <c r="P8" s="51"/>
      <c r="Q8" s="52"/>
      <c r="R8" s="52"/>
      <c r="S8" s="52"/>
      <c r="T8" s="52"/>
      <c r="U8" s="53"/>
    </row>
    <row r="9" s="3" customFormat="1" ht="15" customHeight="1" spans="1:29">
      <c r="A9" s="40">
        <v>0.0833333333333333</v>
      </c>
      <c r="B9" s="41" t="s">
        <v>11</v>
      </c>
      <c r="C9" s="42"/>
      <c r="D9" s="41">
        <v>243</v>
      </c>
      <c r="E9" s="42"/>
      <c r="F9" s="41">
        <v>237</v>
      </c>
      <c r="G9" s="42"/>
      <c r="H9" s="43">
        <f t="shared" si="0"/>
        <v>480</v>
      </c>
      <c r="I9" s="44">
        <f t="shared" si="1"/>
        <v>240</v>
      </c>
      <c r="J9" s="45">
        <f t="shared" si="2"/>
        <v>2</v>
      </c>
      <c r="K9" s="46">
        <v>0.0833333333333333</v>
      </c>
      <c r="L9" s="47">
        <v>4200</v>
      </c>
      <c r="M9" s="54">
        <v>174.63</v>
      </c>
      <c r="N9" s="49">
        <f t="shared" ref="N9:N30" si="3">(M10-M9)*12000</f>
        <v>600.000000000136</v>
      </c>
      <c r="O9" s="55"/>
      <c r="P9" s="51"/>
      <c r="Q9" s="52"/>
      <c r="R9" s="52"/>
      <c r="S9" s="52"/>
      <c r="T9" s="52"/>
      <c r="U9" s="53"/>
    </row>
    <row r="10" s="3" customFormat="1" ht="15" customHeight="1" spans="1:29">
      <c r="A10" s="40">
        <v>0.125</v>
      </c>
      <c r="B10" s="41" t="s">
        <v>11</v>
      </c>
      <c r="C10" s="42"/>
      <c r="D10" s="41">
        <v>242</v>
      </c>
      <c r="E10" s="42"/>
      <c r="F10" s="41">
        <v>235</v>
      </c>
      <c r="G10" s="42"/>
      <c r="H10" s="43">
        <f t="shared" si="0"/>
        <v>477</v>
      </c>
      <c r="I10" s="44">
        <f t="shared" si="1"/>
        <v>238.5</v>
      </c>
      <c r="J10" s="45">
        <f t="shared" si="2"/>
        <v>2</v>
      </c>
      <c r="K10" s="46">
        <v>0.125</v>
      </c>
      <c r="L10" s="47">
        <v>4200</v>
      </c>
      <c r="M10" s="54">
        <v>174.68</v>
      </c>
      <c r="N10" s="49">
        <f t="shared" si="3"/>
        <v>479.999999999905</v>
      </c>
      <c r="O10" s="56"/>
      <c r="P10" s="51"/>
      <c r="Q10" s="52"/>
      <c r="R10" s="52"/>
      <c r="S10" s="52"/>
      <c r="T10" s="52"/>
      <c r="U10" s="53"/>
    </row>
    <row r="11" s="3" customFormat="1" ht="15" customHeight="1" spans="1:29">
      <c r="A11" s="40">
        <v>0.166666666666667</v>
      </c>
      <c r="B11" s="41" t="s">
        <v>11</v>
      </c>
      <c r="C11" s="42"/>
      <c r="D11" s="41">
        <v>460</v>
      </c>
      <c r="E11" s="42"/>
      <c r="F11" s="41" t="s">
        <v>26</v>
      </c>
      <c r="G11" s="42"/>
      <c r="H11" s="43">
        <f t="shared" si="0"/>
        <v>460</v>
      </c>
      <c r="I11" s="44">
        <f t="shared" si="1"/>
        <v>460</v>
      </c>
      <c r="J11" s="45">
        <f t="shared" si="2"/>
        <v>1</v>
      </c>
      <c r="K11" s="46">
        <v>0.166666666666667</v>
      </c>
      <c r="L11" s="47">
        <v>4000</v>
      </c>
      <c r="M11" s="54">
        <v>174.72</v>
      </c>
      <c r="N11" s="49">
        <f t="shared" si="3"/>
        <v>479.999999999905</v>
      </c>
      <c r="O11" s="56"/>
      <c r="P11" s="51"/>
      <c r="Q11" s="52"/>
      <c r="R11" s="52"/>
      <c r="S11" s="52"/>
      <c r="T11" s="52"/>
      <c r="U11" s="53"/>
    </row>
    <row r="12" s="3" customFormat="1" ht="15" customHeight="1" spans="1:29">
      <c r="A12" s="40">
        <v>0.208333333333333</v>
      </c>
      <c r="B12" s="41" t="s">
        <v>11</v>
      </c>
      <c r="C12" s="42"/>
      <c r="D12" s="41">
        <v>459</v>
      </c>
      <c r="E12" s="42"/>
      <c r="F12" s="41" t="s">
        <v>26</v>
      </c>
      <c r="G12" s="42"/>
      <c r="H12" s="43">
        <f t="shared" si="0"/>
        <v>459</v>
      </c>
      <c r="I12" s="44">
        <f t="shared" si="1"/>
        <v>459</v>
      </c>
      <c r="J12" s="45">
        <f t="shared" si="2"/>
        <v>1</v>
      </c>
      <c r="K12" s="46">
        <v>0.208333333333333</v>
      </c>
      <c r="L12" s="47">
        <v>3900</v>
      </c>
      <c r="M12" s="54">
        <v>174.76</v>
      </c>
      <c r="N12" s="49">
        <f t="shared" si="3"/>
        <v>600.000000000136</v>
      </c>
      <c r="O12" s="56"/>
      <c r="P12" s="51"/>
      <c r="Q12" s="52"/>
      <c r="R12" s="52"/>
      <c r="S12" s="52"/>
      <c r="T12" s="52"/>
      <c r="U12" s="53"/>
    </row>
    <row r="13" s="3" customFormat="1" ht="15" customHeight="1" spans="1:29">
      <c r="A13" s="40">
        <v>0.25</v>
      </c>
      <c r="B13" s="41" t="s">
        <v>11</v>
      </c>
      <c r="C13" s="42"/>
      <c r="D13" s="41">
        <v>252</v>
      </c>
      <c r="E13" s="42"/>
      <c r="F13" s="41">
        <v>251</v>
      </c>
      <c r="G13" s="42"/>
      <c r="H13" s="43">
        <f t="shared" si="0"/>
        <v>503</v>
      </c>
      <c r="I13" s="44">
        <f t="shared" si="1"/>
        <v>251.5</v>
      </c>
      <c r="J13" s="45">
        <f t="shared" si="2"/>
        <v>2</v>
      </c>
      <c r="K13" s="46">
        <v>0.25</v>
      </c>
      <c r="L13" s="47">
        <v>3600</v>
      </c>
      <c r="M13" s="54">
        <v>174.81</v>
      </c>
      <c r="N13" s="49">
        <f t="shared" si="3"/>
        <v>600.000000000136</v>
      </c>
      <c r="O13" s="56"/>
      <c r="P13" s="51"/>
      <c r="Q13" s="52"/>
      <c r="R13" s="52"/>
      <c r="S13" s="52"/>
      <c r="T13" s="52"/>
      <c r="U13" s="53"/>
    </row>
    <row r="14" s="3" customFormat="1" ht="15" customHeight="1" spans="1:29">
      <c r="A14" s="40">
        <v>0.291666666666667</v>
      </c>
      <c r="B14" s="41" t="s">
        <v>11</v>
      </c>
      <c r="C14" s="42"/>
      <c r="D14" s="41">
        <v>274</v>
      </c>
      <c r="E14" s="42"/>
      <c r="F14" s="41">
        <v>272</v>
      </c>
      <c r="G14" s="42"/>
      <c r="H14" s="43">
        <f t="shared" si="0"/>
        <v>546</v>
      </c>
      <c r="I14" s="44">
        <f t="shared" si="1"/>
        <v>273</v>
      </c>
      <c r="J14" s="45">
        <f t="shared" si="2"/>
        <v>2</v>
      </c>
      <c r="K14" s="46">
        <v>0.291666666666667</v>
      </c>
      <c r="L14" s="47">
        <v>3600</v>
      </c>
      <c r="M14" s="54">
        <v>174.86</v>
      </c>
      <c r="N14" s="49">
        <f t="shared" si="3"/>
        <v>599.999999999795</v>
      </c>
      <c r="O14" s="56"/>
      <c r="P14" s="51"/>
      <c r="Q14" s="52"/>
      <c r="R14" s="52"/>
      <c r="S14" s="52"/>
      <c r="T14" s="52"/>
      <c r="U14" s="53"/>
    </row>
    <row r="15" s="3" customFormat="1" ht="15" customHeight="1" spans="1:29">
      <c r="A15" s="40">
        <v>0.333333333333333</v>
      </c>
      <c r="B15" s="41" t="s">
        <v>11</v>
      </c>
      <c r="C15" s="42"/>
      <c r="D15" s="41">
        <v>248</v>
      </c>
      <c r="E15" s="42"/>
      <c r="F15" s="41">
        <v>262</v>
      </c>
      <c r="G15" s="42"/>
      <c r="H15" s="43">
        <f t="shared" si="0"/>
        <v>510</v>
      </c>
      <c r="I15" s="44">
        <f t="shared" si="1"/>
        <v>255</v>
      </c>
      <c r="J15" s="45">
        <f t="shared" si="2"/>
        <v>2</v>
      </c>
      <c r="K15" s="46">
        <v>0.333333333333333</v>
      </c>
      <c r="L15" s="47">
        <v>3600</v>
      </c>
      <c r="M15" s="54">
        <v>174.91</v>
      </c>
      <c r="N15" s="49">
        <f t="shared" si="3"/>
        <v>479.999999999905</v>
      </c>
      <c r="O15" s="56"/>
      <c r="P15" s="51"/>
      <c r="Q15" s="52"/>
      <c r="R15" s="52"/>
      <c r="S15" s="52"/>
      <c r="T15" s="52"/>
      <c r="U15" s="53"/>
    </row>
    <row r="16" s="3" customFormat="1" ht="15" customHeight="1" spans="1:29">
      <c r="A16" s="40">
        <v>0.375</v>
      </c>
      <c r="B16" s="41" t="s">
        <v>11</v>
      </c>
      <c r="C16" s="42"/>
      <c r="D16" s="41">
        <v>246</v>
      </c>
      <c r="E16" s="42"/>
      <c r="F16" s="41">
        <v>235</v>
      </c>
      <c r="G16" s="42"/>
      <c r="H16" s="43">
        <f t="shared" si="0"/>
        <v>481</v>
      </c>
      <c r="I16" s="44">
        <f t="shared" si="1"/>
        <v>240.5</v>
      </c>
      <c r="J16" s="45">
        <f t="shared" si="2"/>
        <v>2</v>
      </c>
      <c r="K16" s="46">
        <v>0.375</v>
      </c>
      <c r="L16" s="47">
        <v>3600</v>
      </c>
      <c r="M16" s="54">
        <v>174.95</v>
      </c>
      <c r="N16" s="49">
        <f t="shared" si="3"/>
        <v>480.000000000246</v>
      </c>
      <c r="O16" s="56"/>
      <c r="P16" s="51"/>
      <c r="Q16" s="52"/>
      <c r="R16" s="52"/>
      <c r="S16" s="52"/>
      <c r="T16" s="52"/>
      <c r="U16" s="53"/>
    </row>
    <row r="17" s="3" customFormat="1" ht="15" customHeight="1" spans="1:21">
      <c r="A17" s="40">
        <v>0.416666666666667</v>
      </c>
      <c r="B17" s="41" t="s">
        <v>11</v>
      </c>
      <c r="C17" s="42"/>
      <c r="D17" s="41">
        <v>246</v>
      </c>
      <c r="E17" s="42"/>
      <c r="F17" s="41">
        <v>233</v>
      </c>
      <c r="G17" s="42"/>
      <c r="H17" s="43">
        <f t="shared" si="0"/>
        <v>479</v>
      </c>
      <c r="I17" s="44">
        <f t="shared" si="1"/>
        <v>239.5</v>
      </c>
      <c r="J17" s="45">
        <f t="shared" si="2"/>
        <v>2</v>
      </c>
      <c r="K17" s="46">
        <v>0.416666666666666</v>
      </c>
      <c r="L17" s="47">
        <v>3400</v>
      </c>
      <c r="M17" s="54">
        <v>174.99</v>
      </c>
      <c r="N17" s="49">
        <f t="shared" si="3"/>
        <v>599.999999999795</v>
      </c>
      <c r="O17" s="56"/>
      <c r="P17" s="51"/>
      <c r="Q17" s="52"/>
      <c r="R17" s="52"/>
      <c r="S17" s="52"/>
      <c r="T17" s="52"/>
      <c r="U17" s="53"/>
    </row>
    <row r="18" s="3" customFormat="1" ht="15" customHeight="1" spans="1:21">
      <c r="A18" s="40">
        <v>0.458333333333333</v>
      </c>
      <c r="B18" s="41" t="s">
        <v>11</v>
      </c>
      <c r="C18" s="42"/>
      <c r="D18" s="41">
        <v>231</v>
      </c>
      <c r="E18" s="42"/>
      <c r="F18" s="41">
        <v>235</v>
      </c>
      <c r="G18" s="42"/>
      <c r="H18" s="43">
        <f t="shared" si="0"/>
        <v>466</v>
      </c>
      <c r="I18" s="44">
        <f t="shared" si="1"/>
        <v>233</v>
      </c>
      <c r="J18" s="45">
        <f t="shared" si="2"/>
        <v>2</v>
      </c>
      <c r="K18" s="46">
        <v>0.458333333333333</v>
      </c>
      <c r="L18" s="47">
        <v>3300</v>
      </c>
      <c r="M18" s="54">
        <v>175.04</v>
      </c>
      <c r="N18" s="49">
        <f t="shared" si="3"/>
        <v>480.000000000246</v>
      </c>
      <c r="O18" s="56"/>
      <c r="P18" s="51"/>
      <c r="Q18" s="52"/>
      <c r="R18" s="52"/>
      <c r="S18" s="52"/>
      <c r="T18" s="52"/>
      <c r="U18" s="53"/>
    </row>
    <row r="19" s="3" customFormat="1" ht="15" customHeight="1" spans="1:21">
      <c r="A19" s="40">
        <v>0.5</v>
      </c>
      <c r="B19" s="41" t="s">
        <v>11</v>
      </c>
      <c r="C19" s="42"/>
      <c r="D19" s="41">
        <v>232</v>
      </c>
      <c r="E19" s="42"/>
      <c r="F19" s="41">
        <v>230</v>
      </c>
      <c r="G19" s="42"/>
      <c r="H19" s="43">
        <f t="shared" si="0"/>
        <v>462</v>
      </c>
      <c r="I19" s="44">
        <f t="shared" si="1"/>
        <v>231</v>
      </c>
      <c r="J19" s="45">
        <f t="shared" si="2"/>
        <v>2</v>
      </c>
      <c r="K19" s="46">
        <v>0.5</v>
      </c>
      <c r="L19" s="47">
        <v>3300</v>
      </c>
      <c r="M19" s="54">
        <v>175.08</v>
      </c>
      <c r="N19" s="49">
        <f t="shared" si="3"/>
        <v>599.999999999795</v>
      </c>
      <c r="O19" s="56"/>
      <c r="P19" s="51"/>
      <c r="Q19" s="52"/>
      <c r="R19" s="52"/>
      <c r="S19" s="52"/>
      <c r="T19" s="52"/>
      <c r="U19" s="53"/>
    </row>
    <row r="20" s="3" customFormat="1" ht="15" customHeight="1" spans="1:21">
      <c r="A20" s="40">
        <v>0.541666666666667</v>
      </c>
      <c r="B20" s="41" t="s">
        <v>11</v>
      </c>
      <c r="C20" s="42"/>
      <c r="D20" s="41">
        <v>231</v>
      </c>
      <c r="E20" s="42"/>
      <c r="F20" s="41">
        <v>230</v>
      </c>
      <c r="G20" s="42"/>
      <c r="H20" s="43">
        <f t="shared" si="0"/>
        <v>461</v>
      </c>
      <c r="I20" s="44">
        <f t="shared" si="1"/>
        <v>230.5</v>
      </c>
      <c r="J20" s="45">
        <f t="shared" si="2"/>
        <v>2</v>
      </c>
      <c r="K20" s="46">
        <v>0.541666666666667</v>
      </c>
      <c r="L20" s="47">
        <v>3000</v>
      </c>
      <c r="M20" s="54">
        <v>175.13</v>
      </c>
      <c r="N20" s="49">
        <f t="shared" si="3"/>
        <v>479.999999999905</v>
      </c>
      <c r="O20" s="56"/>
      <c r="P20" s="51"/>
      <c r="Q20" s="52"/>
      <c r="R20" s="52"/>
      <c r="S20" s="52"/>
      <c r="T20" s="52"/>
      <c r="U20" s="53"/>
    </row>
    <row r="21" s="3" customFormat="1" ht="15" customHeight="1" spans="1:21">
      <c r="A21" s="40">
        <v>0.583333333333333</v>
      </c>
      <c r="B21" s="41" t="s">
        <v>11</v>
      </c>
      <c r="C21" s="42"/>
      <c r="D21" s="41" t="s">
        <v>26</v>
      </c>
      <c r="E21" s="42"/>
      <c r="F21" s="41">
        <v>434</v>
      </c>
      <c r="G21" s="42"/>
      <c r="H21" s="43">
        <f t="shared" si="0"/>
        <v>434</v>
      </c>
      <c r="I21" s="44">
        <f t="shared" si="1"/>
        <v>434</v>
      </c>
      <c r="J21" s="45">
        <f t="shared" si="2"/>
        <v>1</v>
      </c>
      <c r="K21" s="46">
        <v>0.583333333333333</v>
      </c>
      <c r="L21" s="47">
        <v>3000</v>
      </c>
      <c r="M21" s="54">
        <v>175.17</v>
      </c>
      <c r="N21" s="49">
        <f t="shared" si="3"/>
        <v>480.000000000246</v>
      </c>
      <c r="O21" s="56"/>
      <c r="P21" s="51"/>
      <c r="Q21" s="52"/>
      <c r="R21" s="52"/>
      <c r="S21" s="52"/>
      <c r="T21" s="52"/>
      <c r="U21" s="53"/>
    </row>
    <row r="22" s="3" customFormat="1" ht="15" customHeight="1" spans="1:21">
      <c r="A22" s="40">
        <v>0.625</v>
      </c>
      <c r="B22" s="41" t="s">
        <v>11</v>
      </c>
      <c r="C22" s="42"/>
      <c r="D22" s="41" t="s">
        <v>26</v>
      </c>
      <c r="E22" s="42"/>
      <c r="F22" s="41">
        <v>421</v>
      </c>
      <c r="G22" s="42"/>
      <c r="H22" s="43">
        <f t="shared" si="0"/>
        <v>421</v>
      </c>
      <c r="I22" s="44">
        <f t="shared" si="1"/>
        <v>421</v>
      </c>
      <c r="J22" s="45">
        <f t="shared" si="2"/>
        <v>1</v>
      </c>
      <c r="K22" s="46">
        <v>0.625</v>
      </c>
      <c r="L22" s="47">
        <v>3000</v>
      </c>
      <c r="M22" s="54">
        <v>175.21</v>
      </c>
      <c r="N22" s="49">
        <f t="shared" si="3"/>
        <v>479.999999999905</v>
      </c>
      <c r="O22" s="56"/>
      <c r="P22" s="51"/>
      <c r="Q22" s="52"/>
      <c r="R22" s="52"/>
      <c r="S22" s="52"/>
      <c r="T22" s="52"/>
      <c r="U22" s="53"/>
    </row>
    <row r="23" s="3" customFormat="1" ht="15" customHeight="1" spans="1:21">
      <c r="A23" s="40">
        <v>0.666666666666667</v>
      </c>
      <c r="B23" s="41" t="s">
        <v>11</v>
      </c>
      <c r="C23" s="42"/>
      <c r="D23" s="41" t="s">
        <v>26</v>
      </c>
      <c r="E23" s="42"/>
      <c r="F23" s="41">
        <v>415</v>
      </c>
      <c r="G23" s="42"/>
      <c r="H23" s="43">
        <f t="shared" si="0"/>
        <v>415</v>
      </c>
      <c r="I23" s="44">
        <f t="shared" si="1"/>
        <v>415</v>
      </c>
      <c r="J23" s="45">
        <f t="shared" si="2"/>
        <v>1</v>
      </c>
      <c r="K23" s="46">
        <v>0.666666666666666</v>
      </c>
      <c r="L23" s="47">
        <v>3000</v>
      </c>
      <c r="M23" s="54">
        <v>175.25</v>
      </c>
      <c r="N23" s="49">
        <f t="shared" si="3"/>
        <v>479.999999999905</v>
      </c>
      <c r="O23" s="56"/>
      <c r="P23" s="51"/>
      <c r="Q23" s="52"/>
      <c r="R23" s="52"/>
      <c r="S23" s="52"/>
      <c r="T23" s="52"/>
      <c r="U23" s="53"/>
    </row>
    <row r="24" s="3" customFormat="1" ht="15" customHeight="1" spans="1:21">
      <c r="A24" s="40">
        <v>0.708333333333334</v>
      </c>
      <c r="B24" s="41" t="s">
        <v>11</v>
      </c>
      <c r="C24" s="42"/>
      <c r="D24" s="41" t="s">
        <v>26</v>
      </c>
      <c r="E24" s="42"/>
      <c r="F24" s="41">
        <v>431</v>
      </c>
      <c r="G24" s="42"/>
      <c r="H24" s="43">
        <f t="shared" si="0"/>
        <v>431</v>
      </c>
      <c r="I24" s="44">
        <f t="shared" si="1"/>
        <v>431</v>
      </c>
      <c r="J24" s="45">
        <f t="shared" si="2"/>
        <v>1</v>
      </c>
      <c r="K24" s="46">
        <v>0.708333333333333</v>
      </c>
      <c r="L24" s="47">
        <v>2700</v>
      </c>
      <c r="M24" s="54">
        <v>175.29</v>
      </c>
      <c r="N24" s="49">
        <f t="shared" si="3"/>
        <v>480.000000000246</v>
      </c>
      <c r="O24" s="56"/>
      <c r="P24" s="51"/>
      <c r="Q24" s="52"/>
      <c r="R24" s="52"/>
      <c r="S24" s="52"/>
      <c r="T24" s="52"/>
      <c r="U24" s="53"/>
    </row>
    <row r="25" s="3" customFormat="1" ht="15" customHeight="1" spans="1:21">
      <c r="A25" s="40">
        <v>0.75</v>
      </c>
      <c r="B25" s="41" t="s">
        <v>11</v>
      </c>
      <c r="C25" s="42"/>
      <c r="D25" s="41">
        <v>227</v>
      </c>
      <c r="E25" s="42"/>
      <c r="F25" s="41">
        <v>222</v>
      </c>
      <c r="G25" s="42"/>
      <c r="H25" s="43">
        <f t="shared" si="0"/>
        <v>449</v>
      </c>
      <c r="I25" s="44">
        <f t="shared" si="1"/>
        <v>224.5</v>
      </c>
      <c r="J25" s="45">
        <f t="shared" si="2"/>
        <v>2</v>
      </c>
      <c r="K25" s="46">
        <v>0.75</v>
      </c>
      <c r="L25" s="47">
        <v>2400</v>
      </c>
      <c r="M25" s="54">
        <v>175.33</v>
      </c>
      <c r="N25" s="49">
        <f t="shared" si="3"/>
        <v>599.999999999795</v>
      </c>
      <c r="O25" s="56"/>
      <c r="P25" s="51"/>
      <c r="Q25" s="52"/>
      <c r="R25" s="52"/>
      <c r="S25" s="52"/>
      <c r="T25" s="52"/>
      <c r="U25" s="53"/>
    </row>
    <row r="26" s="3" customFormat="1" ht="15" customHeight="1" spans="1:21">
      <c r="A26" s="40">
        <v>0.791666666666667</v>
      </c>
      <c r="B26" s="41" t="s">
        <v>11</v>
      </c>
      <c r="C26" s="42"/>
      <c r="D26" s="41">
        <v>318</v>
      </c>
      <c r="E26" s="42"/>
      <c r="F26" s="41">
        <v>309</v>
      </c>
      <c r="G26" s="42"/>
      <c r="H26" s="43">
        <f t="shared" si="0"/>
        <v>627</v>
      </c>
      <c r="I26" s="44">
        <f t="shared" si="1"/>
        <v>313.5</v>
      </c>
      <c r="J26" s="45">
        <f t="shared" si="2"/>
        <v>2</v>
      </c>
      <c r="K26" s="46">
        <v>0.791666666666666</v>
      </c>
      <c r="L26" s="47">
        <v>2100</v>
      </c>
      <c r="M26" s="54">
        <v>175.38</v>
      </c>
      <c r="N26" s="49">
        <f t="shared" si="3"/>
        <v>839.999999999918</v>
      </c>
      <c r="O26" s="56"/>
      <c r="P26" s="51"/>
      <c r="Q26" s="52"/>
      <c r="R26" s="52"/>
      <c r="S26" s="52"/>
      <c r="T26" s="52"/>
      <c r="U26" s="53"/>
    </row>
    <row r="27" s="3" customFormat="1" ht="15" customHeight="1" spans="1:21">
      <c r="A27" s="40">
        <v>0.833333333333334</v>
      </c>
      <c r="B27" s="41" t="s">
        <v>11</v>
      </c>
      <c r="C27" s="42"/>
      <c r="D27" s="41">
        <v>348</v>
      </c>
      <c r="E27" s="42"/>
      <c r="F27" s="41">
        <v>347</v>
      </c>
      <c r="G27" s="42"/>
      <c r="H27" s="43">
        <f t="shared" si="0"/>
        <v>695</v>
      </c>
      <c r="I27" s="44">
        <f t="shared" si="1"/>
        <v>347.5</v>
      </c>
      <c r="J27" s="45">
        <f t="shared" si="2"/>
        <v>2</v>
      </c>
      <c r="K27" s="46">
        <v>0.833333333333333</v>
      </c>
      <c r="L27" s="47">
        <v>2100</v>
      </c>
      <c r="M27" s="54">
        <v>175.45</v>
      </c>
      <c r="N27" s="49">
        <f t="shared" si="3"/>
        <v>720.000000000027</v>
      </c>
      <c r="O27" s="56"/>
      <c r="P27" s="51"/>
      <c r="Q27" s="52"/>
      <c r="R27" s="52"/>
      <c r="S27" s="52"/>
      <c r="T27" s="52"/>
      <c r="U27" s="53"/>
    </row>
    <row r="28" s="4" customFormat="1" ht="15" customHeight="1" spans="1:21">
      <c r="A28" s="40">
        <v>0.875</v>
      </c>
      <c r="B28" s="41" t="s">
        <v>11</v>
      </c>
      <c r="C28" s="42"/>
      <c r="D28" s="41">
        <v>322</v>
      </c>
      <c r="E28" s="42"/>
      <c r="F28" s="41">
        <v>321</v>
      </c>
      <c r="G28" s="42"/>
      <c r="H28" s="43">
        <f t="shared" si="0"/>
        <v>643</v>
      </c>
      <c r="I28" s="44">
        <f t="shared" si="1"/>
        <v>321.5</v>
      </c>
      <c r="J28" s="45">
        <f t="shared" si="2"/>
        <v>2</v>
      </c>
      <c r="K28" s="46">
        <v>0.875</v>
      </c>
      <c r="L28" s="47">
        <v>1800</v>
      </c>
      <c r="M28" s="54">
        <v>175.51</v>
      </c>
      <c r="N28" s="49">
        <f t="shared" si="3"/>
        <v>480.000000000246</v>
      </c>
      <c r="O28" s="56"/>
      <c r="P28" s="51"/>
      <c r="Q28" s="52"/>
      <c r="R28" s="52"/>
      <c r="S28" s="52"/>
      <c r="T28" s="52"/>
      <c r="U28" s="53"/>
    </row>
    <row r="29" s="3" customFormat="1" ht="15" customHeight="1" spans="1:21">
      <c r="A29" s="40">
        <v>0.916666666666667</v>
      </c>
      <c r="B29" s="41" t="s">
        <v>11</v>
      </c>
      <c r="C29" s="42"/>
      <c r="D29" s="41">
        <v>236</v>
      </c>
      <c r="E29" s="42"/>
      <c r="F29" s="41">
        <v>237</v>
      </c>
      <c r="G29" s="42"/>
      <c r="H29" s="43">
        <f t="shared" si="0"/>
        <v>473</v>
      </c>
      <c r="I29" s="44">
        <f t="shared" si="1"/>
        <v>236.5</v>
      </c>
      <c r="J29" s="45">
        <f t="shared" si="2"/>
        <v>2</v>
      </c>
      <c r="K29" s="46">
        <v>0.916666666666666</v>
      </c>
      <c r="L29" s="47">
        <v>1800</v>
      </c>
      <c r="M29" s="54">
        <v>175.55</v>
      </c>
      <c r="N29" s="49">
        <f t="shared" si="3"/>
        <v>599.999999999795</v>
      </c>
      <c r="O29" s="56"/>
      <c r="P29" s="51"/>
      <c r="Q29" s="52"/>
      <c r="R29" s="52"/>
      <c r="S29" s="52"/>
      <c r="T29" s="52"/>
      <c r="U29" s="53"/>
    </row>
    <row r="30" s="3" customFormat="1" ht="15" customHeight="1" spans="1:21">
      <c r="A30" s="40">
        <v>0.958333333333334</v>
      </c>
      <c r="B30" s="41" t="s">
        <v>11</v>
      </c>
      <c r="C30" s="42"/>
      <c r="D30" s="41">
        <v>253</v>
      </c>
      <c r="E30" s="42"/>
      <c r="F30" s="41">
        <v>265</v>
      </c>
      <c r="G30" s="42"/>
      <c r="H30" s="43">
        <f t="shared" si="0"/>
        <v>518</v>
      </c>
      <c r="I30" s="44">
        <f t="shared" si="1"/>
        <v>259</v>
      </c>
      <c r="J30" s="45">
        <f t="shared" si="2"/>
        <v>2</v>
      </c>
      <c r="K30" s="46">
        <v>0.958333333333333</v>
      </c>
      <c r="L30" s="47">
        <v>1800</v>
      </c>
      <c r="M30" s="54">
        <v>175.6</v>
      </c>
      <c r="N30" s="49">
        <f t="shared" si="3"/>
        <v>-12839.9999999999</v>
      </c>
      <c r="O30" s="56"/>
      <c r="P30" s="51"/>
      <c r="Q30" s="52"/>
      <c r="R30" s="52"/>
      <c r="S30" s="52"/>
      <c r="T30" s="52"/>
      <c r="U30" s="53"/>
    </row>
    <row r="31" s="2" customFormat="1" ht="15" customHeight="1" spans="1:21">
      <c r="A31" s="57">
        <v>1</v>
      </c>
      <c r="B31" s="41" t="s">
        <v>11</v>
      </c>
      <c r="C31" s="42"/>
      <c r="D31" s="41">
        <v>246</v>
      </c>
      <c r="E31" s="42"/>
      <c r="F31" s="41">
        <v>225</v>
      </c>
      <c r="G31" s="42"/>
      <c r="H31" s="43">
        <f t="shared" si="0"/>
        <v>471</v>
      </c>
      <c r="I31" s="58">
        <f t="shared" si="1"/>
        <v>235.5</v>
      </c>
      <c r="J31" s="59">
        <f t="shared" si="2"/>
        <v>2</v>
      </c>
      <c r="K31" s="60">
        <v>1</v>
      </c>
      <c r="L31" s="47">
        <v>4500</v>
      </c>
      <c r="M31" s="61">
        <v>174.53</v>
      </c>
      <c r="N31" s="49">
        <f>H31</f>
        <v>471</v>
      </c>
      <c r="O31" s="56"/>
      <c r="P31" s="51"/>
      <c r="Q31" s="52"/>
      <c r="R31" s="52"/>
      <c r="S31" s="52"/>
      <c r="T31" s="52"/>
      <c r="U31" s="53"/>
    </row>
    <row r="32" s="3" customFormat="1" ht="23.25" customHeight="1" spans="1:21">
      <c r="A32" s="62" t="s">
        <v>12</v>
      </c>
      <c r="B32" s="63">
        <f>SUM(B8:B31)/1000</f>
        <v>0</v>
      </c>
      <c r="C32" s="64"/>
      <c r="D32" s="63">
        <f>SUM(D8:D31)/1000</f>
        <v>5.562</v>
      </c>
      <c r="E32" s="64"/>
      <c r="F32" s="63">
        <f>SUM(F8:F31)/1000</f>
        <v>6.279</v>
      </c>
      <c r="G32" s="64"/>
      <c r="H32" s="65">
        <f>SUM(H8:H31)</f>
        <v>11841</v>
      </c>
      <c r="I32" s="66" t="s">
        <v>13</v>
      </c>
      <c r="J32" s="67"/>
      <c r="K32" s="68"/>
      <c r="L32" s="69"/>
      <c r="M32" s="70">
        <f>SUM(M31-M8+N8)</f>
        <v>599.949999999795</v>
      </c>
      <c r="N32" s="71">
        <f>SUM(N8:N31)</f>
        <v>-129.000000000136</v>
      </c>
      <c r="O32" s="72">
        <f>SUM(O8:O31)</f>
        <v>0</v>
      </c>
      <c r="P32" s="73"/>
      <c r="Q32" s="74"/>
      <c r="R32" s="74"/>
      <c r="S32" s="74"/>
      <c r="T32" s="74"/>
      <c r="U32" s="75"/>
    </row>
    <row r="33" ht="15" customHeight="1" spans="1:29">
      <c r="A33" s="76" t="s">
        <v>14</v>
      </c>
      <c r="B33" s="77" t="str">
        <f>IFERROR((AVERAGE(B8:B31)),"0")</f>
        <v>0</v>
      </c>
      <c r="C33" s="78"/>
      <c r="D33" s="79">
        <f>IFERROR((AVERAGE(D8:D31)),"0")</f>
        <v>278.1</v>
      </c>
      <c r="E33" s="78"/>
      <c r="F33" s="79">
        <f>IFERROR((AVERAGE(F8:F31)),"0")</f>
        <v>285.409090909091</v>
      </c>
      <c r="G33" s="80"/>
      <c r="H33" s="81">
        <f>H32*1000</f>
        <v>11841000</v>
      </c>
      <c r="I33" s="82" t="s">
        <v>15</v>
      </c>
      <c r="J33" s="83"/>
      <c r="K33" s="84"/>
      <c r="L33" s="85"/>
      <c r="M33" s="86"/>
      <c r="N33" s="85"/>
      <c r="O33" s="87"/>
      <c r="P33" s="87"/>
      <c r="Q33" s="88"/>
      <c r="R33" s="88"/>
      <c r="S33" s="89"/>
      <c r="T33" s="89"/>
      <c r="U33" s="89"/>
      <c r="V33" s="89"/>
    </row>
    <row r="34" ht="18.75" customHeight="1" spans="1:29">
      <c r="A34" s="90"/>
      <c r="B34" s="91"/>
      <c r="C34" s="92"/>
      <c r="D34" s="93"/>
      <c r="E34" s="92"/>
      <c r="F34" s="93"/>
      <c r="G34" s="94"/>
      <c r="H34" s="95"/>
      <c r="I34" s="96"/>
      <c r="J34" s="97"/>
      <c r="K34" s="98"/>
      <c r="L34" s="85"/>
      <c r="M34" s="86"/>
      <c r="N34" s="99"/>
      <c r="O34" s="99"/>
      <c r="P34" s="99"/>
      <c r="Q34" s="99"/>
      <c r="R34" s="88"/>
      <c r="S34" s="89"/>
      <c r="T34" s="89"/>
      <c r="U34" s="89"/>
      <c r="V34" s="89"/>
    </row>
    <row r="35" ht="22.5" customHeight="1" spans="1:29">
      <c r="A35" s="100" t="s">
        <v>16</v>
      </c>
      <c r="B35" s="101">
        <f>COUNT(B8:B31)</f>
        <v>0</v>
      </c>
      <c r="C35" s="102"/>
      <c r="D35" s="103">
        <f>COUNT(D8:D31)</f>
        <v>20</v>
      </c>
      <c r="E35" s="102"/>
      <c r="F35" s="103">
        <f>COUNT(F8:F31)</f>
        <v>22</v>
      </c>
      <c r="G35" s="104"/>
      <c r="H35" s="105"/>
      <c r="I35" s="106"/>
      <c r="J35" s="107"/>
      <c r="K35" s="107"/>
      <c r="L35" s="107"/>
      <c r="M35" s="107"/>
      <c r="N35" s="99"/>
      <c r="O35" s="99"/>
      <c r="P35" s="99"/>
      <c r="Q35" s="99"/>
      <c r="R35" s="108"/>
      <c r="S35" s="89"/>
      <c r="T35" s="89"/>
      <c r="U35" s="89"/>
      <c r="V35" s="89"/>
    </row>
    <row r="36" ht="9" customHeight="1" spans="1:29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10"/>
      <c r="N36" s="106"/>
      <c r="O36" s="107"/>
      <c r="P36" s="107"/>
      <c r="Q36" s="107"/>
      <c r="R36" s="107"/>
      <c r="S36" s="107"/>
      <c r="T36" s="107"/>
      <c r="U36" s="111"/>
      <c r="V36" s="112"/>
      <c r="W36" s="108"/>
      <c r="X36" s="108"/>
      <c r="Y36" s="108"/>
      <c r="Z36" s="89"/>
      <c r="AA36" s="89"/>
      <c r="AB36" s="89"/>
      <c r="AC36" s="89"/>
    </row>
    <row r="37" ht="24" customHeight="1" spans="1:29">
      <c r="D37" s="113"/>
      <c r="E37" s="113"/>
      <c r="F37" s="113"/>
      <c r="G37" s="113"/>
      <c r="H37" s="113"/>
      <c r="I37" s="113"/>
      <c r="J37" s="113"/>
      <c r="K37" s="114"/>
      <c r="L37" s="114"/>
      <c r="N37" s="115" t="s">
        <v>17</v>
      </c>
      <c r="O37" s="116"/>
      <c r="P37" s="116"/>
      <c r="Q37" s="117"/>
      <c r="R37" s="118">
        <f>SUM(B35:F35)</f>
        <v>42</v>
      </c>
      <c r="S37" s="69"/>
      <c r="T37" s="69"/>
      <c r="U37" s="69"/>
      <c r="V37" s="69"/>
      <c r="X37" s="119"/>
      <c r="Y37" s="119"/>
      <c r="Z37" s="119"/>
      <c r="AA37" s="119"/>
      <c r="AB37" s="119"/>
      <c r="AC37" s="114"/>
    </row>
    <row r="38" ht="15" spans="1:29">
      <c r="D38" s="113"/>
      <c r="E38" s="113"/>
      <c r="F38" s="113"/>
      <c r="G38" s="113"/>
      <c r="H38" s="113"/>
      <c r="I38" s="113"/>
      <c r="J38" s="113"/>
      <c r="K38" s="114"/>
      <c r="L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</row>
    <row r="39" ht="24.75" customHeight="1" spans="1:29">
      <c r="A39" s="120" t="s">
        <v>18</v>
      </c>
      <c r="B39" s="121"/>
      <c r="C39" s="122">
        <f>MAX(H8:H31)</f>
        <v>695</v>
      </c>
      <c r="D39" s="123"/>
      <c r="E39" s="124">
        <f>VLOOKUP(C39,H8:L31,4,FALSE)</f>
        <v>0.833333333333333</v>
      </c>
      <c r="F39" s="125"/>
      <c r="G39" s="125"/>
      <c r="H39" s="126" t="s">
        <v>19</v>
      </c>
      <c r="I39" s="127"/>
      <c r="J39" s="128"/>
      <c r="K39" s="129">
        <f>MAX(J8:J31)</f>
        <v>2</v>
      </c>
      <c r="L39" s="130"/>
      <c r="N39" s="131" t="s">
        <v>20</v>
      </c>
      <c r="O39" s="132"/>
      <c r="P39" s="132"/>
      <c r="Q39" s="133"/>
      <c r="R39" s="134">
        <f>AVERAGE(H8:H31)</f>
        <v>493.375</v>
      </c>
      <c r="S39" s="135"/>
      <c r="T39" s="135"/>
    </row>
    <row r="40" ht="15" spans="1:29">
      <c r="C40" s="136"/>
      <c r="D40" s="137"/>
      <c r="E40" s="138"/>
      <c r="F40" s="138"/>
      <c r="G40" s="138"/>
      <c r="H40" s="138"/>
      <c r="I40" s="139"/>
      <c r="J40" s="106"/>
      <c r="K40" s="110"/>
      <c r="L40" s="110"/>
      <c r="N40" s="140"/>
      <c r="O40" s="140"/>
      <c r="P40" s="140"/>
      <c r="Q40" s="140"/>
      <c r="R40" s="140"/>
      <c r="X40" s="5"/>
      <c r="Y40" s="5"/>
      <c r="Z40" s="5"/>
      <c r="AA40" s="5"/>
      <c r="AB40" s="5"/>
      <c r="AC40" s="141"/>
    </row>
    <row r="41" ht="24.75" customHeight="1" spans="1:29">
      <c r="A41" s="120" t="s">
        <v>21</v>
      </c>
      <c r="B41" s="121"/>
      <c r="C41" s="122">
        <f>MIN(H8:H31)</f>
        <v>415</v>
      </c>
      <c r="D41" s="123"/>
      <c r="E41" s="124">
        <f>VLOOKUP(C41,H8:L31,4,FALSE)</f>
        <v>0.666666666666666</v>
      </c>
      <c r="F41" s="142"/>
      <c r="G41" s="125"/>
      <c r="H41" s="126" t="s">
        <v>22</v>
      </c>
      <c r="I41" s="127"/>
      <c r="J41" s="128"/>
      <c r="K41" s="129">
        <f>MIN(J8:J31)</f>
        <v>1</v>
      </c>
      <c r="L41" s="130"/>
      <c r="N41" s="126" t="s">
        <v>23</v>
      </c>
      <c r="O41" s="127"/>
      <c r="P41" s="127"/>
      <c r="Q41" s="128"/>
      <c r="R41" s="143">
        <f>AVERAGE(I8:I31)</f>
        <v>301.270833333333</v>
      </c>
      <c r="S41" s="144"/>
      <c r="T41" s="144"/>
      <c r="U41" s="144"/>
      <c r="V41" s="144"/>
      <c r="X41" s="145"/>
    </row>
    <row r="42" ht="15" spans="1:29">
      <c r="D42" s="138"/>
      <c r="E42" s="138"/>
      <c r="F42" s="138"/>
      <c r="G42" s="138"/>
      <c r="H42" s="138"/>
      <c r="I42" s="146"/>
      <c r="J42" s="138"/>
      <c r="K42" s="147"/>
      <c r="L42" s="147"/>
      <c r="V42" s="148"/>
      <c r="W42" s="148"/>
      <c r="X42" s="149"/>
      <c r="Y42" s="149"/>
      <c r="Z42" s="150"/>
      <c r="AA42" s="150"/>
      <c r="AB42" s="150"/>
      <c r="AC42" s="150"/>
    </row>
    <row r="43" ht="24.75" customHeight="1" spans="1:29">
      <c r="C43" s="136"/>
      <c r="H43" s="151"/>
      <c r="I43" s="151"/>
      <c r="J43" s="151"/>
      <c r="K43" s="145"/>
      <c r="L43" s="139"/>
      <c r="N43" s="152" t="s">
        <v>24</v>
      </c>
      <c r="O43" s="153"/>
      <c r="P43" s="153"/>
      <c r="Q43" s="154"/>
      <c r="R43" s="155" t="e">
        <f>AVERAGE(T8:T31)</f>
        <v>#DIV/0!</v>
      </c>
      <c r="X43" s="156"/>
      <c r="Z43" s="157"/>
      <c r="AA43" s="157"/>
      <c r="AB43" s="157"/>
      <c r="AC43" s="157"/>
    </row>
    <row r="44" ht="19.5" spans="1:29">
      <c r="I44" s="158"/>
      <c r="K44" s="159"/>
      <c r="L44" s="159"/>
      <c r="Z44" s="160"/>
      <c r="AA44" s="160"/>
      <c r="AB44" s="160"/>
      <c r="AC44" s="160"/>
    </row>
    <row r="45" ht="24.75" customHeight="1" spans="1:29">
      <c r="D45" s="158"/>
      <c r="E45" s="158"/>
      <c r="F45" s="158"/>
      <c r="G45" s="158"/>
      <c r="H45" s="158"/>
      <c r="N45" s="126" t="s">
        <v>25</v>
      </c>
      <c r="O45" s="127"/>
      <c r="P45" s="127"/>
      <c r="Q45" s="128"/>
      <c r="R45" s="161">
        <f>SUM(M32-H32)/24</f>
        <v>-468.377083333342</v>
      </c>
      <c r="X45" s="162"/>
      <c r="Z45" s="163"/>
      <c r="AA45" s="163"/>
      <c r="AB45" s="163"/>
      <c r="AC45" s="163"/>
    </row>
    <row r="46" spans="1:29">
      <c r="Z46" s="164"/>
      <c r="AA46" s="164"/>
      <c r="AB46" s="164"/>
      <c r="AC46" s="164"/>
    </row>
    <row r="47" spans="1:29">
      <c r="Z47" s="139"/>
      <c r="AA47" s="139"/>
      <c r="AB47" s="139"/>
      <c r="AC47" s="139"/>
    </row>
    <row r="48" spans="1:29">
      <c r="Z48" s="139"/>
      <c r="AA48" s="139"/>
      <c r="AB48" s="139"/>
      <c r="AC48" s="139"/>
    </row>
    <row r="49" spans="11:29">
      <c r="Z49" s="157"/>
      <c r="AA49" s="157"/>
      <c r="AB49" s="157"/>
      <c r="AC49" s="157"/>
    </row>
    <row r="50" spans="11:29">
      <c r="Z50" s="157"/>
      <c r="AA50" s="157"/>
      <c r="AB50" s="157"/>
      <c r="AC50" s="157"/>
    </row>
    <row r="51" spans="11:29">
      <c r="K51" s="150"/>
      <c r="L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0"/>
      <c r="AC51" s="150"/>
    </row>
    <row r="52" spans="11:29">
      <c r="K52" s="150"/>
      <c r="L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  <c r="AB52" s="150"/>
      <c r="AC52" s="150"/>
    </row>
    <row r="53" spans="11:29">
      <c r="K53" s="150"/>
      <c r="L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50"/>
      <c r="AB53" s="150"/>
      <c r="AC53" s="150"/>
    </row>
    <row r="60" spans="11:29">
      <c r="O60" s="165"/>
      <c r="P60" s="165"/>
      <c r="Q60" s="165"/>
      <c r="R60" s="165"/>
      <c r="S60" s="165"/>
      <c r="T60" s="165"/>
    </row>
    <row r="61" spans="11:29">
      <c r="O61" s="165"/>
      <c r="P61" s="165"/>
      <c r="Q61" s="165"/>
      <c r="R61" s="165"/>
      <c r="S61" s="165"/>
      <c r="T61" s="165"/>
    </row>
    <row r="62" spans="11:29">
      <c r="O62" s="165"/>
      <c r="P62" s="165"/>
      <c r="Q62" s="165"/>
      <c r="R62" s="165"/>
      <c r="S62" s="165"/>
      <c r="T62" s="165"/>
    </row>
    <row r="63" spans="11:29">
      <c r="O63" s="165"/>
      <c r="P63" s="165"/>
      <c r="Q63" s="165"/>
      <c r="R63" s="165"/>
      <c r="S63" s="165"/>
      <c r="T63" s="165"/>
    </row>
    <row r="64" spans="11:29">
      <c r="O64" s="165"/>
      <c r="P64" s="165"/>
      <c r="Q64" s="165"/>
      <c r="R64" s="165"/>
      <c r="S64" s="165"/>
      <c r="T64" s="165"/>
    </row>
    <row r="65" spans="15:20">
      <c r="O65" s="165"/>
      <c r="P65" s="165"/>
      <c r="Q65" s="165"/>
      <c r="R65" s="165"/>
      <c r="S65" s="165"/>
      <c r="T65" s="165"/>
    </row>
    <row r="66" spans="15:20">
      <c r="O66" s="165"/>
      <c r="P66" s="165"/>
      <c r="Q66" s="165"/>
      <c r="R66" s="165"/>
      <c r="S66" s="165"/>
      <c r="T66" s="165"/>
    </row>
    <row r="67" spans="15:20">
      <c r="O67" s="165"/>
      <c r="P67" s="165"/>
      <c r="Q67" s="165"/>
      <c r="R67" s="165"/>
      <c r="S67" s="165"/>
      <c r="T67" s="165"/>
    </row>
    <row r="68" spans="15:20">
      <c r="O68" s="165"/>
      <c r="P68" s="165"/>
      <c r="Q68" s="165"/>
      <c r="R68" s="165"/>
      <c r="S68" s="165"/>
      <c r="T68" s="165"/>
    </row>
  </sheetData>
  <mergeCells count="116">
    <mergeCell ref="H4:K4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B29:C29"/>
    <mergeCell ref="D29:E29"/>
    <mergeCell ref="F29:G2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N34:Q34"/>
    <mergeCell ref="B35:C35"/>
    <mergeCell ref="D35:E35"/>
    <mergeCell ref="F35:G35"/>
    <mergeCell ref="N35:Q35"/>
    <mergeCell ref="N37:Q37"/>
    <mergeCell ref="A39:B39"/>
    <mergeCell ref="C39:D39"/>
    <mergeCell ref="H39:J39"/>
    <mergeCell ref="N39:Q39"/>
    <mergeCell ref="A41:B41"/>
    <mergeCell ref="C41:D41"/>
    <mergeCell ref="H41:J41"/>
    <mergeCell ref="N41:Q41"/>
    <mergeCell ref="H43:J43"/>
    <mergeCell ref="N43:Q43"/>
    <mergeCell ref="N45:Q45"/>
    <mergeCell ref="A6:A7"/>
    <mergeCell ref="A33:A34"/>
    <mergeCell ref="H6:H7"/>
    <mergeCell ref="H33:H34"/>
    <mergeCell ref="I6:I7"/>
    <mergeCell ref="I33:I34"/>
    <mergeCell ref="J6:J7"/>
    <mergeCell ref="K6:K7"/>
    <mergeCell ref="L6:L7"/>
    <mergeCell ref="M6:M7"/>
    <mergeCell ref="N6:N7"/>
    <mergeCell ref="O6:O7"/>
    <mergeCell ref="T6:T7"/>
    <mergeCell ref="U6:U7"/>
    <mergeCell ref="B33:C34"/>
    <mergeCell ref="D33:E34"/>
    <mergeCell ref="F33:G34"/>
  </mergeCells>
  <conditionalFormatting sqref="O8">
    <cfRule type="cellIs" dxfId="0" priority="10" operator="equal">
      <formula>"N/A"</formula>
    </cfRule>
  </conditionalFormatting>
  <conditionalFormatting sqref="A30">
    <cfRule type="cellIs" dxfId="1" priority="11" operator="equal">
      <formula>"STB"</formula>
    </cfRule>
    <cfRule type="cellIs" dxfId="0" priority="12" operator="equal">
      <formula>"BD"</formula>
    </cfRule>
  </conditionalFormatting>
  <conditionalFormatting sqref="B8:B31">
    <cfRule type="cellIs" dxfId="1" priority="1" operator="equal">
      <formula>"STB"</formula>
    </cfRule>
    <cfRule type="cellIs" dxfId="0" priority="2" operator="equal">
      <formula>"BD"</formula>
    </cfRule>
  </conditionalFormatting>
  <conditionalFormatting sqref="D8:D31">
    <cfRule type="cellIs" dxfId="1" priority="8" operator="equal">
      <formula>"STB"</formula>
    </cfRule>
    <cfRule type="cellIs" dxfId="0" priority="9" operator="equal">
      <formula>"BD"</formula>
    </cfRule>
  </conditionalFormatting>
  <conditionalFormatting sqref="F8:F31">
    <cfRule type="cellIs" dxfId="1" priority="3" operator="equal">
      <formula>"STB"</formula>
    </cfRule>
    <cfRule type="cellIs" dxfId="0" priority="4" operator="equal">
      <formula>"BD"</formula>
    </cfRule>
  </conditionalFormatting>
  <conditionalFormatting sqref="H8:H31">
    <cfRule type="top10" dxfId="2" priority="5" bottom="1" rank="1"/>
    <cfRule type="top10" dxfId="3" priority="6" rank="1"/>
    <cfRule type="cellIs" dxfId="4" priority="7" stopIfTrue="1" operator="equal">
      <formula>28000</formula>
    </cfRule>
  </conditionalFormatting>
  <conditionalFormatting sqref="H32:H33">
    <cfRule type="top10" dxfId="2" priority="14" bottom="1" rank="1"/>
    <cfRule type="top10" dxfId="3" priority="15" rank="1"/>
    <cfRule type="cellIs" dxfId="4" priority="17" stopIfTrue="1" operator="equal">
      <formula>28000</formula>
    </cfRule>
  </conditionalFormatting>
  <conditionalFormatting sqref="Y8:Y31">
    <cfRule type="containsText" dxfId="5" priority="13" operator="between" text="-">
      <formula>NOT(ISERROR(SEARCH("-",Y8)))</formula>
    </cfRule>
  </conditionalFormatting>
  <conditionalFormatting sqref="N8 N9:O31">
    <cfRule type="cellIs" dxfId="0" priority="16" operator="equal">
      <formula>"BD"</formula>
    </cfRule>
  </conditionalFormatting>
  <pageMargins left="0.7" right="0.7" top="0.75" bottom="0.75" header="0.3" footer="0.3"/>
  <pageSetup paperSize="1" orientation="portrait" verticalDpi="360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C68"/>
  <sheetViews>
    <sheetView zoomScale="80" zoomScaleNormal="80" workbookViewId="0">
      <pane ySplit="7" topLeftCell="A16" activePane="bottomLeft" state="frozen"/>
      <selection/>
      <selection pane="bottomLeft" activeCell="A3" sqref="$A3:$XFD3"/>
    </sheetView>
  </sheetViews>
  <sheetFormatPr defaultColWidth="8.81666666666667" defaultRowHeight="14.25"/>
  <cols>
    <col min="1" max="1" width="16.725" customWidth="1"/>
    <col min="2" max="2" width="8.725" customWidth="1"/>
    <col min="3" max="7" width="5.725" customWidth="1"/>
    <col min="8" max="8" width="14.2666666666667" customWidth="1"/>
    <col min="9" max="9" width="15.1833333333333" customWidth="1"/>
    <col min="10" max="10" width="15.5416666666667" customWidth="1"/>
    <col min="11" max="11" width="7" customWidth="1"/>
    <col min="12" max="12" width="8.54166666666667" customWidth="1"/>
    <col min="13" max="13" width="11.725" style="5" customWidth="1"/>
    <col min="14" max="14" width="17.1833333333333" customWidth="1"/>
    <col min="15" max="15" width="15.45" customWidth="1"/>
    <col min="16" max="16" width="7.45" customWidth="1"/>
    <col min="17" max="17" width="9.54166666666667" customWidth="1"/>
    <col min="18" max="18" width="10" customWidth="1"/>
    <col min="19" max="20" width="9.81666666666667" customWidth="1"/>
    <col min="21" max="21" width="6.725" customWidth="1"/>
    <col min="22" max="22" width="13.8166666666667" customWidth="1"/>
    <col min="23" max="23" width="11.2666666666667" customWidth="1"/>
    <col min="24" max="24" width="9.26666666666667" customWidth="1"/>
    <col min="25" max="25" width="3.725" customWidth="1"/>
    <col min="26" max="29" width="7.725" customWidth="1"/>
    <col min="30" max="30" width="6.725" customWidth="1"/>
  </cols>
  <sheetData>
    <row r="1" ht="3" customHeight="1"/>
    <row r="2" ht="6" customHeight="1" spans="1:2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="1" customFormat="1" ht="6.75" customHeight="1" spans="1:29">
      <c r="K3" s="7"/>
      <c r="L3" s="8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17.25" customHeight="1" spans="1:29">
      <c r="A4" s="1"/>
      <c r="B4" s="10"/>
      <c r="C4" s="10"/>
      <c r="D4" s="10"/>
      <c r="E4" s="11"/>
      <c r="F4" s="11"/>
      <c r="G4" s="11"/>
      <c r="H4" s="12">
        <f>'[21]Taniwel daily'!C4</f>
        <v>45312</v>
      </c>
      <c r="I4" s="13"/>
      <c r="J4" s="13"/>
      <c r="K4" s="14"/>
      <c r="L4" s="15"/>
      <c r="M4" s="16"/>
      <c r="N4" s="10"/>
      <c r="O4" s="10"/>
      <c r="P4" s="10"/>
      <c r="Q4" s="10"/>
      <c r="R4" s="10"/>
      <c r="S4" s="10"/>
      <c r="T4" s="10"/>
      <c r="U4" s="10"/>
      <c r="V4" s="7"/>
      <c r="W4" s="7"/>
      <c r="X4" s="7"/>
      <c r="Y4" s="7"/>
      <c r="Z4" s="7"/>
      <c r="AA4" s="7"/>
      <c r="AB4" s="7"/>
      <c r="AC4" s="7"/>
    </row>
    <row r="5" ht="7.5" customHeight="1" spans="1:29">
      <c r="A5" s="1"/>
      <c r="B5" s="17"/>
      <c r="C5" s="1"/>
      <c r="D5" s="1"/>
      <c r="E5" s="1"/>
      <c r="F5" s="1"/>
      <c r="G5" s="1"/>
      <c r="H5" s="1"/>
      <c r="I5" s="1"/>
      <c r="J5" s="1"/>
      <c r="K5" s="18"/>
      <c r="L5" s="7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ht="17.25" customHeight="1" spans="1:29">
      <c r="A6" s="19" t="s">
        <v>0</v>
      </c>
      <c r="B6" s="20" t="s">
        <v>1</v>
      </c>
      <c r="C6" s="21"/>
      <c r="D6" s="20" t="s">
        <v>2</v>
      </c>
      <c r="E6" s="21"/>
      <c r="F6" s="20" t="s">
        <v>3</v>
      </c>
      <c r="G6" s="21"/>
      <c r="H6" s="22" t="s">
        <v>4</v>
      </c>
      <c r="I6" s="22" t="s">
        <v>5</v>
      </c>
      <c r="J6" s="23" t="s">
        <v>6</v>
      </c>
      <c r="K6" s="19" t="s">
        <v>0</v>
      </c>
      <c r="L6" s="24" t="s">
        <v>7</v>
      </c>
      <c r="M6" s="25" t="s">
        <v>8</v>
      </c>
      <c r="N6" s="26" t="s">
        <v>9</v>
      </c>
      <c r="O6" s="25" t="s">
        <v>10</v>
      </c>
      <c r="P6" s="27"/>
      <c r="Q6" s="28"/>
      <c r="R6" s="28"/>
      <c r="S6" s="28"/>
      <c r="T6" s="28"/>
      <c r="U6" s="29"/>
    </row>
    <row r="7" ht="15.75" customHeight="1" spans="1:29">
      <c r="A7" s="30"/>
      <c r="B7" s="31">
        <v>1</v>
      </c>
      <c r="C7" s="32"/>
      <c r="D7" s="31">
        <v>2</v>
      </c>
      <c r="E7" s="32"/>
      <c r="F7" s="31">
        <v>3</v>
      </c>
      <c r="G7" s="32"/>
      <c r="H7" s="33"/>
      <c r="I7" s="33"/>
      <c r="J7" s="34"/>
      <c r="K7" s="30"/>
      <c r="L7" s="35"/>
      <c r="M7" s="36"/>
      <c r="N7" s="37"/>
      <c r="O7" s="38"/>
      <c r="P7" s="27"/>
      <c r="Q7" s="28"/>
      <c r="R7" s="28"/>
      <c r="S7" s="28"/>
      <c r="T7" s="28"/>
      <c r="U7" s="29"/>
      <c r="X7" s="39"/>
    </row>
    <row r="8" s="2" customFormat="1" ht="15" customHeight="1" spans="1:29">
      <c r="A8" s="40">
        <v>0.0416666666666666</v>
      </c>
      <c r="B8" s="41" t="s">
        <v>11</v>
      </c>
      <c r="C8" s="42"/>
      <c r="D8" s="41">
        <v>199</v>
      </c>
      <c r="E8" s="42"/>
      <c r="F8" s="41" t="s">
        <v>26</v>
      </c>
      <c r="G8" s="42"/>
      <c r="H8" s="43">
        <f t="shared" ref="H8:H31" si="0">IF(SUM(B8:G8)/1000=0,"0",SUM(B8:G8))</f>
        <v>199</v>
      </c>
      <c r="I8" s="44">
        <f t="shared" ref="I8:I31" si="1">IFERROR(AVERAGE(B8:G8),"0")</f>
        <v>199</v>
      </c>
      <c r="J8" s="45">
        <f t="shared" ref="J8:J31" si="2">COUNT(B8:G8)</f>
        <v>1</v>
      </c>
      <c r="K8" s="46">
        <v>0.0416666666666667</v>
      </c>
      <c r="L8" s="47">
        <v>4500</v>
      </c>
      <c r="M8" s="48">
        <v>175.69</v>
      </c>
      <c r="N8" s="49">
        <f>(M9-M8)*12000</f>
        <v>600.000000000136</v>
      </c>
      <c r="O8" s="50"/>
      <c r="P8" s="51"/>
      <c r="Q8" s="52"/>
      <c r="R8" s="52"/>
      <c r="S8" s="52"/>
      <c r="T8" s="52"/>
      <c r="U8" s="53"/>
    </row>
    <row r="9" s="3" customFormat="1" ht="15" customHeight="1" spans="1:29">
      <c r="A9" s="40">
        <v>0.0833333333333333</v>
      </c>
      <c r="B9" s="41" t="s">
        <v>11</v>
      </c>
      <c r="C9" s="42"/>
      <c r="D9" s="41">
        <v>258</v>
      </c>
      <c r="E9" s="42"/>
      <c r="F9" s="41">
        <v>237</v>
      </c>
      <c r="G9" s="42"/>
      <c r="H9" s="43">
        <f t="shared" si="0"/>
        <v>495</v>
      </c>
      <c r="I9" s="44">
        <f t="shared" si="1"/>
        <v>247.5</v>
      </c>
      <c r="J9" s="45">
        <f t="shared" si="2"/>
        <v>2</v>
      </c>
      <c r="K9" s="46">
        <v>0.0833333333333333</v>
      </c>
      <c r="L9" s="47">
        <v>4200</v>
      </c>
      <c r="M9" s="54">
        <v>175.74</v>
      </c>
      <c r="N9" s="49">
        <f t="shared" ref="N9:N30" si="3">(M10-M9)*12000</f>
        <v>239.999999999782</v>
      </c>
      <c r="O9" s="55"/>
      <c r="P9" s="51"/>
      <c r="Q9" s="52"/>
      <c r="R9" s="52"/>
      <c r="S9" s="52"/>
      <c r="T9" s="52"/>
      <c r="U9" s="53"/>
    </row>
    <row r="10" s="3" customFormat="1" ht="15" customHeight="1" spans="1:29">
      <c r="A10" s="40">
        <v>0.125</v>
      </c>
      <c r="B10" s="41" t="s">
        <v>11</v>
      </c>
      <c r="C10" s="42"/>
      <c r="D10" s="41">
        <v>455</v>
      </c>
      <c r="E10" s="42"/>
      <c r="F10" s="41" t="s">
        <v>26</v>
      </c>
      <c r="G10" s="42"/>
      <c r="H10" s="43">
        <f t="shared" si="0"/>
        <v>455</v>
      </c>
      <c r="I10" s="44">
        <f t="shared" si="1"/>
        <v>455</v>
      </c>
      <c r="J10" s="45">
        <f t="shared" si="2"/>
        <v>1</v>
      </c>
      <c r="K10" s="46">
        <v>0.125</v>
      </c>
      <c r="L10" s="47">
        <v>4200</v>
      </c>
      <c r="M10" s="54">
        <v>175.76</v>
      </c>
      <c r="N10" s="49">
        <f t="shared" si="3"/>
        <v>240.000000000123</v>
      </c>
      <c r="O10" s="56"/>
      <c r="P10" s="51"/>
      <c r="Q10" s="52"/>
      <c r="R10" s="52"/>
      <c r="S10" s="52"/>
      <c r="T10" s="52"/>
      <c r="U10" s="53"/>
    </row>
    <row r="11" s="3" customFormat="1" ht="15" customHeight="1" spans="1:29">
      <c r="A11" s="40">
        <v>0.166666666666667</v>
      </c>
      <c r="B11" s="41" t="s">
        <v>11</v>
      </c>
      <c r="C11" s="42"/>
      <c r="D11" s="41">
        <v>399</v>
      </c>
      <c r="E11" s="42"/>
      <c r="F11" s="41" t="s">
        <v>26</v>
      </c>
      <c r="G11" s="42"/>
      <c r="H11" s="43">
        <f t="shared" si="0"/>
        <v>399</v>
      </c>
      <c r="I11" s="44">
        <f t="shared" si="1"/>
        <v>399</v>
      </c>
      <c r="J11" s="45">
        <f t="shared" si="2"/>
        <v>1</v>
      </c>
      <c r="K11" s="46">
        <v>0.166666666666667</v>
      </c>
      <c r="L11" s="47">
        <v>4000</v>
      </c>
      <c r="M11" s="54">
        <v>175.78</v>
      </c>
      <c r="N11" s="49">
        <f t="shared" si="3"/>
        <v>479.999999999905</v>
      </c>
      <c r="O11" s="56"/>
      <c r="P11" s="51"/>
      <c r="Q11" s="52"/>
      <c r="R11" s="52"/>
      <c r="S11" s="52"/>
      <c r="T11" s="52"/>
      <c r="U11" s="53"/>
    </row>
    <row r="12" s="3" customFormat="1" ht="15" customHeight="1" spans="1:29">
      <c r="A12" s="40">
        <v>0.208333333333333</v>
      </c>
      <c r="B12" s="41" t="s">
        <v>11</v>
      </c>
      <c r="C12" s="42"/>
      <c r="D12" s="41">
        <v>352</v>
      </c>
      <c r="E12" s="42"/>
      <c r="F12" s="41" t="s">
        <v>26</v>
      </c>
      <c r="G12" s="42"/>
      <c r="H12" s="43">
        <f t="shared" si="0"/>
        <v>352</v>
      </c>
      <c r="I12" s="44">
        <f t="shared" si="1"/>
        <v>352</v>
      </c>
      <c r="J12" s="45">
        <f t="shared" si="2"/>
        <v>1</v>
      </c>
      <c r="K12" s="46">
        <v>0.208333333333333</v>
      </c>
      <c r="L12" s="47">
        <v>3900</v>
      </c>
      <c r="M12" s="54">
        <v>175.82</v>
      </c>
      <c r="N12" s="49">
        <f t="shared" si="3"/>
        <v>360.000000000014</v>
      </c>
      <c r="O12" s="56"/>
      <c r="P12" s="51"/>
      <c r="Q12" s="52"/>
      <c r="R12" s="52"/>
      <c r="S12" s="52"/>
      <c r="T12" s="52"/>
      <c r="U12" s="53"/>
    </row>
    <row r="13" s="3" customFormat="1" ht="15" customHeight="1" spans="1:29">
      <c r="A13" s="40">
        <v>0.25</v>
      </c>
      <c r="B13" s="41" t="s">
        <v>11</v>
      </c>
      <c r="C13" s="42"/>
      <c r="D13" s="41">
        <v>361</v>
      </c>
      <c r="E13" s="42"/>
      <c r="F13" s="41" t="s">
        <v>26</v>
      </c>
      <c r="G13" s="42"/>
      <c r="H13" s="43">
        <f t="shared" si="0"/>
        <v>361</v>
      </c>
      <c r="I13" s="44">
        <f t="shared" si="1"/>
        <v>361</v>
      </c>
      <c r="J13" s="45">
        <f t="shared" si="2"/>
        <v>1</v>
      </c>
      <c r="K13" s="46">
        <v>0.25</v>
      </c>
      <c r="L13" s="47">
        <v>3600</v>
      </c>
      <c r="M13" s="54">
        <v>175.85</v>
      </c>
      <c r="N13" s="49">
        <f t="shared" si="3"/>
        <v>360.000000000014</v>
      </c>
      <c r="O13" s="56"/>
      <c r="P13" s="51"/>
      <c r="Q13" s="52"/>
      <c r="R13" s="52"/>
      <c r="S13" s="52"/>
      <c r="T13" s="52"/>
      <c r="U13" s="53"/>
    </row>
    <row r="14" s="3" customFormat="1" ht="15" customHeight="1" spans="1:29">
      <c r="A14" s="40">
        <v>0.291666666666667</v>
      </c>
      <c r="B14" s="41" t="s">
        <v>11</v>
      </c>
      <c r="C14" s="42"/>
      <c r="D14" s="41">
        <v>396</v>
      </c>
      <c r="E14" s="42"/>
      <c r="F14" s="41" t="s">
        <v>26</v>
      </c>
      <c r="G14" s="42"/>
      <c r="H14" s="43">
        <f t="shared" si="0"/>
        <v>396</v>
      </c>
      <c r="I14" s="44">
        <f t="shared" si="1"/>
        <v>396</v>
      </c>
      <c r="J14" s="45">
        <f t="shared" si="2"/>
        <v>1</v>
      </c>
      <c r="K14" s="46">
        <v>0.291666666666667</v>
      </c>
      <c r="L14" s="47">
        <v>3600</v>
      </c>
      <c r="M14" s="54">
        <v>175.88</v>
      </c>
      <c r="N14" s="49">
        <f t="shared" si="3"/>
        <v>479.999999999905</v>
      </c>
      <c r="O14" s="56"/>
      <c r="P14" s="51"/>
      <c r="Q14" s="52"/>
      <c r="R14" s="52"/>
      <c r="S14" s="52"/>
      <c r="T14" s="52"/>
      <c r="U14" s="53"/>
    </row>
    <row r="15" s="3" customFormat="1" ht="15" customHeight="1" spans="1:29">
      <c r="A15" s="40">
        <v>0.333333333333333</v>
      </c>
      <c r="B15" s="41" t="s">
        <v>11</v>
      </c>
      <c r="C15" s="42"/>
      <c r="D15" s="41">
        <v>420</v>
      </c>
      <c r="E15" s="42"/>
      <c r="F15" s="41" t="s">
        <v>26</v>
      </c>
      <c r="G15" s="42"/>
      <c r="H15" s="43">
        <f t="shared" si="0"/>
        <v>420</v>
      </c>
      <c r="I15" s="44">
        <f t="shared" si="1"/>
        <v>420</v>
      </c>
      <c r="J15" s="45">
        <f t="shared" si="2"/>
        <v>1</v>
      </c>
      <c r="K15" s="46">
        <v>0.333333333333333</v>
      </c>
      <c r="L15" s="47">
        <v>3600</v>
      </c>
      <c r="M15" s="54">
        <v>175.92</v>
      </c>
      <c r="N15" s="49">
        <f t="shared" si="3"/>
        <v>480.000000000246</v>
      </c>
      <c r="O15" s="56"/>
      <c r="P15" s="51"/>
      <c r="Q15" s="52"/>
      <c r="R15" s="52"/>
      <c r="S15" s="52"/>
      <c r="T15" s="52"/>
      <c r="U15" s="53"/>
    </row>
    <row r="16" s="3" customFormat="1" ht="15" customHeight="1" spans="1:29">
      <c r="A16" s="40">
        <v>0.375</v>
      </c>
      <c r="B16" s="41" t="s">
        <v>11</v>
      </c>
      <c r="C16" s="42"/>
      <c r="D16" s="41">
        <v>251</v>
      </c>
      <c r="E16" s="42"/>
      <c r="F16" s="41">
        <v>273</v>
      </c>
      <c r="G16" s="42"/>
      <c r="H16" s="43">
        <f t="shared" si="0"/>
        <v>524</v>
      </c>
      <c r="I16" s="44">
        <f t="shared" si="1"/>
        <v>262</v>
      </c>
      <c r="J16" s="45">
        <f t="shared" si="2"/>
        <v>2</v>
      </c>
      <c r="K16" s="46">
        <v>0.375</v>
      </c>
      <c r="L16" s="47">
        <v>3600</v>
      </c>
      <c r="M16" s="54">
        <v>175.96</v>
      </c>
      <c r="N16" s="49">
        <f t="shared" si="3"/>
        <v>599.999999999795</v>
      </c>
      <c r="O16" s="56"/>
      <c r="P16" s="51"/>
      <c r="Q16" s="52"/>
      <c r="R16" s="52"/>
      <c r="S16" s="52"/>
      <c r="T16" s="52"/>
      <c r="U16" s="53"/>
    </row>
    <row r="17" s="3" customFormat="1" ht="15" customHeight="1" spans="1:21">
      <c r="A17" s="40">
        <v>0.416666666666667</v>
      </c>
      <c r="B17" s="41" t="s">
        <v>11</v>
      </c>
      <c r="C17" s="42"/>
      <c r="D17" s="41">
        <v>270</v>
      </c>
      <c r="E17" s="42"/>
      <c r="F17" s="41">
        <v>259</v>
      </c>
      <c r="G17" s="42"/>
      <c r="H17" s="43">
        <f t="shared" si="0"/>
        <v>529</v>
      </c>
      <c r="I17" s="44">
        <f t="shared" si="1"/>
        <v>264.5</v>
      </c>
      <c r="J17" s="45">
        <f t="shared" si="2"/>
        <v>2</v>
      </c>
      <c r="K17" s="46">
        <v>0.416666666666666</v>
      </c>
      <c r="L17" s="47">
        <v>3400</v>
      </c>
      <c r="M17" s="54">
        <v>176.01</v>
      </c>
      <c r="N17" s="49">
        <f t="shared" si="3"/>
        <v>600.000000000136</v>
      </c>
      <c r="O17" s="56"/>
      <c r="P17" s="51"/>
      <c r="Q17" s="52"/>
      <c r="R17" s="52"/>
      <c r="S17" s="52"/>
      <c r="T17" s="52"/>
      <c r="U17" s="53"/>
    </row>
    <row r="18" s="3" customFormat="1" ht="15" customHeight="1" spans="1:21">
      <c r="A18" s="40">
        <v>0.458333333333333</v>
      </c>
      <c r="B18" s="41" t="s">
        <v>11</v>
      </c>
      <c r="C18" s="42"/>
      <c r="D18" s="41">
        <v>264</v>
      </c>
      <c r="E18" s="42"/>
      <c r="F18" s="41">
        <v>252</v>
      </c>
      <c r="G18" s="42"/>
      <c r="H18" s="43">
        <f t="shared" si="0"/>
        <v>516</v>
      </c>
      <c r="I18" s="44">
        <f t="shared" si="1"/>
        <v>258</v>
      </c>
      <c r="J18" s="45">
        <f t="shared" si="2"/>
        <v>2</v>
      </c>
      <c r="K18" s="46">
        <v>0.458333333333333</v>
      </c>
      <c r="L18" s="47">
        <v>3300</v>
      </c>
      <c r="M18" s="54">
        <v>176.06</v>
      </c>
      <c r="N18" s="49">
        <f t="shared" si="3"/>
        <v>479.999999999905</v>
      </c>
      <c r="O18" s="56"/>
      <c r="P18" s="51"/>
      <c r="Q18" s="52"/>
      <c r="R18" s="52"/>
      <c r="S18" s="52"/>
      <c r="T18" s="52"/>
      <c r="U18" s="53"/>
    </row>
    <row r="19" s="3" customFormat="1" ht="15" customHeight="1" spans="1:21">
      <c r="A19" s="40">
        <v>0.5</v>
      </c>
      <c r="B19" s="41" t="s">
        <v>11</v>
      </c>
      <c r="C19" s="42"/>
      <c r="D19" s="41">
        <v>240</v>
      </c>
      <c r="E19" s="42"/>
      <c r="F19" s="41">
        <v>249</v>
      </c>
      <c r="G19" s="42"/>
      <c r="H19" s="43">
        <f t="shared" si="0"/>
        <v>489</v>
      </c>
      <c r="I19" s="44">
        <f t="shared" si="1"/>
        <v>244.5</v>
      </c>
      <c r="J19" s="45">
        <f t="shared" si="2"/>
        <v>2</v>
      </c>
      <c r="K19" s="46">
        <v>0.5</v>
      </c>
      <c r="L19" s="47">
        <v>3300</v>
      </c>
      <c r="M19" s="54">
        <v>176.1</v>
      </c>
      <c r="N19" s="49">
        <f t="shared" si="3"/>
        <v>600.000000000136</v>
      </c>
      <c r="O19" s="56"/>
      <c r="P19" s="51"/>
      <c r="Q19" s="52"/>
      <c r="R19" s="52"/>
      <c r="S19" s="52"/>
      <c r="T19" s="52"/>
      <c r="U19" s="53"/>
    </row>
    <row r="20" s="3" customFormat="1" ht="15" customHeight="1" spans="1:21">
      <c r="A20" s="40">
        <v>0.541666666666667</v>
      </c>
      <c r="B20" s="41" t="s">
        <v>11</v>
      </c>
      <c r="C20" s="42"/>
      <c r="D20" s="41">
        <v>225</v>
      </c>
      <c r="E20" s="42"/>
      <c r="F20" s="41">
        <v>240</v>
      </c>
      <c r="G20" s="42"/>
      <c r="H20" s="43">
        <f t="shared" si="0"/>
        <v>465</v>
      </c>
      <c r="I20" s="44">
        <f t="shared" si="1"/>
        <v>232.5</v>
      </c>
      <c r="J20" s="45">
        <f t="shared" si="2"/>
        <v>2</v>
      </c>
      <c r="K20" s="46">
        <v>0.541666666666667</v>
      </c>
      <c r="L20" s="47">
        <v>3000</v>
      </c>
      <c r="M20" s="54">
        <v>176.15</v>
      </c>
      <c r="N20" s="49">
        <f t="shared" si="3"/>
        <v>479.999999999905</v>
      </c>
      <c r="O20" s="56"/>
      <c r="P20" s="51"/>
      <c r="Q20" s="52"/>
      <c r="R20" s="52"/>
      <c r="S20" s="52"/>
      <c r="T20" s="52"/>
      <c r="U20" s="53"/>
    </row>
    <row r="21" s="3" customFormat="1" ht="15" customHeight="1" spans="1:21">
      <c r="A21" s="40">
        <v>0.583333333333333</v>
      </c>
      <c r="B21" s="41" t="s">
        <v>11</v>
      </c>
      <c r="C21" s="42"/>
      <c r="D21" s="41">
        <v>420</v>
      </c>
      <c r="E21" s="42"/>
      <c r="F21" s="41" t="s">
        <v>26</v>
      </c>
      <c r="G21" s="42"/>
      <c r="H21" s="43">
        <f t="shared" si="0"/>
        <v>420</v>
      </c>
      <c r="I21" s="44">
        <f t="shared" si="1"/>
        <v>420</v>
      </c>
      <c r="J21" s="45">
        <f t="shared" si="2"/>
        <v>1</v>
      </c>
      <c r="K21" s="46">
        <v>0.583333333333333</v>
      </c>
      <c r="L21" s="47">
        <v>3000</v>
      </c>
      <c r="M21" s="54">
        <v>176.19</v>
      </c>
      <c r="N21" s="49">
        <f t="shared" si="3"/>
        <v>479.999999999905</v>
      </c>
      <c r="O21" s="56"/>
      <c r="P21" s="51"/>
      <c r="Q21" s="52"/>
      <c r="R21" s="52"/>
      <c r="S21" s="52"/>
      <c r="T21" s="52"/>
      <c r="U21" s="53"/>
    </row>
    <row r="22" s="3" customFormat="1" ht="15" customHeight="1" spans="1:21">
      <c r="A22" s="40">
        <v>0.625</v>
      </c>
      <c r="B22" s="41" t="s">
        <v>11</v>
      </c>
      <c r="C22" s="42"/>
      <c r="D22" s="41">
        <v>405</v>
      </c>
      <c r="E22" s="42"/>
      <c r="F22" s="41" t="s">
        <v>26</v>
      </c>
      <c r="G22" s="42"/>
      <c r="H22" s="43">
        <f t="shared" si="0"/>
        <v>405</v>
      </c>
      <c r="I22" s="44">
        <f t="shared" si="1"/>
        <v>405</v>
      </c>
      <c r="J22" s="45">
        <f t="shared" si="2"/>
        <v>1</v>
      </c>
      <c r="K22" s="46">
        <v>0.625</v>
      </c>
      <c r="L22" s="47">
        <v>3000</v>
      </c>
      <c r="M22" s="54">
        <v>176.23</v>
      </c>
      <c r="N22" s="49">
        <f t="shared" si="3"/>
        <v>360.000000000014</v>
      </c>
      <c r="O22" s="56"/>
      <c r="P22" s="51"/>
      <c r="Q22" s="52"/>
      <c r="R22" s="52"/>
      <c r="S22" s="52"/>
      <c r="T22" s="52"/>
      <c r="U22" s="53"/>
    </row>
    <row r="23" s="3" customFormat="1" ht="15" customHeight="1" spans="1:21">
      <c r="A23" s="40">
        <v>0.666666666666667</v>
      </c>
      <c r="B23" s="41" t="s">
        <v>11</v>
      </c>
      <c r="C23" s="42"/>
      <c r="D23" s="41">
        <v>408</v>
      </c>
      <c r="E23" s="42"/>
      <c r="F23" s="41" t="s">
        <v>26</v>
      </c>
      <c r="G23" s="42"/>
      <c r="H23" s="43">
        <f t="shared" si="0"/>
        <v>408</v>
      </c>
      <c r="I23" s="44">
        <f t="shared" si="1"/>
        <v>408</v>
      </c>
      <c r="J23" s="45">
        <f t="shared" si="2"/>
        <v>1</v>
      </c>
      <c r="K23" s="46">
        <v>0.666666666666666</v>
      </c>
      <c r="L23" s="47">
        <v>3000</v>
      </c>
      <c r="M23" s="54">
        <v>176.26</v>
      </c>
      <c r="N23" s="49">
        <f t="shared" si="3"/>
        <v>600.000000000136</v>
      </c>
      <c r="O23" s="56"/>
      <c r="P23" s="51"/>
      <c r="Q23" s="52"/>
      <c r="R23" s="52"/>
      <c r="S23" s="52"/>
      <c r="T23" s="52"/>
      <c r="U23" s="53"/>
    </row>
    <row r="24" s="3" customFormat="1" ht="15" customHeight="1" spans="1:21">
      <c r="A24" s="40">
        <v>0.708333333333334</v>
      </c>
      <c r="B24" s="41" t="s">
        <v>11</v>
      </c>
      <c r="C24" s="42"/>
      <c r="D24" s="41">
        <v>435</v>
      </c>
      <c r="E24" s="42"/>
      <c r="F24" s="41" t="s">
        <v>26</v>
      </c>
      <c r="G24" s="42"/>
      <c r="H24" s="43">
        <f t="shared" si="0"/>
        <v>435</v>
      </c>
      <c r="I24" s="44">
        <f t="shared" si="1"/>
        <v>435</v>
      </c>
      <c r="J24" s="45">
        <f t="shared" si="2"/>
        <v>1</v>
      </c>
      <c r="K24" s="46">
        <v>0.708333333333333</v>
      </c>
      <c r="L24" s="47">
        <v>2700</v>
      </c>
      <c r="M24" s="54">
        <v>176.31</v>
      </c>
      <c r="N24" s="49">
        <f t="shared" si="3"/>
        <v>479.999999999905</v>
      </c>
      <c r="O24" s="56"/>
      <c r="P24" s="51"/>
      <c r="Q24" s="52"/>
      <c r="R24" s="52"/>
      <c r="S24" s="52"/>
      <c r="T24" s="52"/>
      <c r="U24" s="53"/>
    </row>
    <row r="25" s="3" customFormat="1" ht="15" customHeight="1" spans="1:21">
      <c r="A25" s="40">
        <v>0.75</v>
      </c>
      <c r="B25" s="41" t="s">
        <v>11</v>
      </c>
      <c r="C25" s="42"/>
      <c r="D25" s="41">
        <v>253</v>
      </c>
      <c r="E25" s="42"/>
      <c r="F25" s="41">
        <v>224</v>
      </c>
      <c r="G25" s="42"/>
      <c r="H25" s="43">
        <f t="shared" si="0"/>
        <v>477</v>
      </c>
      <c r="I25" s="44">
        <f t="shared" si="1"/>
        <v>238.5</v>
      </c>
      <c r="J25" s="45">
        <f t="shared" si="2"/>
        <v>2</v>
      </c>
      <c r="K25" s="46">
        <v>0.75</v>
      </c>
      <c r="L25" s="47">
        <v>2400</v>
      </c>
      <c r="M25" s="54">
        <v>176.35</v>
      </c>
      <c r="N25" s="49">
        <f t="shared" si="3"/>
        <v>600.000000000136</v>
      </c>
      <c r="O25" s="56"/>
      <c r="P25" s="51"/>
      <c r="Q25" s="52"/>
      <c r="R25" s="52"/>
      <c r="S25" s="52"/>
      <c r="T25" s="52"/>
      <c r="U25" s="53"/>
    </row>
    <row r="26" s="3" customFormat="1" ht="15" customHeight="1" spans="1:21">
      <c r="A26" s="40">
        <v>0.791666666666667</v>
      </c>
      <c r="B26" s="41" t="s">
        <v>11</v>
      </c>
      <c r="C26" s="42"/>
      <c r="D26" s="41">
        <v>309</v>
      </c>
      <c r="E26" s="42"/>
      <c r="F26" s="41">
        <v>302</v>
      </c>
      <c r="G26" s="42"/>
      <c r="H26" s="43">
        <f t="shared" si="0"/>
        <v>611</v>
      </c>
      <c r="I26" s="44">
        <f t="shared" si="1"/>
        <v>305.5</v>
      </c>
      <c r="J26" s="45">
        <f t="shared" si="2"/>
        <v>2</v>
      </c>
      <c r="K26" s="46">
        <v>0.791666666666666</v>
      </c>
      <c r="L26" s="47">
        <v>2100</v>
      </c>
      <c r="M26" s="54">
        <v>176.4</v>
      </c>
      <c r="N26" s="49">
        <f t="shared" si="3"/>
        <v>599.999999999795</v>
      </c>
      <c r="O26" s="56"/>
      <c r="P26" s="51"/>
      <c r="Q26" s="52"/>
      <c r="R26" s="52"/>
      <c r="S26" s="52"/>
      <c r="T26" s="52"/>
      <c r="U26" s="53"/>
    </row>
    <row r="27" s="3" customFormat="1" ht="15" customHeight="1" spans="1:21">
      <c r="A27" s="40">
        <v>0.833333333333334</v>
      </c>
      <c r="B27" s="41" t="s">
        <v>11</v>
      </c>
      <c r="C27" s="42"/>
      <c r="D27" s="41">
        <v>307</v>
      </c>
      <c r="E27" s="42"/>
      <c r="F27" s="41" t="s">
        <v>26</v>
      </c>
      <c r="G27" s="42"/>
      <c r="H27" s="43">
        <f t="shared" si="0"/>
        <v>307</v>
      </c>
      <c r="I27" s="44">
        <f t="shared" si="1"/>
        <v>307</v>
      </c>
      <c r="J27" s="45">
        <f t="shared" si="2"/>
        <v>1</v>
      </c>
      <c r="K27" s="46">
        <v>0.833333333333333</v>
      </c>
      <c r="L27" s="47">
        <v>2100</v>
      </c>
      <c r="M27" s="54">
        <v>176.45</v>
      </c>
      <c r="N27" s="49">
        <f t="shared" si="3"/>
        <v>360.000000000014</v>
      </c>
      <c r="O27" s="56"/>
      <c r="P27" s="51"/>
      <c r="Q27" s="52"/>
      <c r="R27" s="52"/>
      <c r="S27" s="52"/>
      <c r="T27" s="52"/>
      <c r="U27" s="53"/>
    </row>
    <row r="28" s="4" customFormat="1" ht="15" customHeight="1" spans="1:21">
      <c r="A28" s="40">
        <v>0.875</v>
      </c>
      <c r="B28" s="41" t="s">
        <v>11</v>
      </c>
      <c r="C28" s="42"/>
      <c r="D28" s="41">
        <v>341</v>
      </c>
      <c r="E28" s="42"/>
      <c r="F28" s="41">
        <v>353</v>
      </c>
      <c r="G28" s="42"/>
      <c r="H28" s="43">
        <f t="shared" si="0"/>
        <v>694</v>
      </c>
      <c r="I28" s="44">
        <f t="shared" si="1"/>
        <v>347</v>
      </c>
      <c r="J28" s="45">
        <f t="shared" si="2"/>
        <v>2</v>
      </c>
      <c r="K28" s="46">
        <v>0.875</v>
      </c>
      <c r="L28" s="47">
        <v>1800</v>
      </c>
      <c r="M28" s="54">
        <v>176.48</v>
      </c>
      <c r="N28" s="49">
        <f t="shared" si="3"/>
        <v>720.000000000027</v>
      </c>
      <c r="O28" s="56"/>
      <c r="P28" s="51"/>
      <c r="Q28" s="52"/>
      <c r="R28" s="52"/>
      <c r="S28" s="52"/>
      <c r="T28" s="52"/>
      <c r="U28" s="53"/>
    </row>
    <row r="29" s="3" customFormat="1" ht="15" customHeight="1" spans="1:21">
      <c r="A29" s="40">
        <v>0.916666666666667</v>
      </c>
      <c r="B29" s="41" t="s">
        <v>11</v>
      </c>
      <c r="C29" s="42"/>
      <c r="D29" s="41">
        <v>279</v>
      </c>
      <c r="E29" s="42"/>
      <c r="F29" s="41">
        <v>284</v>
      </c>
      <c r="G29" s="42"/>
      <c r="H29" s="43">
        <f t="shared" si="0"/>
        <v>563</v>
      </c>
      <c r="I29" s="44">
        <f t="shared" si="1"/>
        <v>281.5</v>
      </c>
      <c r="J29" s="45">
        <f t="shared" si="2"/>
        <v>2</v>
      </c>
      <c r="K29" s="46">
        <v>0.916666666666666</v>
      </c>
      <c r="L29" s="47">
        <v>1800</v>
      </c>
      <c r="M29" s="54">
        <v>176.54</v>
      </c>
      <c r="N29" s="49">
        <f t="shared" si="3"/>
        <v>480.000000000246</v>
      </c>
      <c r="O29" s="56"/>
      <c r="P29" s="51"/>
      <c r="Q29" s="52"/>
      <c r="R29" s="52"/>
      <c r="S29" s="52"/>
      <c r="T29" s="52"/>
      <c r="U29" s="53"/>
    </row>
    <row r="30" s="3" customFormat="1" ht="15" customHeight="1" spans="1:21">
      <c r="A30" s="40">
        <v>0.958333333333334</v>
      </c>
      <c r="B30" s="41" t="s">
        <v>11</v>
      </c>
      <c r="C30" s="42"/>
      <c r="D30" s="41">
        <v>213</v>
      </c>
      <c r="E30" s="42"/>
      <c r="F30" s="41" t="s">
        <v>26</v>
      </c>
      <c r="G30" s="42"/>
      <c r="H30" s="43">
        <f t="shared" si="0"/>
        <v>213</v>
      </c>
      <c r="I30" s="44">
        <f t="shared" si="1"/>
        <v>213</v>
      </c>
      <c r="J30" s="45">
        <f t="shared" si="2"/>
        <v>1</v>
      </c>
      <c r="K30" s="46">
        <v>0.958333333333333</v>
      </c>
      <c r="L30" s="47">
        <v>1800</v>
      </c>
      <c r="M30" s="54">
        <v>176.58</v>
      </c>
      <c r="N30" s="49">
        <f t="shared" si="3"/>
        <v>239.999999999782</v>
      </c>
      <c r="O30" s="56"/>
      <c r="P30" s="51"/>
      <c r="Q30" s="52"/>
      <c r="R30" s="52"/>
      <c r="S30" s="52"/>
      <c r="T30" s="52"/>
      <c r="U30" s="53"/>
    </row>
    <row r="31" s="2" customFormat="1" ht="15" customHeight="1" spans="1:21">
      <c r="A31" s="57">
        <v>1</v>
      </c>
      <c r="B31" s="41" t="s">
        <v>11</v>
      </c>
      <c r="C31" s="42"/>
      <c r="D31" s="41">
        <v>211</v>
      </c>
      <c r="E31" s="42"/>
      <c r="F31" s="41">
        <v>208</v>
      </c>
      <c r="G31" s="42"/>
      <c r="H31" s="43">
        <f t="shared" si="0"/>
        <v>419</v>
      </c>
      <c r="I31" s="58">
        <f t="shared" si="1"/>
        <v>209.5</v>
      </c>
      <c r="J31" s="59">
        <f t="shared" si="2"/>
        <v>2</v>
      </c>
      <c r="K31" s="60">
        <v>1</v>
      </c>
      <c r="L31" s="47">
        <v>4500</v>
      </c>
      <c r="M31" s="61">
        <v>176.6</v>
      </c>
      <c r="N31" s="49">
        <f>H31</f>
        <v>419</v>
      </c>
      <c r="O31" s="56"/>
      <c r="P31" s="51"/>
      <c r="Q31" s="52"/>
      <c r="R31" s="52"/>
      <c r="S31" s="52"/>
      <c r="T31" s="52"/>
      <c r="U31" s="53"/>
    </row>
    <row r="32" s="3" customFormat="1" ht="23.25" customHeight="1" spans="1:21">
      <c r="A32" s="62" t="s">
        <v>12</v>
      </c>
      <c r="B32" s="63">
        <f>SUM(B8:B31)/1000</f>
        <v>0</v>
      </c>
      <c r="C32" s="64"/>
      <c r="D32" s="63">
        <f>SUM(D8:D31)/1000</f>
        <v>7.671</v>
      </c>
      <c r="E32" s="64"/>
      <c r="F32" s="63">
        <f>SUM(F8:F31)/1000</f>
        <v>2.881</v>
      </c>
      <c r="G32" s="64"/>
      <c r="H32" s="65">
        <f>SUM(H8:H31)</f>
        <v>10552</v>
      </c>
      <c r="I32" s="66" t="s">
        <v>13</v>
      </c>
      <c r="J32" s="67"/>
      <c r="K32" s="68"/>
      <c r="L32" s="69"/>
      <c r="M32" s="70">
        <f>SUM(M31-M8+N8)</f>
        <v>600.910000000136</v>
      </c>
      <c r="N32" s="71">
        <f>SUM(N8:N31)</f>
        <v>11339</v>
      </c>
      <c r="O32" s="72">
        <f>SUM(O8:O31)</f>
        <v>0</v>
      </c>
      <c r="P32" s="73"/>
      <c r="Q32" s="74"/>
      <c r="R32" s="74"/>
      <c r="S32" s="74"/>
      <c r="T32" s="74"/>
      <c r="U32" s="75"/>
    </row>
    <row r="33" ht="15" customHeight="1" spans="1:29">
      <c r="A33" s="76" t="s">
        <v>14</v>
      </c>
      <c r="B33" s="77" t="str">
        <f>IFERROR((AVERAGE(B8:B31)),"0")</f>
        <v>0</v>
      </c>
      <c r="C33" s="78"/>
      <c r="D33" s="79">
        <f>IFERROR((AVERAGE(D8:D31)),"0")</f>
        <v>319.625</v>
      </c>
      <c r="E33" s="78"/>
      <c r="F33" s="79">
        <f>IFERROR((AVERAGE(F8:F31)),"0")</f>
        <v>261.909090909091</v>
      </c>
      <c r="G33" s="80"/>
      <c r="H33" s="81">
        <f>H32*1000</f>
        <v>10552000</v>
      </c>
      <c r="I33" s="82" t="s">
        <v>15</v>
      </c>
      <c r="J33" s="83"/>
      <c r="K33" s="84"/>
      <c r="L33" s="85"/>
      <c r="M33" s="86"/>
      <c r="N33" s="85"/>
      <c r="O33" s="87"/>
      <c r="P33" s="87"/>
      <c r="Q33" s="88"/>
      <c r="R33" s="88"/>
      <c r="S33" s="89"/>
      <c r="T33" s="89"/>
      <c r="U33" s="89"/>
      <c r="V33" s="89"/>
    </row>
    <row r="34" ht="18.75" customHeight="1" spans="1:29">
      <c r="A34" s="90"/>
      <c r="B34" s="91"/>
      <c r="C34" s="92"/>
      <c r="D34" s="93"/>
      <c r="E34" s="92"/>
      <c r="F34" s="93"/>
      <c r="G34" s="94"/>
      <c r="H34" s="95"/>
      <c r="I34" s="96"/>
      <c r="J34" s="97"/>
      <c r="K34" s="98"/>
      <c r="L34" s="85"/>
      <c r="M34" s="86"/>
      <c r="N34" s="99"/>
      <c r="O34" s="99"/>
      <c r="P34" s="99"/>
      <c r="Q34" s="99"/>
      <c r="R34" s="88"/>
      <c r="S34" s="89"/>
      <c r="T34" s="89"/>
      <c r="U34" s="89"/>
      <c r="V34" s="89"/>
    </row>
    <row r="35" ht="22.5" customHeight="1" spans="1:29">
      <c r="A35" s="100" t="s">
        <v>16</v>
      </c>
      <c r="B35" s="101">
        <f>COUNT(B8:B31)</f>
        <v>0</v>
      </c>
      <c r="C35" s="102"/>
      <c r="D35" s="103">
        <f>COUNT(D8:D31)</f>
        <v>24</v>
      </c>
      <c r="E35" s="102"/>
      <c r="F35" s="103">
        <f>COUNT(F8:F31)</f>
        <v>11</v>
      </c>
      <c r="G35" s="104"/>
      <c r="H35" s="105"/>
      <c r="I35" s="106"/>
      <c r="J35" s="107"/>
      <c r="K35" s="107"/>
      <c r="L35" s="107"/>
      <c r="M35" s="107"/>
      <c r="N35" s="99"/>
      <c r="O35" s="99"/>
      <c r="P35" s="99"/>
      <c r="Q35" s="99"/>
      <c r="R35" s="108"/>
      <c r="S35" s="89"/>
      <c r="T35" s="89"/>
      <c r="U35" s="89"/>
      <c r="V35" s="89"/>
    </row>
    <row r="36" ht="9" customHeight="1" spans="1:29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10"/>
      <c r="N36" s="106"/>
      <c r="O36" s="107"/>
      <c r="P36" s="107"/>
      <c r="Q36" s="107"/>
      <c r="R36" s="107"/>
      <c r="S36" s="107"/>
      <c r="T36" s="107"/>
      <c r="U36" s="111"/>
      <c r="V36" s="112"/>
      <c r="W36" s="108"/>
      <c r="X36" s="108"/>
      <c r="Y36" s="108"/>
      <c r="Z36" s="89"/>
      <c r="AA36" s="89"/>
      <c r="AB36" s="89"/>
      <c r="AC36" s="89"/>
    </row>
    <row r="37" ht="24" customHeight="1" spans="1:29">
      <c r="D37" s="113"/>
      <c r="E37" s="113"/>
      <c r="F37" s="113"/>
      <c r="G37" s="113"/>
      <c r="H37" s="113"/>
      <c r="I37" s="113"/>
      <c r="J37" s="113"/>
      <c r="K37" s="114"/>
      <c r="L37" s="114"/>
      <c r="N37" s="115" t="s">
        <v>17</v>
      </c>
      <c r="O37" s="116"/>
      <c r="P37" s="116"/>
      <c r="Q37" s="117"/>
      <c r="R37" s="118">
        <f>SUM(B35:F35)</f>
        <v>35</v>
      </c>
      <c r="S37" s="69"/>
      <c r="T37" s="69"/>
      <c r="U37" s="69"/>
      <c r="V37" s="69"/>
      <c r="X37" s="119"/>
      <c r="Y37" s="119"/>
      <c r="Z37" s="119"/>
      <c r="AA37" s="119"/>
      <c r="AB37" s="119"/>
      <c r="AC37" s="114"/>
    </row>
    <row r="38" ht="15" spans="1:29">
      <c r="D38" s="113"/>
      <c r="E38" s="113"/>
      <c r="F38" s="113"/>
      <c r="G38" s="113"/>
      <c r="H38" s="113"/>
      <c r="I38" s="113"/>
      <c r="J38" s="113"/>
      <c r="K38" s="114"/>
      <c r="L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</row>
    <row r="39" ht="24.75" customHeight="1" spans="1:29">
      <c r="A39" s="120" t="s">
        <v>18</v>
      </c>
      <c r="B39" s="121"/>
      <c r="C39" s="122">
        <f>MAX(H8:H31)</f>
        <v>694</v>
      </c>
      <c r="D39" s="123"/>
      <c r="E39" s="124">
        <f>VLOOKUP(C39,H8:L31,4,FALSE)</f>
        <v>0.875</v>
      </c>
      <c r="F39" s="125"/>
      <c r="G39" s="125"/>
      <c r="H39" s="126" t="s">
        <v>19</v>
      </c>
      <c r="I39" s="127"/>
      <c r="J39" s="128"/>
      <c r="K39" s="129">
        <f>MAX(J8:J31)</f>
        <v>2</v>
      </c>
      <c r="L39" s="130"/>
      <c r="N39" s="131" t="s">
        <v>20</v>
      </c>
      <c r="O39" s="132"/>
      <c r="P39" s="132"/>
      <c r="Q39" s="133"/>
      <c r="R39" s="134">
        <f>AVERAGE(H8:H31)</f>
        <v>439.666666666667</v>
      </c>
      <c r="S39" s="135"/>
      <c r="T39" s="135"/>
    </row>
    <row r="40" ht="15" spans="1:29">
      <c r="C40" s="136"/>
      <c r="D40" s="137"/>
      <c r="E40" s="138"/>
      <c r="F40" s="138"/>
      <c r="G40" s="138"/>
      <c r="H40" s="138"/>
      <c r="I40" s="139"/>
      <c r="J40" s="106"/>
      <c r="K40" s="110"/>
      <c r="L40" s="110"/>
      <c r="N40" s="140"/>
      <c r="O40" s="140"/>
      <c r="P40" s="140"/>
      <c r="Q40" s="140"/>
      <c r="R40" s="140"/>
      <c r="X40" s="5"/>
      <c r="Y40" s="5"/>
      <c r="Z40" s="5"/>
      <c r="AA40" s="5"/>
      <c r="AB40" s="5"/>
      <c r="AC40" s="141"/>
    </row>
    <row r="41" ht="24.75" customHeight="1" spans="1:29">
      <c r="A41" s="120" t="s">
        <v>21</v>
      </c>
      <c r="B41" s="121"/>
      <c r="C41" s="122">
        <f>MIN(H8:H31)</f>
        <v>199</v>
      </c>
      <c r="D41" s="123"/>
      <c r="E41" s="124">
        <f>VLOOKUP(C41,H8:L31,4,FALSE)</f>
        <v>0.0416666666666667</v>
      </c>
      <c r="F41" s="142"/>
      <c r="G41" s="125"/>
      <c r="H41" s="126" t="s">
        <v>22</v>
      </c>
      <c r="I41" s="127"/>
      <c r="J41" s="128"/>
      <c r="K41" s="129">
        <f>MIN(J8:J31)</f>
        <v>1</v>
      </c>
      <c r="L41" s="130"/>
      <c r="N41" s="126" t="s">
        <v>23</v>
      </c>
      <c r="O41" s="127"/>
      <c r="P41" s="127"/>
      <c r="Q41" s="128"/>
      <c r="R41" s="143">
        <f>AVERAGE(I8:I31)</f>
        <v>319.208333333333</v>
      </c>
      <c r="S41" s="144"/>
      <c r="T41" s="144"/>
      <c r="U41" s="144"/>
      <c r="V41" s="144"/>
      <c r="X41" s="145"/>
    </row>
    <row r="42" ht="15" spans="1:29">
      <c r="D42" s="138"/>
      <c r="E42" s="138"/>
      <c r="F42" s="138"/>
      <c r="G42" s="138"/>
      <c r="H42" s="138"/>
      <c r="I42" s="146"/>
      <c r="J42" s="138"/>
      <c r="K42" s="147"/>
      <c r="L42" s="147"/>
      <c r="V42" s="148"/>
      <c r="W42" s="148"/>
      <c r="X42" s="149"/>
      <c r="Y42" s="149"/>
      <c r="Z42" s="150"/>
      <c r="AA42" s="150"/>
      <c r="AB42" s="150"/>
      <c r="AC42" s="150"/>
    </row>
    <row r="43" ht="24.75" customHeight="1" spans="1:29">
      <c r="C43" s="136"/>
      <c r="H43" s="151"/>
      <c r="I43" s="151"/>
      <c r="J43" s="151"/>
      <c r="K43" s="145"/>
      <c r="L43" s="139"/>
      <c r="N43" s="152" t="s">
        <v>24</v>
      </c>
      <c r="O43" s="153"/>
      <c r="P43" s="153"/>
      <c r="Q43" s="154"/>
      <c r="R43" s="155" t="e">
        <f>AVERAGE(T8:T31)</f>
        <v>#DIV/0!</v>
      </c>
      <c r="X43" s="156"/>
      <c r="Z43" s="157"/>
      <c r="AA43" s="157"/>
      <c r="AB43" s="157"/>
      <c r="AC43" s="157"/>
    </row>
    <row r="44" ht="19.5" spans="1:29">
      <c r="I44" s="158"/>
      <c r="K44" s="159"/>
      <c r="L44" s="159"/>
      <c r="Z44" s="160"/>
      <c r="AA44" s="160"/>
      <c r="AB44" s="160"/>
      <c r="AC44" s="160"/>
    </row>
    <row r="45" ht="24.75" customHeight="1" spans="1:29">
      <c r="D45" s="158"/>
      <c r="E45" s="158"/>
      <c r="F45" s="158"/>
      <c r="G45" s="158"/>
      <c r="H45" s="158"/>
      <c r="N45" s="126" t="s">
        <v>25</v>
      </c>
      <c r="O45" s="127"/>
      <c r="P45" s="127"/>
      <c r="Q45" s="128"/>
      <c r="R45" s="161">
        <f>SUM(M32-H32)/24</f>
        <v>-414.628749999994</v>
      </c>
      <c r="X45" s="162"/>
      <c r="Z45" s="163"/>
      <c r="AA45" s="163"/>
      <c r="AB45" s="163"/>
      <c r="AC45" s="163"/>
    </row>
    <row r="46" spans="1:29">
      <c r="Z46" s="164"/>
      <c r="AA46" s="164"/>
      <c r="AB46" s="164"/>
      <c r="AC46" s="164"/>
    </row>
    <row r="47" spans="1:29">
      <c r="Z47" s="139"/>
      <c r="AA47" s="139"/>
      <c r="AB47" s="139"/>
      <c r="AC47" s="139"/>
    </row>
    <row r="48" spans="1:29">
      <c r="Z48" s="139"/>
      <c r="AA48" s="139"/>
      <c r="AB48" s="139"/>
      <c r="AC48" s="139"/>
    </row>
    <row r="49" spans="11:29">
      <c r="Z49" s="157"/>
      <c r="AA49" s="157"/>
      <c r="AB49" s="157"/>
      <c r="AC49" s="157"/>
    </row>
    <row r="50" spans="11:29">
      <c r="Z50" s="157"/>
      <c r="AA50" s="157"/>
      <c r="AB50" s="157"/>
      <c r="AC50" s="157"/>
    </row>
    <row r="51" spans="11:29">
      <c r="K51" s="150"/>
      <c r="L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0"/>
      <c r="AC51" s="150"/>
    </row>
    <row r="52" spans="11:29">
      <c r="K52" s="150"/>
      <c r="L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  <c r="AB52" s="150"/>
      <c r="AC52" s="150"/>
    </row>
    <row r="53" spans="11:29">
      <c r="K53" s="150"/>
      <c r="L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50"/>
      <c r="AB53" s="150"/>
      <c r="AC53" s="150"/>
    </row>
    <row r="60" spans="11:29">
      <c r="O60" s="165"/>
      <c r="P60" s="165"/>
      <c r="Q60" s="165"/>
      <c r="R60" s="165"/>
      <c r="S60" s="165"/>
      <c r="T60" s="165"/>
    </row>
    <row r="61" spans="11:29">
      <c r="O61" s="165"/>
      <c r="P61" s="165"/>
      <c r="Q61" s="165"/>
      <c r="R61" s="165"/>
      <c r="S61" s="165"/>
      <c r="T61" s="165"/>
    </row>
    <row r="62" spans="11:29">
      <c r="O62" s="165"/>
      <c r="P62" s="165"/>
      <c r="Q62" s="165"/>
      <c r="R62" s="165"/>
      <c r="S62" s="165"/>
      <c r="T62" s="165"/>
    </row>
    <row r="63" spans="11:29">
      <c r="O63" s="165"/>
      <c r="P63" s="165"/>
      <c r="Q63" s="165"/>
      <c r="R63" s="165"/>
      <c r="S63" s="165"/>
      <c r="T63" s="165"/>
    </row>
    <row r="64" spans="11:29">
      <c r="O64" s="165"/>
      <c r="P64" s="165"/>
      <c r="Q64" s="165"/>
      <c r="R64" s="165"/>
      <c r="S64" s="165"/>
      <c r="T64" s="165"/>
    </row>
    <row r="65" spans="15:20">
      <c r="O65" s="165"/>
      <c r="P65" s="165"/>
      <c r="Q65" s="165"/>
      <c r="R65" s="165"/>
      <c r="S65" s="165"/>
      <c r="T65" s="165"/>
    </row>
    <row r="66" spans="15:20">
      <c r="O66" s="165"/>
      <c r="P66" s="165"/>
      <c r="Q66" s="165"/>
      <c r="R66" s="165"/>
      <c r="S66" s="165"/>
      <c r="T66" s="165"/>
    </row>
    <row r="67" spans="15:20">
      <c r="O67" s="165"/>
      <c r="P67" s="165"/>
      <c r="Q67" s="165"/>
      <c r="R67" s="165"/>
      <c r="S67" s="165"/>
      <c r="T67" s="165"/>
    </row>
    <row r="68" spans="15:20">
      <c r="O68" s="165"/>
      <c r="P68" s="165"/>
      <c r="Q68" s="165"/>
      <c r="R68" s="165"/>
      <c r="S68" s="165"/>
      <c r="T68" s="165"/>
    </row>
  </sheetData>
  <mergeCells count="116">
    <mergeCell ref="H4:K4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B29:C29"/>
    <mergeCell ref="D29:E29"/>
    <mergeCell ref="F29:G2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N34:Q34"/>
    <mergeCell ref="B35:C35"/>
    <mergeCell ref="D35:E35"/>
    <mergeCell ref="F35:G35"/>
    <mergeCell ref="N35:Q35"/>
    <mergeCell ref="N37:Q37"/>
    <mergeCell ref="A39:B39"/>
    <mergeCell ref="C39:D39"/>
    <mergeCell ref="H39:J39"/>
    <mergeCell ref="N39:Q39"/>
    <mergeCell ref="A41:B41"/>
    <mergeCell ref="C41:D41"/>
    <mergeCell ref="H41:J41"/>
    <mergeCell ref="N41:Q41"/>
    <mergeCell ref="H43:J43"/>
    <mergeCell ref="N43:Q43"/>
    <mergeCell ref="N45:Q45"/>
    <mergeCell ref="A6:A7"/>
    <mergeCell ref="A33:A34"/>
    <mergeCell ref="H6:H7"/>
    <mergeCell ref="H33:H34"/>
    <mergeCell ref="I6:I7"/>
    <mergeCell ref="I33:I34"/>
    <mergeCell ref="J6:J7"/>
    <mergeCell ref="K6:K7"/>
    <mergeCell ref="L6:L7"/>
    <mergeCell ref="M6:M7"/>
    <mergeCell ref="N6:N7"/>
    <mergeCell ref="O6:O7"/>
    <mergeCell ref="T6:T7"/>
    <mergeCell ref="U6:U7"/>
    <mergeCell ref="B33:C34"/>
    <mergeCell ref="D33:E34"/>
    <mergeCell ref="F33:G34"/>
  </mergeCells>
  <conditionalFormatting sqref="O8">
    <cfRule type="cellIs" dxfId="0" priority="10" operator="equal">
      <formula>"N/A"</formula>
    </cfRule>
  </conditionalFormatting>
  <conditionalFormatting sqref="A30">
    <cfRule type="cellIs" dxfId="1" priority="11" operator="equal">
      <formula>"STB"</formula>
    </cfRule>
    <cfRule type="cellIs" dxfId="0" priority="12" operator="equal">
      <formula>"BD"</formula>
    </cfRule>
  </conditionalFormatting>
  <conditionalFormatting sqref="B8:B31">
    <cfRule type="cellIs" dxfId="1" priority="1" operator="equal">
      <formula>"STB"</formula>
    </cfRule>
    <cfRule type="cellIs" dxfId="0" priority="2" operator="equal">
      <formula>"BD"</formula>
    </cfRule>
  </conditionalFormatting>
  <conditionalFormatting sqref="D8:D31">
    <cfRule type="cellIs" dxfId="1" priority="8" operator="equal">
      <formula>"STB"</formula>
    </cfRule>
    <cfRule type="cellIs" dxfId="0" priority="9" operator="equal">
      <formula>"BD"</formula>
    </cfRule>
  </conditionalFormatting>
  <conditionalFormatting sqref="F8:F31">
    <cfRule type="cellIs" dxfId="1" priority="3" operator="equal">
      <formula>"STB"</formula>
    </cfRule>
    <cfRule type="cellIs" dxfId="0" priority="4" operator="equal">
      <formula>"BD"</formula>
    </cfRule>
  </conditionalFormatting>
  <conditionalFormatting sqref="H8:H31">
    <cfRule type="top10" dxfId="2" priority="5" bottom="1" rank="1"/>
    <cfRule type="top10" dxfId="3" priority="6" rank="1"/>
    <cfRule type="cellIs" dxfId="4" priority="7" stopIfTrue="1" operator="equal">
      <formula>28000</formula>
    </cfRule>
  </conditionalFormatting>
  <conditionalFormatting sqref="H32:H33">
    <cfRule type="top10" dxfId="2" priority="14" bottom="1" rank="1"/>
    <cfRule type="top10" dxfId="3" priority="15" rank="1"/>
    <cfRule type="cellIs" dxfId="4" priority="17" stopIfTrue="1" operator="equal">
      <formula>28000</formula>
    </cfRule>
  </conditionalFormatting>
  <conditionalFormatting sqref="Y8:Y31">
    <cfRule type="containsText" dxfId="5" priority="13" operator="between" text="-">
      <formula>NOT(ISERROR(SEARCH("-",Y8)))</formula>
    </cfRule>
  </conditionalFormatting>
  <conditionalFormatting sqref="N8 N9:O31">
    <cfRule type="cellIs" dxfId="0" priority="16" operator="equal">
      <formula>"BD"</formula>
    </cfRule>
  </conditionalFormatting>
  <pageMargins left="0.7" right="0.7" top="0.75" bottom="0.75" header="0.3" footer="0.3"/>
  <pageSetup paperSize="1" orientation="portrait" verticalDpi="360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C68"/>
  <sheetViews>
    <sheetView zoomScale="80" zoomScaleNormal="80" workbookViewId="0">
      <pane ySplit="7" topLeftCell="A16" activePane="bottomLeft" state="frozen"/>
      <selection/>
      <selection pane="bottomLeft" activeCell="A3" sqref="$A3:$XFD3"/>
    </sheetView>
  </sheetViews>
  <sheetFormatPr defaultColWidth="8.81666666666667" defaultRowHeight="14.25"/>
  <cols>
    <col min="1" max="1" width="16.725" customWidth="1"/>
    <col min="2" max="2" width="8.725" customWidth="1"/>
    <col min="3" max="7" width="5.725" customWidth="1"/>
    <col min="8" max="8" width="14.2666666666667" customWidth="1"/>
    <col min="9" max="9" width="15.1833333333333" customWidth="1"/>
    <col min="10" max="10" width="15.5416666666667" customWidth="1"/>
    <col min="11" max="11" width="7" customWidth="1"/>
    <col min="12" max="12" width="8.54166666666667" customWidth="1"/>
    <col min="13" max="13" width="11.725" style="5" customWidth="1"/>
    <col min="14" max="14" width="17.1833333333333" customWidth="1"/>
    <col min="15" max="15" width="15.45" customWidth="1"/>
    <col min="16" max="16" width="7.45" customWidth="1"/>
    <col min="17" max="17" width="9.54166666666667" customWidth="1"/>
    <col min="18" max="18" width="10" customWidth="1"/>
    <col min="19" max="20" width="9.81666666666667" customWidth="1"/>
    <col min="21" max="21" width="6.725" customWidth="1"/>
    <col min="22" max="22" width="13.8166666666667" customWidth="1"/>
    <col min="23" max="23" width="11.2666666666667" customWidth="1"/>
    <col min="24" max="24" width="9.26666666666667" customWidth="1"/>
    <col min="25" max="25" width="3.725" customWidth="1"/>
    <col min="26" max="29" width="7.725" customWidth="1"/>
    <col min="30" max="30" width="6.725" customWidth="1"/>
  </cols>
  <sheetData>
    <row r="1" ht="3" customHeight="1"/>
    <row r="2" ht="6" customHeight="1" spans="1:2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="1" customFormat="1" ht="6.75" customHeight="1" spans="1:29">
      <c r="K3" s="7"/>
      <c r="L3" s="8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17.25" customHeight="1" spans="1:29">
      <c r="A4" s="1"/>
      <c r="B4" s="10"/>
      <c r="C4" s="10"/>
      <c r="D4" s="10"/>
      <c r="E4" s="11"/>
      <c r="F4" s="11"/>
      <c r="G4" s="11"/>
      <c r="H4" s="12">
        <f>'[22]Taniwel daily'!C4</f>
        <v>45313</v>
      </c>
      <c r="I4" s="13"/>
      <c r="J4" s="13"/>
      <c r="K4" s="14"/>
      <c r="L4" s="15"/>
      <c r="M4" s="16"/>
      <c r="N4" s="10"/>
      <c r="O4" s="10"/>
      <c r="P4" s="10"/>
      <c r="Q4" s="10"/>
      <c r="R4" s="10"/>
      <c r="S4" s="10"/>
      <c r="T4" s="10"/>
      <c r="U4" s="10"/>
      <c r="V4" s="7"/>
      <c r="W4" s="7"/>
      <c r="X4" s="7"/>
      <c r="Y4" s="7"/>
      <c r="Z4" s="7"/>
      <c r="AA4" s="7"/>
      <c r="AB4" s="7"/>
      <c r="AC4" s="7"/>
    </row>
    <row r="5" ht="7.5" customHeight="1" spans="1:29">
      <c r="A5" s="1"/>
      <c r="B5" s="17"/>
      <c r="C5" s="1"/>
      <c r="D5" s="1"/>
      <c r="E5" s="1"/>
      <c r="F5" s="1"/>
      <c r="G5" s="1"/>
      <c r="H5" s="1"/>
      <c r="I5" s="1"/>
      <c r="J5" s="1"/>
      <c r="K5" s="18"/>
      <c r="L5" s="7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ht="17.25" customHeight="1" spans="1:29">
      <c r="A6" s="19" t="s">
        <v>0</v>
      </c>
      <c r="B6" s="20" t="s">
        <v>1</v>
      </c>
      <c r="C6" s="21"/>
      <c r="D6" s="20" t="s">
        <v>2</v>
      </c>
      <c r="E6" s="21"/>
      <c r="F6" s="20" t="s">
        <v>3</v>
      </c>
      <c r="G6" s="21"/>
      <c r="H6" s="22" t="s">
        <v>4</v>
      </c>
      <c r="I6" s="22" t="s">
        <v>5</v>
      </c>
      <c r="J6" s="23" t="s">
        <v>6</v>
      </c>
      <c r="K6" s="19" t="s">
        <v>0</v>
      </c>
      <c r="L6" s="24" t="s">
        <v>7</v>
      </c>
      <c r="M6" s="25" t="s">
        <v>8</v>
      </c>
      <c r="N6" s="26" t="s">
        <v>9</v>
      </c>
      <c r="O6" s="25" t="s">
        <v>10</v>
      </c>
      <c r="P6" s="27"/>
      <c r="Q6" s="28"/>
      <c r="R6" s="28"/>
      <c r="S6" s="28"/>
      <c r="T6" s="28"/>
      <c r="U6" s="29"/>
    </row>
    <row r="7" ht="15.75" customHeight="1" spans="1:29">
      <c r="A7" s="30"/>
      <c r="B7" s="31">
        <v>1</v>
      </c>
      <c r="C7" s="32"/>
      <c r="D7" s="31">
        <v>2</v>
      </c>
      <c r="E7" s="32"/>
      <c r="F7" s="31">
        <v>3</v>
      </c>
      <c r="G7" s="32"/>
      <c r="H7" s="33"/>
      <c r="I7" s="33"/>
      <c r="J7" s="34"/>
      <c r="K7" s="30"/>
      <c r="L7" s="35"/>
      <c r="M7" s="36"/>
      <c r="N7" s="37"/>
      <c r="O7" s="38"/>
      <c r="P7" s="27"/>
      <c r="Q7" s="28"/>
      <c r="R7" s="28"/>
      <c r="S7" s="28"/>
      <c r="T7" s="28"/>
      <c r="U7" s="29"/>
      <c r="X7" s="39"/>
    </row>
    <row r="8" s="2" customFormat="1" ht="15" customHeight="1" spans="1:29">
      <c r="A8" s="40">
        <v>0.0416666666666666</v>
      </c>
      <c r="B8" s="41" t="s">
        <v>11</v>
      </c>
      <c r="C8" s="42"/>
      <c r="D8" s="41">
        <v>370</v>
      </c>
      <c r="E8" s="42"/>
      <c r="F8" s="41" t="s">
        <v>26</v>
      </c>
      <c r="G8" s="42"/>
      <c r="H8" s="43">
        <f t="shared" ref="H8:H31" si="0">IF(SUM(B8:G8)/1000=0,"0",SUM(B8:G8))</f>
        <v>370</v>
      </c>
      <c r="I8" s="44">
        <f t="shared" ref="I8:I31" si="1">IFERROR(AVERAGE(B8:G8),"0")</f>
        <v>370</v>
      </c>
      <c r="J8" s="45">
        <f t="shared" ref="J8:J31" si="2">COUNT(B8:G8)</f>
        <v>1</v>
      </c>
      <c r="K8" s="46">
        <v>0.0416666666666667</v>
      </c>
      <c r="L8" s="47">
        <v>4500</v>
      </c>
      <c r="M8" s="48">
        <v>176.63</v>
      </c>
      <c r="N8" s="49">
        <f>(M9-M8)*12000</f>
        <v>360.000000000014</v>
      </c>
      <c r="O8" s="50"/>
      <c r="P8" s="51"/>
      <c r="Q8" s="52"/>
      <c r="R8" s="52"/>
      <c r="S8" s="52"/>
      <c r="T8" s="52"/>
      <c r="U8" s="53"/>
    </row>
    <row r="9" s="3" customFormat="1" ht="15" customHeight="1" spans="1:29">
      <c r="A9" s="40">
        <v>0.0833333333333333</v>
      </c>
      <c r="B9" s="41" t="s">
        <v>11</v>
      </c>
      <c r="C9" s="42"/>
      <c r="D9" s="41">
        <v>222</v>
      </c>
      <c r="E9" s="42"/>
      <c r="F9" s="41">
        <v>241</v>
      </c>
      <c r="G9" s="42"/>
      <c r="H9" s="43">
        <f t="shared" si="0"/>
        <v>463</v>
      </c>
      <c r="I9" s="44">
        <f t="shared" si="1"/>
        <v>231.5</v>
      </c>
      <c r="J9" s="45">
        <f t="shared" si="2"/>
        <v>2</v>
      </c>
      <c r="K9" s="46">
        <v>0.0833333333333333</v>
      </c>
      <c r="L9" s="47">
        <v>4200</v>
      </c>
      <c r="M9" s="54">
        <v>176.66</v>
      </c>
      <c r="N9" s="49">
        <f t="shared" ref="N9:N30" si="3">(M10-M9)*12000</f>
        <v>600.000000000136</v>
      </c>
      <c r="O9" s="55"/>
      <c r="P9" s="51"/>
      <c r="Q9" s="52"/>
      <c r="R9" s="52"/>
      <c r="S9" s="52"/>
      <c r="T9" s="52"/>
      <c r="U9" s="53"/>
    </row>
    <row r="10" s="3" customFormat="1" ht="15" customHeight="1" spans="1:29">
      <c r="A10" s="40">
        <v>0.125</v>
      </c>
      <c r="B10" s="41" t="s">
        <v>11</v>
      </c>
      <c r="C10" s="42"/>
      <c r="D10" s="41">
        <v>437</v>
      </c>
      <c r="E10" s="42"/>
      <c r="F10" s="41" t="s">
        <v>26</v>
      </c>
      <c r="G10" s="42"/>
      <c r="H10" s="43">
        <f t="shared" si="0"/>
        <v>437</v>
      </c>
      <c r="I10" s="44">
        <f t="shared" si="1"/>
        <v>437</v>
      </c>
      <c r="J10" s="45">
        <f t="shared" si="2"/>
        <v>1</v>
      </c>
      <c r="K10" s="46">
        <v>0.125</v>
      </c>
      <c r="L10" s="47">
        <v>4200</v>
      </c>
      <c r="M10" s="54">
        <v>176.71</v>
      </c>
      <c r="N10" s="49">
        <f t="shared" si="3"/>
        <v>479.999999999905</v>
      </c>
      <c r="O10" s="56"/>
      <c r="P10" s="51"/>
      <c r="Q10" s="52"/>
      <c r="R10" s="52"/>
      <c r="S10" s="52"/>
      <c r="T10" s="52"/>
      <c r="U10" s="53"/>
    </row>
    <row r="11" s="3" customFormat="1" ht="15" customHeight="1" spans="1:29">
      <c r="A11" s="40">
        <v>0.166666666666667</v>
      </c>
      <c r="B11" s="41" t="s">
        <v>11</v>
      </c>
      <c r="C11" s="42"/>
      <c r="D11" s="41">
        <v>430</v>
      </c>
      <c r="E11" s="42"/>
      <c r="F11" s="41" t="s">
        <v>26</v>
      </c>
      <c r="G11" s="42"/>
      <c r="H11" s="43">
        <f t="shared" si="0"/>
        <v>430</v>
      </c>
      <c r="I11" s="44">
        <f t="shared" si="1"/>
        <v>430</v>
      </c>
      <c r="J11" s="45">
        <f t="shared" si="2"/>
        <v>1</v>
      </c>
      <c r="K11" s="46">
        <v>0.166666666666667</v>
      </c>
      <c r="L11" s="47">
        <v>4000</v>
      </c>
      <c r="M11" s="54">
        <v>176.75</v>
      </c>
      <c r="N11" s="49">
        <f t="shared" si="3"/>
        <v>240.000000000123</v>
      </c>
      <c r="O11" s="56"/>
      <c r="P11" s="51"/>
      <c r="Q11" s="52"/>
      <c r="R11" s="52"/>
      <c r="S11" s="52"/>
      <c r="T11" s="52"/>
      <c r="U11" s="53"/>
    </row>
    <row r="12" s="3" customFormat="1" ht="15" customHeight="1" spans="1:29">
      <c r="A12" s="40">
        <v>0.208333333333333</v>
      </c>
      <c r="B12" s="41" t="s">
        <v>11</v>
      </c>
      <c r="C12" s="42"/>
      <c r="D12" s="41">
        <v>384</v>
      </c>
      <c r="E12" s="42"/>
      <c r="F12" s="41" t="s">
        <v>26</v>
      </c>
      <c r="G12" s="42"/>
      <c r="H12" s="43">
        <f t="shared" si="0"/>
        <v>384</v>
      </c>
      <c r="I12" s="44">
        <f t="shared" si="1"/>
        <v>384</v>
      </c>
      <c r="J12" s="45">
        <f t="shared" si="2"/>
        <v>1</v>
      </c>
      <c r="K12" s="46">
        <v>0.208333333333333</v>
      </c>
      <c r="L12" s="47">
        <v>3900</v>
      </c>
      <c r="M12" s="54">
        <v>176.77</v>
      </c>
      <c r="N12" s="49">
        <f t="shared" si="3"/>
        <v>839.999999999918</v>
      </c>
      <c r="O12" s="56"/>
      <c r="P12" s="51"/>
      <c r="Q12" s="52"/>
      <c r="R12" s="52"/>
      <c r="S12" s="52"/>
      <c r="T12" s="52"/>
      <c r="U12" s="53"/>
    </row>
    <row r="13" s="3" customFormat="1" ht="15" customHeight="1" spans="1:29">
      <c r="A13" s="40">
        <v>0.25</v>
      </c>
      <c r="B13" s="41" t="s">
        <v>11</v>
      </c>
      <c r="C13" s="42"/>
      <c r="D13" s="41">
        <v>262</v>
      </c>
      <c r="E13" s="42"/>
      <c r="F13" s="41">
        <v>308</v>
      </c>
      <c r="G13" s="42"/>
      <c r="H13" s="43">
        <f t="shared" si="0"/>
        <v>570</v>
      </c>
      <c r="I13" s="44">
        <f t="shared" si="1"/>
        <v>285</v>
      </c>
      <c r="J13" s="45">
        <f t="shared" si="2"/>
        <v>2</v>
      </c>
      <c r="K13" s="46">
        <v>0.25</v>
      </c>
      <c r="L13" s="47">
        <v>3600</v>
      </c>
      <c r="M13" s="54">
        <v>176.84</v>
      </c>
      <c r="N13" s="49">
        <f t="shared" si="3"/>
        <v>240.000000000123</v>
      </c>
      <c r="O13" s="56"/>
      <c r="P13" s="51"/>
      <c r="Q13" s="52"/>
      <c r="R13" s="52"/>
      <c r="S13" s="52"/>
      <c r="T13" s="52"/>
      <c r="U13" s="53"/>
    </row>
    <row r="14" s="3" customFormat="1" ht="15" customHeight="1" spans="1:29">
      <c r="A14" s="40">
        <v>0.291666666666667</v>
      </c>
      <c r="B14" s="41" t="s">
        <v>11</v>
      </c>
      <c r="C14" s="42"/>
      <c r="D14" s="41">
        <v>263</v>
      </c>
      <c r="E14" s="42"/>
      <c r="F14" s="41">
        <v>273</v>
      </c>
      <c r="G14" s="42"/>
      <c r="H14" s="43">
        <f t="shared" si="0"/>
        <v>536</v>
      </c>
      <c r="I14" s="44">
        <f t="shared" si="1"/>
        <v>268</v>
      </c>
      <c r="J14" s="45">
        <f t="shared" si="2"/>
        <v>2</v>
      </c>
      <c r="K14" s="46">
        <v>0.291666666666667</v>
      </c>
      <c r="L14" s="47">
        <v>3600</v>
      </c>
      <c r="M14" s="54">
        <v>176.86</v>
      </c>
      <c r="N14" s="49">
        <f t="shared" si="3"/>
        <v>599.999999999795</v>
      </c>
      <c r="O14" s="56"/>
      <c r="P14" s="51"/>
      <c r="Q14" s="52"/>
      <c r="R14" s="52"/>
      <c r="S14" s="52"/>
      <c r="T14" s="52"/>
      <c r="U14" s="53"/>
    </row>
    <row r="15" s="3" customFormat="1" ht="15" customHeight="1" spans="1:29">
      <c r="A15" s="40">
        <v>0.333333333333333</v>
      </c>
      <c r="B15" s="41" t="s">
        <v>11</v>
      </c>
      <c r="C15" s="42"/>
      <c r="D15" s="41">
        <v>232</v>
      </c>
      <c r="E15" s="42"/>
      <c r="F15" s="41">
        <v>227</v>
      </c>
      <c r="G15" s="42"/>
      <c r="H15" s="43">
        <f t="shared" si="0"/>
        <v>459</v>
      </c>
      <c r="I15" s="44">
        <f t="shared" si="1"/>
        <v>229.5</v>
      </c>
      <c r="J15" s="45">
        <f t="shared" si="2"/>
        <v>2</v>
      </c>
      <c r="K15" s="46">
        <v>0.333333333333333</v>
      </c>
      <c r="L15" s="47">
        <v>3600</v>
      </c>
      <c r="M15" s="54">
        <v>176.91</v>
      </c>
      <c r="N15" s="49">
        <f t="shared" si="3"/>
        <v>479.999999999905</v>
      </c>
      <c r="O15" s="56"/>
      <c r="P15" s="51"/>
      <c r="Q15" s="52"/>
      <c r="R15" s="52"/>
      <c r="S15" s="52"/>
      <c r="T15" s="52"/>
      <c r="U15" s="53"/>
    </row>
    <row r="16" s="3" customFormat="1" ht="15" customHeight="1" spans="1:29">
      <c r="A16" s="40">
        <v>0.375</v>
      </c>
      <c r="B16" s="41" t="s">
        <v>11</v>
      </c>
      <c r="C16" s="42"/>
      <c r="D16" s="41">
        <v>249</v>
      </c>
      <c r="E16" s="42"/>
      <c r="F16" s="41">
        <v>230</v>
      </c>
      <c r="G16" s="42"/>
      <c r="H16" s="43">
        <f t="shared" si="0"/>
        <v>479</v>
      </c>
      <c r="I16" s="44">
        <f t="shared" si="1"/>
        <v>239.5</v>
      </c>
      <c r="J16" s="45">
        <f t="shared" si="2"/>
        <v>2</v>
      </c>
      <c r="K16" s="46">
        <v>0.375</v>
      </c>
      <c r="L16" s="47">
        <v>3600</v>
      </c>
      <c r="M16" s="54">
        <v>176.95</v>
      </c>
      <c r="N16" s="49">
        <f t="shared" si="3"/>
        <v>480.000000000246</v>
      </c>
      <c r="O16" s="56"/>
      <c r="P16" s="51"/>
      <c r="Q16" s="52"/>
      <c r="R16" s="52"/>
      <c r="S16" s="52"/>
      <c r="T16" s="52"/>
      <c r="U16" s="53"/>
    </row>
    <row r="17" s="3" customFormat="1" ht="15" customHeight="1" spans="1:21">
      <c r="A17" s="40">
        <v>0.416666666666667</v>
      </c>
      <c r="B17" s="41" t="s">
        <v>11</v>
      </c>
      <c r="C17" s="42"/>
      <c r="D17" s="41">
        <v>250</v>
      </c>
      <c r="E17" s="42"/>
      <c r="F17" s="41">
        <v>230</v>
      </c>
      <c r="G17" s="42"/>
      <c r="H17" s="43">
        <f t="shared" si="0"/>
        <v>480</v>
      </c>
      <c r="I17" s="44">
        <f t="shared" si="1"/>
        <v>240</v>
      </c>
      <c r="J17" s="45">
        <f t="shared" si="2"/>
        <v>2</v>
      </c>
      <c r="K17" s="46">
        <v>0.416666666666666</v>
      </c>
      <c r="L17" s="47">
        <v>3400</v>
      </c>
      <c r="M17" s="54">
        <v>176.99</v>
      </c>
      <c r="N17" s="49">
        <f t="shared" si="3"/>
        <v>599.999999999795</v>
      </c>
      <c r="O17" s="56"/>
      <c r="P17" s="51"/>
      <c r="Q17" s="52"/>
      <c r="R17" s="52"/>
      <c r="S17" s="52"/>
      <c r="T17" s="52"/>
      <c r="U17" s="53"/>
    </row>
    <row r="18" s="3" customFormat="1" ht="15" customHeight="1" spans="1:21">
      <c r="A18" s="40">
        <v>0.458333333333333</v>
      </c>
      <c r="B18" s="41" t="s">
        <v>11</v>
      </c>
      <c r="C18" s="42"/>
      <c r="D18" s="41">
        <v>230</v>
      </c>
      <c r="E18" s="42"/>
      <c r="F18" s="41">
        <v>236</v>
      </c>
      <c r="G18" s="42"/>
      <c r="H18" s="43">
        <f t="shared" si="0"/>
        <v>466</v>
      </c>
      <c r="I18" s="44">
        <f t="shared" si="1"/>
        <v>233</v>
      </c>
      <c r="J18" s="45">
        <f t="shared" si="2"/>
        <v>2</v>
      </c>
      <c r="K18" s="46">
        <v>0.458333333333333</v>
      </c>
      <c r="L18" s="47">
        <v>3300</v>
      </c>
      <c r="M18" s="54">
        <v>177.04</v>
      </c>
      <c r="N18" s="49">
        <f t="shared" si="3"/>
        <v>480.000000000246</v>
      </c>
      <c r="O18" s="56"/>
      <c r="P18" s="51"/>
      <c r="Q18" s="52"/>
      <c r="R18" s="52"/>
      <c r="S18" s="52"/>
      <c r="T18" s="52"/>
      <c r="U18" s="53"/>
    </row>
    <row r="19" s="3" customFormat="1" ht="15" customHeight="1" spans="1:21">
      <c r="A19" s="40">
        <v>0.5</v>
      </c>
      <c r="B19" s="41" t="s">
        <v>11</v>
      </c>
      <c r="C19" s="42"/>
      <c r="D19" s="41">
        <v>409</v>
      </c>
      <c r="E19" s="42"/>
      <c r="F19" s="41" t="s">
        <v>26</v>
      </c>
      <c r="G19" s="42"/>
      <c r="H19" s="43">
        <f t="shared" si="0"/>
        <v>409</v>
      </c>
      <c r="I19" s="44">
        <f t="shared" si="1"/>
        <v>409</v>
      </c>
      <c r="J19" s="45">
        <f t="shared" si="2"/>
        <v>1</v>
      </c>
      <c r="K19" s="46">
        <v>0.5</v>
      </c>
      <c r="L19" s="47">
        <v>3300</v>
      </c>
      <c r="M19" s="54">
        <v>177.08</v>
      </c>
      <c r="N19" s="49">
        <f t="shared" si="3"/>
        <v>479.999999999905</v>
      </c>
      <c r="O19" s="56"/>
      <c r="P19" s="51"/>
      <c r="Q19" s="52"/>
      <c r="R19" s="52"/>
      <c r="S19" s="52"/>
      <c r="T19" s="52"/>
      <c r="U19" s="53"/>
    </row>
    <row r="20" s="3" customFormat="1" ht="15" customHeight="1" spans="1:21">
      <c r="A20" s="40">
        <v>0.541666666666667</v>
      </c>
      <c r="B20" s="41" t="s">
        <v>11</v>
      </c>
      <c r="C20" s="42"/>
      <c r="D20" s="41">
        <v>404</v>
      </c>
      <c r="E20" s="42"/>
      <c r="F20" s="41" t="s">
        <v>26</v>
      </c>
      <c r="G20" s="42"/>
      <c r="H20" s="43">
        <f t="shared" si="0"/>
        <v>404</v>
      </c>
      <c r="I20" s="44">
        <f t="shared" si="1"/>
        <v>404</v>
      </c>
      <c r="J20" s="45">
        <f t="shared" si="2"/>
        <v>1</v>
      </c>
      <c r="K20" s="46">
        <v>0.541666666666667</v>
      </c>
      <c r="L20" s="47">
        <v>3000</v>
      </c>
      <c r="M20" s="54">
        <v>177.12</v>
      </c>
      <c r="N20" s="49">
        <f t="shared" si="3"/>
        <v>479.999999999905</v>
      </c>
      <c r="O20" s="56"/>
      <c r="P20" s="51"/>
      <c r="Q20" s="52"/>
      <c r="R20" s="52"/>
      <c r="S20" s="52"/>
      <c r="T20" s="52"/>
      <c r="U20" s="53"/>
    </row>
    <row r="21" s="3" customFormat="1" ht="15" customHeight="1" spans="1:21">
      <c r="A21" s="40">
        <v>0.583333333333333</v>
      </c>
      <c r="B21" s="41" t="s">
        <v>11</v>
      </c>
      <c r="C21" s="42"/>
      <c r="D21" s="41" t="s">
        <v>26</v>
      </c>
      <c r="E21" s="42"/>
      <c r="F21" s="41">
        <v>390</v>
      </c>
      <c r="G21" s="42"/>
      <c r="H21" s="43">
        <f t="shared" si="0"/>
        <v>390</v>
      </c>
      <c r="I21" s="44">
        <f t="shared" si="1"/>
        <v>390</v>
      </c>
      <c r="J21" s="45">
        <f t="shared" si="2"/>
        <v>1</v>
      </c>
      <c r="K21" s="46">
        <v>0.583333333333333</v>
      </c>
      <c r="L21" s="47">
        <v>3000</v>
      </c>
      <c r="M21" s="54">
        <v>177.16</v>
      </c>
      <c r="N21" s="49">
        <f t="shared" si="3"/>
        <v>479.999999999905</v>
      </c>
      <c r="O21" s="56"/>
      <c r="P21" s="51"/>
      <c r="Q21" s="52"/>
      <c r="R21" s="52"/>
      <c r="S21" s="52"/>
      <c r="T21" s="52"/>
      <c r="U21" s="53"/>
    </row>
    <row r="22" s="3" customFormat="1" ht="15" customHeight="1" spans="1:21">
      <c r="A22" s="40">
        <v>0.625</v>
      </c>
      <c r="B22" s="41" t="s">
        <v>11</v>
      </c>
      <c r="C22" s="42"/>
      <c r="D22" s="41" t="s">
        <v>26</v>
      </c>
      <c r="E22" s="42"/>
      <c r="F22" s="41">
        <v>385</v>
      </c>
      <c r="G22" s="42"/>
      <c r="H22" s="43">
        <f t="shared" si="0"/>
        <v>385</v>
      </c>
      <c r="I22" s="44">
        <f t="shared" si="1"/>
        <v>385</v>
      </c>
      <c r="J22" s="45">
        <f t="shared" si="2"/>
        <v>1</v>
      </c>
      <c r="K22" s="46">
        <v>0.625</v>
      </c>
      <c r="L22" s="47">
        <v>3000</v>
      </c>
      <c r="M22" s="54">
        <v>177.2</v>
      </c>
      <c r="N22" s="49">
        <f t="shared" si="3"/>
        <v>360.000000000014</v>
      </c>
      <c r="O22" s="56"/>
      <c r="P22" s="51"/>
      <c r="Q22" s="52"/>
      <c r="R22" s="52"/>
      <c r="S22" s="52"/>
      <c r="T22" s="52"/>
      <c r="U22" s="53"/>
    </row>
    <row r="23" s="3" customFormat="1" ht="15" customHeight="1" spans="1:21">
      <c r="A23" s="40">
        <v>0.666666666666667</v>
      </c>
      <c r="B23" s="41" t="s">
        <v>11</v>
      </c>
      <c r="C23" s="42"/>
      <c r="D23" s="41" t="s">
        <v>26</v>
      </c>
      <c r="E23" s="42"/>
      <c r="F23" s="41">
        <v>417</v>
      </c>
      <c r="G23" s="42"/>
      <c r="H23" s="43">
        <f t="shared" si="0"/>
        <v>417</v>
      </c>
      <c r="I23" s="44">
        <f t="shared" si="1"/>
        <v>417</v>
      </c>
      <c r="J23" s="45">
        <f t="shared" si="2"/>
        <v>1</v>
      </c>
      <c r="K23" s="46">
        <v>0.666666666666666</v>
      </c>
      <c r="L23" s="47">
        <v>3000</v>
      </c>
      <c r="M23" s="54">
        <v>177.23</v>
      </c>
      <c r="N23" s="49">
        <f t="shared" si="3"/>
        <v>600.000000000136</v>
      </c>
      <c r="O23" s="56"/>
      <c r="P23" s="51"/>
      <c r="Q23" s="52"/>
      <c r="R23" s="52"/>
      <c r="S23" s="52"/>
      <c r="T23" s="52"/>
      <c r="U23" s="53"/>
    </row>
    <row r="24" s="3" customFormat="1" ht="15" customHeight="1" spans="1:21">
      <c r="A24" s="40">
        <v>0.708333333333334</v>
      </c>
      <c r="B24" s="41" t="s">
        <v>11</v>
      </c>
      <c r="C24" s="42"/>
      <c r="D24" s="41" t="s">
        <v>26</v>
      </c>
      <c r="E24" s="42"/>
      <c r="F24" s="41">
        <v>428</v>
      </c>
      <c r="G24" s="42"/>
      <c r="H24" s="43">
        <f t="shared" si="0"/>
        <v>428</v>
      </c>
      <c r="I24" s="44">
        <f t="shared" si="1"/>
        <v>428</v>
      </c>
      <c r="J24" s="45">
        <f t="shared" si="2"/>
        <v>1</v>
      </c>
      <c r="K24" s="46">
        <v>0.708333333333333</v>
      </c>
      <c r="L24" s="47">
        <v>2700</v>
      </c>
      <c r="M24" s="54">
        <v>177.28</v>
      </c>
      <c r="N24" s="49">
        <f t="shared" si="3"/>
        <v>479.999999999905</v>
      </c>
      <c r="O24" s="56"/>
      <c r="P24" s="51"/>
      <c r="Q24" s="52"/>
      <c r="R24" s="52"/>
      <c r="S24" s="52"/>
      <c r="T24" s="52"/>
      <c r="U24" s="53"/>
    </row>
    <row r="25" s="3" customFormat="1" ht="15" customHeight="1" spans="1:21">
      <c r="A25" s="40">
        <v>0.75</v>
      </c>
      <c r="B25" s="41" t="s">
        <v>11</v>
      </c>
      <c r="C25" s="42"/>
      <c r="D25" s="41" t="s">
        <v>26</v>
      </c>
      <c r="E25" s="42"/>
      <c r="F25" s="41">
        <v>449</v>
      </c>
      <c r="G25" s="42"/>
      <c r="H25" s="43">
        <f t="shared" si="0"/>
        <v>449</v>
      </c>
      <c r="I25" s="44">
        <f t="shared" si="1"/>
        <v>449</v>
      </c>
      <c r="J25" s="45">
        <f t="shared" si="2"/>
        <v>1</v>
      </c>
      <c r="K25" s="46">
        <v>0.75</v>
      </c>
      <c r="L25" s="47">
        <v>2400</v>
      </c>
      <c r="M25" s="54">
        <v>177.32</v>
      </c>
      <c r="N25" s="49">
        <f t="shared" si="3"/>
        <v>600.000000000136</v>
      </c>
      <c r="O25" s="56"/>
      <c r="P25" s="51"/>
      <c r="Q25" s="52"/>
      <c r="R25" s="52"/>
      <c r="S25" s="52"/>
      <c r="T25" s="52"/>
      <c r="U25" s="53"/>
    </row>
    <row r="26" s="3" customFormat="1" ht="15" customHeight="1" spans="1:21">
      <c r="A26" s="40">
        <v>0.791666666666667</v>
      </c>
      <c r="B26" s="41" t="s">
        <v>11</v>
      </c>
      <c r="C26" s="42"/>
      <c r="D26" s="41">
        <v>293</v>
      </c>
      <c r="E26" s="42"/>
      <c r="F26" s="41">
        <v>303</v>
      </c>
      <c r="G26" s="42"/>
      <c r="H26" s="43">
        <f t="shared" si="0"/>
        <v>596</v>
      </c>
      <c r="I26" s="44">
        <f t="shared" si="1"/>
        <v>298</v>
      </c>
      <c r="J26" s="45">
        <f t="shared" si="2"/>
        <v>2</v>
      </c>
      <c r="K26" s="46">
        <v>0.791666666666666</v>
      </c>
      <c r="L26" s="47">
        <v>2100</v>
      </c>
      <c r="M26" s="54">
        <v>177.37</v>
      </c>
      <c r="N26" s="49">
        <f t="shared" si="3"/>
        <v>720.000000000027</v>
      </c>
      <c r="O26" s="56"/>
      <c r="P26" s="51"/>
      <c r="Q26" s="52"/>
      <c r="R26" s="52"/>
      <c r="S26" s="52"/>
      <c r="T26" s="52"/>
      <c r="U26" s="53"/>
    </row>
    <row r="27" s="3" customFormat="1" ht="15" customHeight="1" spans="1:21">
      <c r="A27" s="40">
        <v>0.833333333333334</v>
      </c>
      <c r="B27" s="41" t="s">
        <v>11</v>
      </c>
      <c r="C27" s="42"/>
      <c r="D27" s="41">
        <v>348</v>
      </c>
      <c r="E27" s="42"/>
      <c r="F27" s="41">
        <v>334</v>
      </c>
      <c r="G27" s="42"/>
      <c r="H27" s="43">
        <f t="shared" si="0"/>
        <v>682</v>
      </c>
      <c r="I27" s="44">
        <f t="shared" si="1"/>
        <v>341</v>
      </c>
      <c r="J27" s="45">
        <f t="shared" si="2"/>
        <v>2</v>
      </c>
      <c r="K27" s="46">
        <v>0.833333333333333</v>
      </c>
      <c r="L27" s="47">
        <v>2100</v>
      </c>
      <c r="M27" s="54">
        <v>177.43</v>
      </c>
      <c r="N27" s="49">
        <f t="shared" si="3"/>
        <v>599.999999999795</v>
      </c>
      <c r="O27" s="56"/>
      <c r="P27" s="51"/>
      <c r="Q27" s="52"/>
      <c r="R27" s="52"/>
      <c r="S27" s="52"/>
      <c r="T27" s="52"/>
      <c r="U27" s="53"/>
    </row>
    <row r="28" s="4" customFormat="1" ht="15" customHeight="1" spans="1:21">
      <c r="A28" s="40">
        <v>0.875</v>
      </c>
      <c r="B28" s="41" t="s">
        <v>11</v>
      </c>
      <c r="C28" s="42"/>
      <c r="D28" s="41">
        <v>317</v>
      </c>
      <c r="E28" s="42"/>
      <c r="F28" s="41">
        <v>306</v>
      </c>
      <c r="G28" s="42"/>
      <c r="H28" s="43">
        <f t="shared" si="0"/>
        <v>623</v>
      </c>
      <c r="I28" s="44">
        <f t="shared" si="1"/>
        <v>311.5</v>
      </c>
      <c r="J28" s="45">
        <f t="shared" si="2"/>
        <v>2</v>
      </c>
      <c r="K28" s="46">
        <v>0.875</v>
      </c>
      <c r="L28" s="47">
        <v>1800</v>
      </c>
      <c r="M28" s="54">
        <v>177.48</v>
      </c>
      <c r="N28" s="49">
        <f t="shared" si="3"/>
        <v>600.000000000136</v>
      </c>
      <c r="O28" s="56"/>
      <c r="P28" s="51"/>
      <c r="Q28" s="52"/>
      <c r="R28" s="52"/>
      <c r="S28" s="52"/>
      <c r="T28" s="52"/>
      <c r="U28" s="53"/>
    </row>
    <row r="29" s="3" customFormat="1" ht="15" customHeight="1" spans="1:21">
      <c r="A29" s="40">
        <v>0.916666666666667</v>
      </c>
      <c r="B29" s="41" t="s">
        <v>11</v>
      </c>
      <c r="C29" s="42"/>
      <c r="D29" s="41">
        <v>231</v>
      </c>
      <c r="E29" s="42"/>
      <c r="F29" s="41">
        <v>234</v>
      </c>
      <c r="G29" s="42"/>
      <c r="H29" s="43">
        <f t="shared" si="0"/>
        <v>465</v>
      </c>
      <c r="I29" s="44">
        <f t="shared" si="1"/>
        <v>232.5</v>
      </c>
      <c r="J29" s="45">
        <f t="shared" si="2"/>
        <v>2</v>
      </c>
      <c r="K29" s="46">
        <v>0.916666666666666</v>
      </c>
      <c r="L29" s="47">
        <v>1800</v>
      </c>
      <c r="M29" s="54">
        <v>177.53</v>
      </c>
      <c r="N29" s="49">
        <f t="shared" si="3"/>
        <v>600.000000000136</v>
      </c>
      <c r="O29" s="56"/>
      <c r="P29" s="51"/>
      <c r="Q29" s="52"/>
      <c r="R29" s="52"/>
      <c r="S29" s="52"/>
      <c r="T29" s="52"/>
      <c r="U29" s="53"/>
    </row>
    <row r="30" s="3" customFormat="1" ht="15" customHeight="1" spans="1:21">
      <c r="A30" s="40">
        <v>0.958333333333334</v>
      </c>
      <c r="B30" s="41" t="s">
        <v>11</v>
      </c>
      <c r="C30" s="42"/>
      <c r="D30" s="41">
        <v>267</v>
      </c>
      <c r="E30" s="42"/>
      <c r="F30" s="41">
        <v>261</v>
      </c>
      <c r="G30" s="42"/>
      <c r="H30" s="43">
        <f t="shared" si="0"/>
        <v>528</v>
      </c>
      <c r="I30" s="44">
        <f t="shared" si="1"/>
        <v>264</v>
      </c>
      <c r="J30" s="45">
        <f t="shared" si="2"/>
        <v>2</v>
      </c>
      <c r="K30" s="46">
        <v>0.958333333333333</v>
      </c>
      <c r="L30" s="47">
        <v>1800</v>
      </c>
      <c r="M30" s="54">
        <v>177.58</v>
      </c>
      <c r="N30" s="49">
        <f t="shared" si="3"/>
        <v>599.999999999795</v>
      </c>
      <c r="O30" s="56"/>
      <c r="P30" s="51"/>
      <c r="Q30" s="52"/>
      <c r="R30" s="52"/>
      <c r="S30" s="52"/>
      <c r="T30" s="52"/>
      <c r="U30" s="53"/>
    </row>
    <row r="31" s="2" customFormat="1" ht="15" customHeight="1" spans="1:21">
      <c r="A31" s="57">
        <v>1</v>
      </c>
      <c r="B31" s="41" t="s">
        <v>11</v>
      </c>
      <c r="C31" s="42"/>
      <c r="D31" s="41">
        <v>242</v>
      </c>
      <c r="E31" s="42"/>
      <c r="F31" s="41">
        <v>251</v>
      </c>
      <c r="G31" s="42"/>
      <c r="H31" s="43">
        <f t="shared" si="0"/>
        <v>493</v>
      </c>
      <c r="I31" s="58">
        <f t="shared" si="1"/>
        <v>246.5</v>
      </c>
      <c r="J31" s="59">
        <f t="shared" si="2"/>
        <v>2</v>
      </c>
      <c r="K31" s="60">
        <v>1</v>
      </c>
      <c r="L31" s="47">
        <v>4500</v>
      </c>
      <c r="M31" s="61">
        <v>177.63</v>
      </c>
      <c r="N31" s="49">
        <f>H31</f>
        <v>493</v>
      </c>
      <c r="O31" s="56"/>
      <c r="P31" s="51"/>
      <c r="Q31" s="52"/>
      <c r="R31" s="52"/>
      <c r="S31" s="52"/>
      <c r="T31" s="52"/>
      <c r="U31" s="53"/>
    </row>
    <row r="32" s="3" customFormat="1" ht="23.25" customHeight="1" spans="1:21">
      <c r="A32" s="62" t="s">
        <v>12</v>
      </c>
      <c r="B32" s="63">
        <f>SUM(B8:B31)/1000</f>
        <v>0</v>
      </c>
      <c r="C32" s="64"/>
      <c r="D32" s="63">
        <f>SUM(D8:D31)/1000</f>
        <v>5.84</v>
      </c>
      <c r="E32" s="64"/>
      <c r="F32" s="63">
        <f>SUM(F8:F31)/1000</f>
        <v>5.503</v>
      </c>
      <c r="G32" s="64"/>
      <c r="H32" s="65">
        <f>SUM(H8:H31)</f>
        <v>11343</v>
      </c>
      <c r="I32" s="66" t="s">
        <v>13</v>
      </c>
      <c r="J32" s="67"/>
      <c r="K32" s="68"/>
      <c r="L32" s="69"/>
      <c r="M32" s="70">
        <f>SUM(M31-M8+N8)</f>
        <v>361.000000000014</v>
      </c>
      <c r="N32" s="71">
        <f>SUM(N8:N31)</f>
        <v>12493</v>
      </c>
      <c r="O32" s="72">
        <f>SUM(O8:O31)</f>
        <v>0</v>
      </c>
      <c r="P32" s="73"/>
      <c r="Q32" s="74"/>
      <c r="R32" s="74"/>
      <c r="S32" s="74"/>
      <c r="T32" s="74"/>
      <c r="U32" s="75"/>
    </row>
    <row r="33" ht="15" customHeight="1" spans="1:29">
      <c r="A33" s="76" t="s">
        <v>14</v>
      </c>
      <c r="B33" s="77" t="str">
        <f>IFERROR((AVERAGE(B8:B31)),"0")</f>
        <v>0</v>
      </c>
      <c r="C33" s="78"/>
      <c r="D33" s="79">
        <f>IFERROR((AVERAGE(D8:D31)),"0")</f>
        <v>307.368421052632</v>
      </c>
      <c r="E33" s="78"/>
      <c r="F33" s="79">
        <f>IFERROR((AVERAGE(F8:F31)),"0")</f>
        <v>305.722222222222</v>
      </c>
      <c r="G33" s="80"/>
      <c r="H33" s="81">
        <f>H32*1000</f>
        <v>11343000</v>
      </c>
      <c r="I33" s="82" t="s">
        <v>15</v>
      </c>
      <c r="J33" s="83"/>
      <c r="K33" s="84"/>
      <c r="L33" s="85"/>
      <c r="M33" s="86"/>
      <c r="N33" s="85"/>
      <c r="O33" s="87"/>
      <c r="P33" s="87"/>
      <c r="Q33" s="88"/>
      <c r="R33" s="88"/>
      <c r="S33" s="89"/>
      <c r="T33" s="89"/>
      <c r="U33" s="89"/>
      <c r="V33" s="89"/>
    </row>
    <row r="34" ht="18.75" customHeight="1" spans="1:29">
      <c r="A34" s="90"/>
      <c r="B34" s="91"/>
      <c r="C34" s="92"/>
      <c r="D34" s="93"/>
      <c r="E34" s="92"/>
      <c r="F34" s="93"/>
      <c r="G34" s="94"/>
      <c r="H34" s="95"/>
      <c r="I34" s="96"/>
      <c r="J34" s="97"/>
      <c r="K34" s="98"/>
      <c r="L34" s="85"/>
      <c r="M34" s="86"/>
      <c r="N34" s="99"/>
      <c r="O34" s="99"/>
      <c r="P34" s="99"/>
      <c r="Q34" s="99"/>
      <c r="R34" s="88"/>
      <c r="S34" s="89"/>
      <c r="T34" s="89"/>
      <c r="U34" s="89"/>
      <c r="V34" s="89"/>
    </row>
    <row r="35" ht="22.5" customHeight="1" spans="1:29">
      <c r="A35" s="100" t="s">
        <v>16</v>
      </c>
      <c r="B35" s="101">
        <f>COUNT(B8:B31)</f>
        <v>0</v>
      </c>
      <c r="C35" s="102"/>
      <c r="D35" s="103">
        <f>COUNT(D8:D31)</f>
        <v>19</v>
      </c>
      <c r="E35" s="102"/>
      <c r="F35" s="103">
        <f>COUNT(F8:F31)</f>
        <v>18</v>
      </c>
      <c r="G35" s="104"/>
      <c r="H35" s="105"/>
      <c r="I35" s="106"/>
      <c r="J35" s="107"/>
      <c r="K35" s="107"/>
      <c r="L35" s="107"/>
      <c r="M35" s="107"/>
      <c r="N35" s="99"/>
      <c r="O35" s="99"/>
      <c r="P35" s="99"/>
      <c r="Q35" s="99"/>
      <c r="R35" s="108"/>
      <c r="S35" s="89"/>
      <c r="T35" s="89"/>
      <c r="U35" s="89"/>
      <c r="V35" s="89"/>
    </row>
    <row r="36" ht="9" customHeight="1" spans="1:29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10"/>
      <c r="N36" s="106"/>
      <c r="O36" s="107"/>
      <c r="P36" s="107"/>
      <c r="Q36" s="107"/>
      <c r="R36" s="107"/>
      <c r="S36" s="107"/>
      <c r="T36" s="107"/>
      <c r="U36" s="111"/>
      <c r="V36" s="112"/>
      <c r="W36" s="108"/>
      <c r="X36" s="108"/>
      <c r="Y36" s="108"/>
      <c r="Z36" s="89"/>
      <c r="AA36" s="89"/>
      <c r="AB36" s="89"/>
      <c r="AC36" s="89"/>
    </row>
    <row r="37" ht="24" customHeight="1" spans="1:29">
      <c r="D37" s="113"/>
      <c r="E37" s="113"/>
      <c r="F37" s="113"/>
      <c r="G37" s="113"/>
      <c r="H37" s="113"/>
      <c r="I37" s="113"/>
      <c r="J37" s="113"/>
      <c r="K37" s="114"/>
      <c r="L37" s="114"/>
      <c r="N37" s="115" t="s">
        <v>17</v>
      </c>
      <c r="O37" s="116"/>
      <c r="P37" s="116"/>
      <c r="Q37" s="117"/>
      <c r="R37" s="118">
        <f>SUM(B35:F35)</f>
        <v>37</v>
      </c>
      <c r="S37" s="69"/>
      <c r="T37" s="69"/>
      <c r="U37" s="69"/>
      <c r="V37" s="69"/>
      <c r="X37" s="119"/>
      <c r="Y37" s="119"/>
      <c r="Z37" s="119"/>
      <c r="AA37" s="119"/>
      <c r="AB37" s="119"/>
      <c r="AC37" s="114"/>
    </row>
    <row r="38" ht="15" spans="1:29">
      <c r="D38" s="113"/>
      <c r="E38" s="113"/>
      <c r="F38" s="113"/>
      <c r="G38" s="113"/>
      <c r="H38" s="113"/>
      <c r="I38" s="113"/>
      <c r="J38" s="113"/>
      <c r="K38" s="114"/>
      <c r="L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</row>
    <row r="39" ht="24.75" customHeight="1" spans="1:29">
      <c r="A39" s="120" t="s">
        <v>18</v>
      </c>
      <c r="B39" s="121"/>
      <c r="C39" s="122">
        <f>MAX(H8:H31)</f>
        <v>682</v>
      </c>
      <c r="D39" s="123"/>
      <c r="E39" s="124">
        <f>VLOOKUP(C39,H8:L31,4,FALSE)</f>
        <v>0.833333333333333</v>
      </c>
      <c r="F39" s="125"/>
      <c r="G39" s="125"/>
      <c r="H39" s="126" t="s">
        <v>19</v>
      </c>
      <c r="I39" s="127"/>
      <c r="J39" s="128"/>
      <c r="K39" s="129">
        <f>MAX(J8:J31)</f>
        <v>2</v>
      </c>
      <c r="L39" s="130"/>
      <c r="N39" s="131" t="s">
        <v>20</v>
      </c>
      <c r="O39" s="132"/>
      <c r="P39" s="132"/>
      <c r="Q39" s="133"/>
      <c r="R39" s="134">
        <f>AVERAGE(H8:H31)</f>
        <v>472.625</v>
      </c>
      <c r="S39" s="135"/>
      <c r="T39" s="135"/>
    </row>
    <row r="40" ht="15" spans="1:29">
      <c r="C40" s="136"/>
      <c r="D40" s="137"/>
      <c r="E40" s="138"/>
      <c r="F40" s="138"/>
      <c r="G40" s="138"/>
      <c r="H40" s="138"/>
      <c r="I40" s="139"/>
      <c r="J40" s="106"/>
      <c r="K40" s="110"/>
      <c r="L40" s="110"/>
      <c r="N40" s="140"/>
      <c r="O40" s="140"/>
      <c r="P40" s="140"/>
      <c r="Q40" s="140"/>
      <c r="R40" s="140"/>
      <c r="X40" s="5"/>
      <c r="Y40" s="5"/>
      <c r="Z40" s="5"/>
      <c r="AA40" s="5"/>
      <c r="AB40" s="5"/>
      <c r="AC40" s="141"/>
    </row>
    <row r="41" ht="24.75" customHeight="1" spans="1:29">
      <c r="A41" s="120" t="s">
        <v>21</v>
      </c>
      <c r="B41" s="121"/>
      <c r="C41" s="122">
        <f>MIN(H8:H31)</f>
        <v>370</v>
      </c>
      <c r="D41" s="123"/>
      <c r="E41" s="124">
        <f>VLOOKUP(C41,H8:L31,4,FALSE)</f>
        <v>0.0416666666666667</v>
      </c>
      <c r="F41" s="142"/>
      <c r="G41" s="125"/>
      <c r="H41" s="126" t="s">
        <v>22</v>
      </c>
      <c r="I41" s="127"/>
      <c r="J41" s="128"/>
      <c r="K41" s="129">
        <f>MIN(J8:J31)</f>
        <v>1</v>
      </c>
      <c r="L41" s="130"/>
      <c r="N41" s="126" t="s">
        <v>23</v>
      </c>
      <c r="O41" s="127"/>
      <c r="P41" s="127"/>
      <c r="Q41" s="128"/>
      <c r="R41" s="143">
        <f>AVERAGE(I8:I31)</f>
        <v>330.125</v>
      </c>
      <c r="S41" s="144"/>
      <c r="T41" s="144"/>
      <c r="U41" s="144"/>
      <c r="V41" s="144"/>
      <c r="X41" s="145"/>
    </row>
    <row r="42" ht="15" spans="1:29">
      <c r="D42" s="138"/>
      <c r="E42" s="138"/>
      <c r="F42" s="138"/>
      <c r="G42" s="138"/>
      <c r="H42" s="138"/>
      <c r="I42" s="146"/>
      <c r="J42" s="138"/>
      <c r="K42" s="147"/>
      <c r="L42" s="147"/>
      <c r="V42" s="148"/>
      <c r="W42" s="148"/>
      <c r="X42" s="149"/>
      <c r="Y42" s="149"/>
      <c r="Z42" s="150"/>
      <c r="AA42" s="150"/>
      <c r="AB42" s="150"/>
      <c r="AC42" s="150"/>
    </row>
    <row r="43" ht="24.75" customHeight="1" spans="1:29">
      <c r="C43" s="136"/>
      <c r="H43" s="151"/>
      <c r="I43" s="151"/>
      <c r="J43" s="151"/>
      <c r="K43" s="145"/>
      <c r="L43" s="139"/>
      <c r="N43" s="152" t="s">
        <v>24</v>
      </c>
      <c r="O43" s="153"/>
      <c r="P43" s="153"/>
      <c r="Q43" s="154"/>
      <c r="R43" s="155" t="e">
        <f>AVERAGE(T8:T31)</f>
        <v>#DIV/0!</v>
      </c>
      <c r="X43" s="156"/>
      <c r="Z43" s="157"/>
      <c r="AA43" s="157"/>
      <c r="AB43" s="157"/>
      <c r="AC43" s="157"/>
    </row>
    <row r="44" ht="19.5" spans="1:29">
      <c r="I44" s="158"/>
      <c r="K44" s="159"/>
      <c r="L44" s="159"/>
      <c r="Z44" s="160"/>
      <c r="AA44" s="160"/>
      <c r="AB44" s="160"/>
      <c r="AC44" s="160"/>
    </row>
    <row r="45" ht="24.75" customHeight="1" spans="1:29">
      <c r="D45" s="158"/>
      <c r="E45" s="158"/>
      <c r="F45" s="158"/>
      <c r="G45" s="158"/>
      <c r="H45" s="158"/>
      <c r="N45" s="126" t="s">
        <v>25</v>
      </c>
      <c r="O45" s="127"/>
      <c r="P45" s="127"/>
      <c r="Q45" s="128"/>
      <c r="R45" s="161">
        <f>SUM(M32-H32)/24</f>
        <v>-457.583333333333</v>
      </c>
      <c r="X45" s="162"/>
      <c r="Z45" s="163"/>
      <c r="AA45" s="163"/>
      <c r="AB45" s="163"/>
      <c r="AC45" s="163"/>
    </row>
    <row r="46" spans="1:29">
      <c r="Z46" s="164"/>
      <c r="AA46" s="164"/>
      <c r="AB46" s="164"/>
      <c r="AC46" s="164"/>
    </row>
    <row r="47" spans="1:29">
      <c r="Z47" s="139"/>
      <c r="AA47" s="139"/>
      <c r="AB47" s="139"/>
      <c r="AC47" s="139"/>
    </row>
    <row r="48" spans="1:29">
      <c r="Z48" s="139"/>
      <c r="AA48" s="139"/>
      <c r="AB48" s="139"/>
      <c r="AC48" s="139"/>
    </row>
    <row r="49" spans="11:29">
      <c r="Z49" s="157"/>
      <c r="AA49" s="157"/>
      <c r="AB49" s="157"/>
      <c r="AC49" s="157"/>
    </row>
    <row r="50" spans="11:29">
      <c r="Z50" s="157"/>
      <c r="AA50" s="157"/>
      <c r="AB50" s="157"/>
      <c r="AC50" s="157"/>
    </row>
    <row r="51" spans="11:29">
      <c r="K51" s="150"/>
      <c r="L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0"/>
      <c r="AC51" s="150"/>
    </row>
    <row r="52" spans="11:29">
      <c r="K52" s="150"/>
      <c r="L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  <c r="AB52" s="150"/>
      <c r="AC52" s="150"/>
    </row>
    <row r="53" spans="11:29">
      <c r="K53" s="150"/>
      <c r="L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50"/>
      <c r="AB53" s="150"/>
      <c r="AC53" s="150"/>
    </row>
    <row r="60" spans="11:29">
      <c r="O60" s="165"/>
      <c r="P60" s="165"/>
      <c r="Q60" s="165"/>
      <c r="R60" s="165"/>
      <c r="S60" s="165"/>
      <c r="T60" s="165"/>
    </row>
    <row r="61" spans="11:29">
      <c r="O61" s="165"/>
      <c r="P61" s="165"/>
      <c r="Q61" s="165"/>
      <c r="R61" s="165"/>
      <c r="S61" s="165"/>
      <c r="T61" s="165"/>
    </row>
    <row r="62" spans="11:29">
      <c r="O62" s="165"/>
      <c r="P62" s="165"/>
      <c r="Q62" s="165"/>
      <c r="R62" s="165"/>
      <c r="S62" s="165"/>
      <c r="T62" s="165"/>
    </row>
    <row r="63" spans="11:29">
      <c r="O63" s="165"/>
      <c r="P63" s="165"/>
      <c r="Q63" s="165"/>
      <c r="R63" s="165"/>
      <c r="S63" s="165"/>
      <c r="T63" s="165"/>
    </row>
    <row r="64" spans="11:29">
      <c r="O64" s="165"/>
      <c r="P64" s="165"/>
      <c r="Q64" s="165"/>
      <c r="R64" s="165"/>
      <c r="S64" s="165"/>
      <c r="T64" s="165"/>
    </row>
    <row r="65" spans="15:20">
      <c r="O65" s="165"/>
      <c r="P65" s="165"/>
      <c r="Q65" s="165"/>
      <c r="R65" s="165"/>
      <c r="S65" s="165"/>
      <c r="T65" s="165"/>
    </row>
    <row r="66" spans="15:20">
      <c r="O66" s="165"/>
      <c r="P66" s="165"/>
      <c r="Q66" s="165"/>
      <c r="R66" s="165"/>
      <c r="S66" s="165"/>
      <c r="T66" s="165"/>
    </row>
    <row r="67" spans="15:20">
      <c r="O67" s="165"/>
      <c r="P67" s="165"/>
      <c r="Q67" s="165"/>
      <c r="R67" s="165"/>
      <c r="S67" s="165"/>
      <c r="T67" s="165"/>
    </row>
    <row r="68" spans="15:20">
      <c r="O68" s="165"/>
      <c r="P68" s="165"/>
      <c r="Q68" s="165"/>
      <c r="R68" s="165"/>
      <c r="S68" s="165"/>
      <c r="T68" s="165"/>
    </row>
  </sheetData>
  <mergeCells count="116">
    <mergeCell ref="H4:K4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B29:C29"/>
    <mergeCell ref="D29:E29"/>
    <mergeCell ref="F29:G2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N34:Q34"/>
    <mergeCell ref="B35:C35"/>
    <mergeCell ref="D35:E35"/>
    <mergeCell ref="F35:G35"/>
    <mergeCell ref="N35:Q35"/>
    <mergeCell ref="N37:Q37"/>
    <mergeCell ref="A39:B39"/>
    <mergeCell ref="C39:D39"/>
    <mergeCell ref="H39:J39"/>
    <mergeCell ref="N39:Q39"/>
    <mergeCell ref="A41:B41"/>
    <mergeCell ref="C41:D41"/>
    <mergeCell ref="H41:J41"/>
    <mergeCell ref="N41:Q41"/>
    <mergeCell ref="H43:J43"/>
    <mergeCell ref="N43:Q43"/>
    <mergeCell ref="N45:Q45"/>
    <mergeCell ref="A6:A7"/>
    <mergeCell ref="A33:A34"/>
    <mergeCell ref="H6:H7"/>
    <mergeCell ref="H33:H34"/>
    <mergeCell ref="I6:I7"/>
    <mergeCell ref="I33:I34"/>
    <mergeCell ref="J6:J7"/>
    <mergeCell ref="K6:K7"/>
    <mergeCell ref="L6:L7"/>
    <mergeCell ref="M6:M7"/>
    <mergeCell ref="N6:N7"/>
    <mergeCell ref="O6:O7"/>
    <mergeCell ref="T6:T7"/>
    <mergeCell ref="U6:U7"/>
    <mergeCell ref="B33:C34"/>
    <mergeCell ref="D33:E34"/>
    <mergeCell ref="F33:G34"/>
  </mergeCells>
  <conditionalFormatting sqref="O8">
    <cfRule type="cellIs" dxfId="0" priority="10" operator="equal">
      <formula>"N/A"</formula>
    </cfRule>
  </conditionalFormatting>
  <conditionalFormatting sqref="A30">
    <cfRule type="cellIs" dxfId="1" priority="11" operator="equal">
      <formula>"STB"</formula>
    </cfRule>
    <cfRule type="cellIs" dxfId="0" priority="12" operator="equal">
      <formula>"BD"</formula>
    </cfRule>
  </conditionalFormatting>
  <conditionalFormatting sqref="B8:B31">
    <cfRule type="cellIs" dxfId="1" priority="1" operator="equal">
      <formula>"STB"</formula>
    </cfRule>
    <cfRule type="cellIs" dxfId="0" priority="2" operator="equal">
      <formula>"BD"</formula>
    </cfRule>
  </conditionalFormatting>
  <conditionalFormatting sqref="D8:D31">
    <cfRule type="cellIs" dxfId="1" priority="8" operator="equal">
      <formula>"STB"</formula>
    </cfRule>
    <cfRule type="cellIs" dxfId="0" priority="9" operator="equal">
      <formula>"BD"</formula>
    </cfRule>
  </conditionalFormatting>
  <conditionalFormatting sqref="F8:F31">
    <cfRule type="cellIs" dxfId="1" priority="3" operator="equal">
      <formula>"STB"</formula>
    </cfRule>
    <cfRule type="cellIs" dxfId="0" priority="4" operator="equal">
      <formula>"BD"</formula>
    </cfRule>
  </conditionalFormatting>
  <conditionalFormatting sqref="H8:H31">
    <cfRule type="top10" dxfId="2" priority="5" bottom="1" rank="1"/>
    <cfRule type="top10" dxfId="3" priority="6" rank="1"/>
    <cfRule type="cellIs" dxfId="4" priority="7" stopIfTrue="1" operator="equal">
      <formula>28000</formula>
    </cfRule>
  </conditionalFormatting>
  <conditionalFormatting sqref="H32:H33">
    <cfRule type="top10" dxfId="2" priority="14" bottom="1" rank="1"/>
    <cfRule type="top10" dxfId="3" priority="15" rank="1"/>
    <cfRule type="cellIs" dxfId="4" priority="17" stopIfTrue="1" operator="equal">
      <formula>28000</formula>
    </cfRule>
  </conditionalFormatting>
  <conditionalFormatting sqref="Y8:Y31">
    <cfRule type="containsText" dxfId="5" priority="13" operator="between" text="-">
      <formula>NOT(ISERROR(SEARCH("-",Y8)))</formula>
    </cfRule>
  </conditionalFormatting>
  <conditionalFormatting sqref="N8 N9:O31">
    <cfRule type="cellIs" dxfId="0" priority="16" operator="equal">
      <formula>"BD"</formula>
    </cfRule>
  </conditionalFormatting>
  <pageMargins left="0.7" right="0.7" top="0.75" bottom="0.75" header="0.3" footer="0.3"/>
  <pageSetup paperSize="1" orientation="portrait" verticalDpi="360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C68"/>
  <sheetViews>
    <sheetView zoomScale="80" zoomScaleNormal="80" workbookViewId="0">
      <pane ySplit="7" topLeftCell="A16" activePane="bottomLeft" state="frozen"/>
      <selection/>
      <selection pane="bottomLeft" activeCell="A3" sqref="$A3:$XFD3"/>
    </sheetView>
  </sheetViews>
  <sheetFormatPr defaultColWidth="8.81666666666667" defaultRowHeight="14.25"/>
  <cols>
    <col min="1" max="1" width="16.725" customWidth="1"/>
    <col min="2" max="2" width="8.725" customWidth="1"/>
    <col min="3" max="7" width="5.725" customWidth="1"/>
    <col min="8" max="8" width="14.2666666666667" customWidth="1"/>
    <col min="9" max="9" width="15.1833333333333" customWidth="1"/>
    <col min="10" max="10" width="15.5416666666667" customWidth="1"/>
    <col min="11" max="11" width="7" customWidth="1"/>
    <col min="12" max="12" width="8.54166666666667" customWidth="1"/>
    <col min="13" max="13" width="11.725" style="5" customWidth="1"/>
    <col min="14" max="14" width="17.1833333333333" customWidth="1"/>
    <col min="15" max="15" width="15.45" customWidth="1"/>
    <col min="16" max="16" width="7.45" customWidth="1"/>
    <col min="17" max="17" width="9.54166666666667" customWidth="1"/>
    <col min="18" max="18" width="10" customWidth="1"/>
    <col min="19" max="20" width="9.81666666666667" customWidth="1"/>
    <col min="21" max="21" width="6.725" customWidth="1"/>
    <col min="22" max="22" width="13.8166666666667" customWidth="1"/>
    <col min="23" max="23" width="11.2666666666667" customWidth="1"/>
    <col min="24" max="24" width="9.26666666666667" customWidth="1"/>
    <col min="25" max="25" width="3.725" customWidth="1"/>
    <col min="26" max="29" width="7.725" customWidth="1"/>
    <col min="30" max="30" width="6.725" customWidth="1"/>
  </cols>
  <sheetData>
    <row r="1" ht="3" customHeight="1"/>
    <row r="2" ht="6" customHeight="1" spans="1:2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="1" customFormat="1" ht="6.75" customHeight="1" spans="1:29">
      <c r="K3" s="7"/>
      <c r="L3" s="8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17.25" customHeight="1" spans="1:29">
      <c r="A4" s="1"/>
      <c r="B4" s="10"/>
      <c r="C4" s="10"/>
      <c r="D4" s="10"/>
      <c r="E4" s="11"/>
      <c r="F4" s="11"/>
      <c r="G4" s="11"/>
      <c r="H4" s="12">
        <f>'[23]Taniwel daily'!C4</f>
        <v>45314</v>
      </c>
      <c r="I4" s="13"/>
      <c r="J4" s="13"/>
      <c r="K4" s="14"/>
      <c r="L4" s="15"/>
      <c r="M4" s="16"/>
      <c r="N4" s="10"/>
      <c r="O4" s="10"/>
      <c r="P4" s="10"/>
      <c r="Q4" s="10"/>
      <c r="R4" s="10"/>
      <c r="S4" s="10"/>
      <c r="T4" s="10"/>
      <c r="U4" s="10"/>
      <c r="V4" s="7"/>
      <c r="W4" s="7"/>
      <c r="X4" s="7"/>
      <c r="Y4" s="7"/>
      <c r="Z4" s="7"/>
      <c r="AA4" s="7"/>
      <c r="AB4" s="7"/>
      <c r="AC4" s="7"/>
    </row>
    <row r="5" ht="7.5" customHeight="1" spans="1:29">
      <c r="A5" s="1"/>
      <c r="B5" s="17"/>
      <c r="C5" s="1"/>
      <c r="D5" s="1"/>
      <c r="E5" s="1"/>
      <c r="F5" s="1"/>
      <c r="G5" s="1"/>
      <c r="H5" s="1"/>
      <c r="I5" s="1"/>
      <c r="J5" s="1"/>
      <c r="K5" s="18"/>
      <c r="L5" s="7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ht="17.25" customHeight="1" spans="1:29">
      <c r="A6" s="19" t="s">
        <v>0</v>
      </c>
      <c r="B6" s="20" t="s">
        <v>1</v>
      </c>
      <c r="C6" s="21"/>
      <c r="D6" s="20" t="s">
        <v>2</v>
      </c>
      <c r="E6" s="21"/>
      <c r="F6" s="20" t="s">
        <v>3</v>
      </c>
      <c r="G6" s="21"/>
      <c r="H6" s="22" t="s">
        <v>4</v>
      </c>
      <c r="I6" s="22" t="s">
        <v>5</v>
      </c>
      <c r="J6" s="23" t="s">
        <v>6</v>
      </c>
      <c r="K6" s="19" t="s">
        <v>0</v>
      </c>
      <c r="L6" s="24" t="s">
        <v>7</v>
      </c>
      <c r="M6" s="25" t="s">
        <v>8</v>
      </c>
      <c r="N6" s="26" t="s">
        <v>9</v>
      </c>
      <c r="O6" s="25" t="s">
        <v>10</v>
      </c>
      <c r="P6" s="27"/>
      <c r="Q6" s="28"/>
      <c r="R6" s="28"/>
      <c r="S6" s="28"/>
      <c r="T6" s="28"/>
      <c r="U6" s="29"/>
    </row>
    <row r="7" ht="15.75" customHeight="1" spans="1:29">
      <c r="A7" s="30"/>
      <c r="B7" s="31">
        <v>1</v>
      </c>
      <c r="C7" s="32"/>
      <c r="D7" s="31">
        <v>2</v>
      </c>
      <c r="E7" s="32"/>
      <c r="F7" s="31">
        <v>3</v>
      </c>
      <c r="G7" s="32"/>
      <c r="H7" s="33"/>
      <c r="I7" s="33"/>
      <c r="J7" s="34"/>
      <c r="K7" s="30"/>
      <c r="L7" s="35"/>
      <c r="M7" s="36"/>
      <c r="N7" s="37"/>
      <c r="O7" s="38"/>
      <c r="P7" s="27"/>
      <c r="Q7" s="28"/>
      <c r="R7" s="28"/>
      <c r="S7" s="28"/>
      <c r="T7" s="28"/>
      <c r="U7" s="29"/>
      <c r="X7" s="39"/>
    </row>
    <row r="8" s="2" customFormat="1" ht="15" customHeight="1" spans="1:29">
      <c r="A8" s="40">
        <v>0.0416666666666666</v>
      </c>
      <c r="B8" s="41" t="s">
        <v>11</v>
      </c>
      <c r="C8" s="42"/>
      <c r="D8" s="41">
        <v>238</v>
      </c>
      <c r="E8" s="42"/>
      <c r="F8" s="41">
        <v>243</v>
      </c>
      <c r="G8" s="42"/>
      <c r="H8" s="43">
        <f t="shared" ref="H8:H31" si="0">IF(SUM(B8:G8)/1000=0,"0",SUM(B8:G8))</f>
        <v>481</v>
      </c>
      <c r="I8" s="44">
        <f t="shared" ref="I8:I31" si="1">IFERROR(AVERAGE(B8:G8),"0")</f>
        <v>240.5</v>
      </c>
      <c r="J8" s="45">
        <f t="shared" ref="J8:J31" si="2">COUNT(B8:G8)</f>
        <v>2</v>
      </c>
      <c r="K8" s="46">
        <v>0.0416666666666667</v>
      </c>
      <c r="L8" s="47">
        <v>4500</v>
      </c>
      <c r="M8" s="48">
        <v>177.66</v>
      </c>
      <c r="N8" s="49">
        <f>(M9-M8)*12000</f>
        <v>600.000000000136</v>
      </c>
      <c r="O8" s="50"/>
      <c r="P8" s="51"/>
      <c r="Q8" s="52"/>
      <c r="R8" s="52"/>
      <c r="S8" s="52"/>
      <c r="T8" s="52"/>
      <c r="U8" s="53"/>
    </row>
    <row r="9" s="3" customFormat="1" ht="15" customHeight="1" spans="1:29">
      <c r="A9" s="40">
        <v>0.0833333333333333</v>
      </c>
      <c r="B9" s="41" t="s">
        <v>11</v>
      </c>
      <c r="C9" s="42"/>
      <c r="D9" s="41">
        <v>211</v>
      </c>
      <c r="E9" s="42"/>
      <c r="F9" s="41">
        <v>241</v>
      </c>
      <c r="G9" s="42"/>
      <c r="H9" s="43">
        <f t="shared" si="0"/>
        <v>452</v>
      </c>
      <c r="I9" s="44">
        <f t="shared" si="1"/>
        <v>226</v>
      </c>
      <c r="J9" s="45">
        <f t="shared" si="2"/>
        <v>2</v>
      </c>
      <c r="K9" s="46">
        <v>0.0833333333333333</v>
      </c>
      <c r="L9" s="47">
        <v>4200</v>
      </c>
      <c r="M9" s="54">
        <v>177.71</v>
      </c>
      <c r="N9" s="49">
        <f t="shared" ref="N9:N30" si="3">(M10-M9)*12000</f>
        <v>239.999999999782</v>
      </c>
      <c r="O9" s="55"/>
      <c r="P9" s="51"/>
      <c r="Q9" s="52"/>
      <c r="R9" s="52"/>
      <c r="S9" s="52"/>
      <c r="T9" s="52"/>
      <c r="U9" s="53"/>
    </row>
    <row r="10" s="3" customFormat="1" ht="15" customHeight="1" spans="1:29">
      <c r="A10" s="40">
        <v>0.125</v>
      </c>
      <c r="B10" s="41" t="s">
        <v>11</v>
      </c>
      <c r="C10" s="42"/>
      <c r="D10" s="41" t="s">
        <v>26</v>
      </c>
      <c r="E10" s="42"/>
      <c r="F10" s="41">
        <v>185</v>
      </c>
      <c r="G10" s="42"/>
      <c r="H10" s="43">
        <f t="shared" si="0"/>
        <v>185</v>
      </c>
      <c r="I10" s="44">
        <f t="shared" si="1"/>
        <v>185</v>
      </c>
      <c r="J10" s="45">
        <f t="shared" si="2"/>
        <v>1</v>
      </c>
      <c r="K10" s="46">
        <v>0.125</v>
      </c>
      <c r="L10" s="47">
        <v>4200</v>
      </c>
      <c r="M10" s="54">
        <v>177.73</v>
      </c>
      <c r="N10" s="49">
        <f t="shared" si="3"/>
        <v>360.000000000014</v>
      </c>
      <c r="O10" s="56"/>
      <c r="P10" s="51"/>
      <c r="Q10" s="52"/>
      <c r="R10" s="52"/>
      <c r="S10" s="52"/>
      <c r="T10" s="52"/>
      <c r="U10" s="53"/>
    </row>
    <row r="11" s="3" customFormat="1" ht="15" customHeight="1" spans="1:29">
      <c r="A11" s="40">
        <v>0.166666666666667</v>
      </c>
      <c r="B11" s="41" t="s">
        <v>11</v>
      </c>
      <c r="C11" s="42"/>
      <c r="D11" s="41" t="s">
        <v>26</v>
      </c>
      <c r="E11" s="42"/>
      <c r="F11" s="41">
        <v>371</v>
      </c>
      <c r="G11" s="42"/>
      <c r="H11" s="43">
        <f t="shared" si="0"/>
        <v>371</v>
      </c>
      <c r="I11" s="44">
        <f t="shared" si="1"/>
        <v>371</v>
      </c>
      <c r="J11" s="45">
        <f t="shared" si="2"/>
        <v>1</v>
      </c>
      <c r="K11" s="46">
        <v>0.166666666666667</v>
      </c>
      <c r="L11" s="47">
        <v>4000</v>
      </c>
      <c r="M11" s="54">
        <v>177.76</v>
      </c>
      <c r="N11" s="49">
        <f t="shared" si="3"/>
        <v>480.000000000246</v>
      </c>
      <c r="O11" s="56"/>
      <c r="P11" s="51"/>
      <c r="Q11" s="52"/>
      <c r="R11" s="52"/>
      <c r="S11" s="52"/>
      <c r="T11" s="52"/>
      <c r="U11" s="53"/>
    </row>
    <row r="12" s="3" customFormat="1" ht="15" customHeight="1" spans="1:29">
      <c r="A12" s="40">
        <v>0.208333333333333</v>
      </c>
      <c r="B12" s="41" t="s">
        <v>11</v>
      </c>
      <c r="C12" s="42"/>
      <c r="D12" s="41">
        <v>234</v>
      </c>
      <c r="E12" s="42"/>
      <c r="F12" s="41">
        <v>233</v>
      </c>
      <c r="G12" s="42"/>
      <c r="H12" s="43">
        <f t="shared" si="0"/>
        <v>467</v>
      </c>
      <c r="I12" s="44">
        <f t="shared" si="1"/>
        <v>233.5</v>
      </c>
      <c r="J12" s="45">
        <f t="shared" si="2"/>
        <v>2</v>
      </c>
      <c r="K12" s="46">
        <v>0.208333333333333</v>
      </c>
      <c r="L12" s="47">
        <v>3900</v>
      </c>
      <c r="M12" s="54">
        <v>177.8</v>
      </c>
      <c r="N12" s="49">
        <f t="shared" si="3"/>
        <v>599.999999999795</v>
      </c>
      <c r="O12" s="56"/>
      <c r="P12" s="51"/>
      <c r="Q12" s="52"/>
      <c r="R12" s="52"/>
      <c r="S12" s="52"/>
      <c r="T12" s="52"/>
      <c r="U12" s="53"/>
    </row>
    <row r="13" s="3" customFormat="1" ht="15" customHeight="1" spans="1:29">
      <c r="A13" s="40">
        <v>0.25</v>
      </c>
      <c r="B13" s="41" t="s">
        <v>11</v>
      </c>
      <c r="C13" s="42"/>
      <c r="D13" s="41">
        <v>245</v>
      </c>
      <c r="E13" s="42"/>
      <c r="F13" s="41">
        <v>259</v>
      </c>
      <c r="G13" s="42"/>
      <c r="H13" s="43">
        <f t="shared" si="0"/>
        <v>504</v>
      </c>
      <c r="I13" s="44">
        <f t="shared" si="1"/>
        <v>252</v>
      </c>
      <c r="J13" s="45">
        <f t="shared" si="2"/>
        <v>2</v>
      </c>
      <c r="K13" s="46">
        <v>0.25</v>
      </c>
      <c r="L13" s="47">
        <v>3600</v>
      </c>
      <c r="M13" s="54">
        <v>177.85</v>
      </c>
      <c r="N13" s="49">
        <f t="shared" si="3"/>
        <v>479.999999999905</v>
      </c>
      <c r="O13" s="56"/>
      <c r="P13" s="51"/>
      <c r="Q13" s="52"/>
      <c r="R13" s="52"/>
      <c r="S13" s="52"/>
      <c r="T13" s="52"/>
      <c r="U13" s="53"/>
    </row>
    <row r="14" s="3" customFormat="1" ht="15" customHeight="1" spans="1:29">
      <c r="A14" s="40">
        <v>0.291666666666667</v>
      </c>
      <c r="B14" s="41" t="s">
        <v>11</v>
      </c>
      <c r="C14" s="42"/>
      <c r="D14" s="41">
        <v>282</v>
      </c>
      <c r="E14" s="42"/>
      <c r="F14" s="41">
        <v>267</v>
      </c>
      <c r="G14" s="42"/>
      <c r="H14" s="43">
        <f t="shared" si="0"/>
        <v>549</v>
      </c>
      <c r="I14" s="44">
        <f t="shared" si="1"/>
        <v>274.5</v>
      </c>
      <c r="J14" s="45">
        <f t="shared" si="2"/>
        <v>2</v>
      </c>
      <c r="K14" s="46">
        <v>0.291666666666667</v>
      </c>
      <c r="L14" s="47">
        <v>3600</v>
      </c>
      <c r="M14" s="54">
        <v>177.89</v>
      </c>
      <c r="N14" s="49">
        <f t="shared" si="3"/>
        <v>600.000000000136</v>
      </c>
      <c r="O14" s="56"/>
      <c r="P14" s="51"/>
      <c r="Q14" s="52"/>
      <c r="R14" s="52"/>
      <c r="S14" s="52"/>
      <c r="T14" s="52"/>
      <c r="U14" s="53"/>
    </row>
    <row r="15" s="3" customFormat="1" ht="15" customHeight="1" spans="1:29">
      <c r="A15" s="40">
        <v>0.333333333333333</v>
      </c>
      <c r="B15" s="41" t="s">
        <v>11</v>
      </c>
      <c r="C15" s="42"/>
      <c r="D15" s="41">
        <v>261</v>
      </c>
      <c r="E15" s="42"/>
      <c r="F15" s="41">
        <v>233</v>
      </c>
      <c r="G15" s="42"/>
      <c r="H15" s="43">
        <f t="shared" si="0"/>
        <v>494</v>
      </c>
      <c r="I15" s="44">
        <f t="shared" si="1"/>
        <v>247</v>
      </c>
      <c r="J15" s="45">
        <f t="shared" si="2"/>
        <v>2</v>
      </c>
      <c r="K15" s="46">
        <v>0.333333333333333</v>
      </c>
      <c r="L15" s="47">
        <v>3600</v>
      </c>
      <c r="M15" s="54">
        <v>177.94</v>
      </c>
      <c r="N15" s="49">
        <f t="shared" si="3"/>
        <v>600.000000000136</v>
      </c>
      <c r="O15" s="56"/>
      <c r="P15" s="51"/>
      <c r="Q15" s="52"/>
      <c r="R15" s="52"/>
      <c r="S15" s="52"/>
      <c r="T15" s="52"/>
      <c r="U15" s="53"/>
    </row>
    <row r="16" s="3" customFormat="1" ht="15" customHeight="1" spans="1:29">
      <c r="A16" s="40">
        <v>0.375</v>
      </c>
      <c r="B16" s="41" t="s">
        <v>11</v>
      </c>
      <c r="C16" s="42"/>
      <c r="D16" s="41">
        <v>235</v>
      </c>
      <c r="E16" s="42"/>
      <c r="F16" s="41">
        <v>235</v>
      </c>
      <c r="G16" s="42"/>
      <c r="H16" s="43">
        <f t="shared" si="0"/>
        <v>470</v>
      </c>
      <c r="I16" s="44">
        <f t="shared" si="1"/>
        <v>235</v>
      </c>
      <c r="J16" s="45">
        <f t="shared" si="2"/>
        <v>2</v>
      </c>
      <c r="K16" s="46">
        <v>0.375</v>
      </c>
      <c r="L16" s="47">
        <v>3600</v>
      </c>
      <c r="M16" s="54">
        <v>177.99</v>
      </c>
      <c r="N16" s="49">
        <f t="shared" si="3"/>
        <v>479.999999999905</v>
      </c>
      <c r="O16" s="56"/>
      <c r="P16" s="51"/>
      <c r="Q16" s="52"/>
      <c r="R16" s="52"/>
      <c r="S16" s="52"/>
      <c r="T16" s="52"/>
      <c r="U16" s="53"/>
    </row>
    <row r="17" s="3" customFormat="1" ht="15" customHeight="1" spans="1:21">
      <c r="A17" s="40">
        <v>0.416666666666667</v>
      </c>
      <c r="B17" s="41" t="s">
        <v>11</v>
      </c>
      <c r="C17" s="42"/>
      <c r="D17" s="41">
        <v>448</v>
      </c>
      <c r="E17" s="42"/>
      <c r="F17" s="41" t="s">
        <v>26</v>
      </c>
      <c r="G17" s="42"/>
      <c r="H17" s="43">
        <f t="shared" si="0"/>
        <v>448</v>
      </c>
      <c r="I17" s="44">
        <f t="shared" si="1"/>
        <v>448</v>
      </c>
      <c r="J17" s="45">
        <f t="shared" si="2"/>
        <v>1</v>
      </c>
      <c r="K17" s="46">
        <v>0.416666666666666</v>
      </c>
      <c r="L17" s="47">
        <v>3400</v>
      </c>
      <c r="M17" s="54">
        <v>178.03</v>
      </c>
      <c r="N17" s="49">
        <f t="shared" si="3"/>
        <v>479.999999999905</v>
      </c>
      <c r="O17" s="56"/>
      <c r="P17" s="51"/>
      <c r="Q17" s="52"/>
      <c r="R17" s="52"/>
      <c r="S17" s="52"/>
      <c r="T17" s="52"/>
      <c r="U17" s="53"/>
    </row>
    <row r="18" s="3" customFormat="1" ht="15" customHeight="1" spans="1:21">
      <c r="A18" s="40">
        <v>0.458333333333333</v>
      </c>
      <c r="B18" s="41" t="s">
        <v>11</v>
      </c>
      <c r="C18" s="42"/>
      <c r="D18" s="41">
        <v>444</v>
      </c>
      <c r="E18" s="42"/>
      <c r="F18" s="41" t="s">
        <v>26</v>
      </c>
      <c r="G18" s="42"/>
      <c r="H18" s="43">
        <f t="shared" si="0"/>
        <v>444</v>
      </c>
      <c r="I18" s="44">
        <f t="shared" si="1"/>
        <v>444</v>
      </c>
      <c r="J18" s="45">
        <f t="shared" si="2"/>
        <v>1</v>
      </c>
      <c r="K18" s="46">
        <v>0.458333333333333</v>
      </c>
      <c r="L18" s="47">
        <v>3300</v>
      </c>
      <c r="M18" s="54">
        <v>178.07</v>
      </c>
      <c r="N18" s="49">
        <f t="shared" si="3"/>
        <v>480.000000000246</v>
      </c>
      <c r="O18" s="56"/>
      <c r="P18" s="51"/>
      <c r="Q18" s="52"/>
      <c r="R18" s="52"/>
      <c r="S18" s="52"/>
      <c r="T18" s="52"/>
      <c r="U18" s="53"/>
    </row>
    <row r="19" s="3" customFormat="1" ht="15" customHeight="1" spans="1:21">
      <c r="A19" s="40">
        <v>0.5</v>
      </c>
      <c r="B19" s="41" t="s">
        <v>11</v>
      </c>
      <c r="C19" s="42"/>
      <c r="D19" s="41">
        <v>341</v>
      </c>
      <c r="E19" s="42"/>
      <c r="F19" s="41" t="s">
        <v>26</v>
      </c>
      <c r="G19" s="42"/>
      <c r="H19" s="43">
        <f t="shared" si="0"/>
        <v>341</v>
      </c>
      <c r="I19" s="44">
        <f t="shared" si="1"/>
        <v>341</v>
      </c>
      <c r="J19" s="45">
        <f t="shared" si="2"/>
        <v>1</v>
      </c>
      <c r="K19" s="46">
        <v>0.5</v>
      </c>
      <c r="L19" s="47">
        <v>3300</v>
      </c>
      <c r="M19" s="54">
        <v>178.11</v>
      </c>
      <c r="N19" s="49">
        <f t="shared" si="3"/>
        <v>479.999999999905</v>
      </c>
      <c r="O19" s="56"/>
      <c r="P19" s="51"/>
      <c r="Q19" s="52"/>
      <c r="R19" s="52"/>
      <c r="S19" s="52"/>
      <c r="T19" s="52"/>
      <c r="U19" s="53"/>
    </row>
    <row r="20" s="3" customFormat="1" ht="15" customHeight="1" spans="1:21">
      <c r="A20" s="40">
        <v>0.541666666666667</v>
      </c>
      <c r="B20" s="41" t="s">
        <v>11</v>
      </c>
      <c r="C20" s="42"/>
      <c r="D20" s="41" t="s">
        <v>26</v>
      </c>
      <c r="E20" s="42"/>
      <c r="F20" s="41">
        <v>441</v>
      </c>
      <c r="G20" s="42"/>
      <c r="H20" s="43">
        <f t="shared" si="0"/>
        <v>441</v>
      </c>
      <c r="I20" s="44">
        <f t="shared" si="1"/>
        <v>441</v>
      </c>
      <c r="J20" s="45">
        <f t="shared" si="2"/>
        <v>1</v>
      </c>
      <c r="K20" s="46">
        <v>0.541666666666667</v>
      </c>
      <c r="L20" s="47">
        <v>3000</v>
      </c>
      <c r="M20" s="54">
        <v>178.15</v>
      </c>
      <c r="N20" s="49">
        <f t="shared" si="3"/>
        <v>479.999999999905</v>
      </c>
      <c r="O20" s="56"/>
      <c r="P20" s="51"/>
      <c r="Q20" s="52"/>
      <c r="R20" s="52"/>
      <c r="S20" s="52"/>
      <c r="T20" s="52"/>
      <c r="U20" s="53"/>
    </row>
    <row r="21" s="3" customFormat="1" ht="15" customHeight="1" spans="1:21">
      <c r="A21" s="40">
        <v>0.583333333333333</v>
      </c>
      <c r="B21" s="41" t="s">
        <v>11</v>
      </c>
      <c r="C21" s="42"/>
      <c r="D21" s="41" t="s">
        <v>26</v>
      </c>
      <c r="E21" s="42"/>
      <c r="F21" s="41">
        <v>430</v>
      </c>
      <c r="G21" s="42"/>
      <c r="H21" s="43">
        <f t="shared" si="0"/>
        <v>430</v>
      </c>
      <c r="I21" s="44">
        <f t="shared" si="1"/>
        <v>430</v>
      </c>
      <c r="J21" s="45">
        <f t="shared" si="2"/>
        <v>1</v>
      </c>
      <c r="K21" s="46">
        <v>0.583333333333333</v>
      </c>
      <c r="L21" s="47">
        <v>3000</v>
      </c>
      <c r="M21" s="54">
        <v>178.19</v>
      </c>
      <c r="N21" s="49">
        <f t="shared" si="3"/>
        <v>479.999999999905</v>
      </c>
      <c r="O21" s="56"/>
      <c r="P21" s="51"/>
      <c r="Q21" s="52"/>
      <c r="R21" s="52"/>
      <c r="S21" s="52"/>
      <c r="T21" s="52"/>
      <c r="U21" s="53"/>
    </row>
    <row r="22" s="3" customFormat="1" ht="15" customHeight="1" spans="1:21">
      <c r="A22" s="40">
        <v>0.625</v>
      </c>
      <c r="B22" s="41" t="s">
        <v>11</v>
      </c>
      <c r="C22" s="42"/>
      <c r="D22" s="41" t="s">
        <v>26</v>
      </c>
      <c r="E22" s="42"/>
      <c r="F22" s="41">
        <v>400</v>
      </c>
      <c r="G22" s="42"/>
      <c r="H22" s="43">
        <f t="shared" si="0"/>
        <v>400</v>
      </c>
      <c r="I22" s="44">
        <f t="shared" si="1"/>
        <v>400</v>
      </c>
      <c r="J22" s="45">
        <f t="shared" si="2"/>
        <v>1</v>
      </c>
      <c r="K22" s="46">
        <v>0.625</v>
      </c>
      <c r="L22" s="47">
        <v>3000</v>
      </c>
      <c r="M22" s="54">
        <v>178.23</v>
      </c>
      <c r="N22" s="49">
        <f t="shared" si="3"/>
        <v>480.000000000246</v>
      </c>
      <c r="O22" s="56"/>
      <c r="P22" s="51"/>
      <c r="Q22" s="52"/>
      <c r="R22" s="52"/>
      <c r="S22" s="52"/>
      <c r="T22" s="52"/>
      <c r="U22" s="53"/>
    </row>
    <row r="23" s="3" customFormat="1" ht="15" customHeight="1" spans="1:21">
      <c r="A23" s="40">
        <v>0.666666666666667</v>
      </c>
      <c r="B23" s="41" t="s">
        <v>11</v>
      </c>
      <c r="C23" s="42"/>
      <c r="D23" s="41" t="s">
        <v>26</v>
      </c>
      <c r="E23" s="42"/>
      <c r="F23" s="41">
        <v>394</v>
      </c>
      <c r="G23" s="42"/>
      <c r="H23" s="43">
        <f t="shared" si="0"/>
        <v>394</v>
      </c>
      <c r="I23" s="44">
        <f t="shared" si="1"/>
        <v>394</v>
      </c>
      <c r="J23" s="45">
        <f t="shared" si="2"/>
        <v>1</v>
      </c>
      <c r="K23" s="46">
        <v>0.666666666666666</v>
      </c>
      <c r="L23" s="47">
        <v>3000</v>
      </c>
      <c r="M23" s="54">
        <v>178.27</v>
      </c>
      <c r="N23" s="49">
        <f t="shared" si="3"/>
        <v>360.000000000014</v>
      </c>
      <c r="O23" s="56"/>
      <c r="P23" s="51"/>
      <c r="Q23" s="52"/>
      <c r="R23" s="52"/>
      <c r="S23" s="52"/>
      <c r="T23" s="52"/>
      <c r="U23" s="53"/>
    </row>
    <row r="24" s="3" customFormat="1" ht="15" customHeight="1" spans="1:21">
      <c r="A24" s="40">
        <v>0.708333333333334</v>
      </c>
      <c r="B24" s="41" t="s">
        <v>11</v>
      </c>
      <c r="C24" s="42"/>
      <c r="D24" s="41" t="s">
        <v>26</v>
      </c>
      <c r="E24" s="42"/>
      <c r="F24" s="41">
        <v>404</v>
      </c>
      <c r="G24" s="42"/>
      <c r="H24" s="43">
        <f t="shared" si="0"/>
        <v>404</v>
      </c>
      <c r="I24" s="44">
        <f t="shared" si="1"/>
        <v>404</v>
      </c>
      <c r="J24" s="45">
        <f t="shared" si="2"/>
        <v>1</v>
      </c>
      <c r="K24" s="46">
        <v>0.708333333333333</v>
      </c>
      <c r="L24" s="47">
        <v>2700</v>
      </c>
      <c r="M24" s="54">
        <v>178.3</v>
      </c>
      <c r="N24" s="49">
        <f t="shared" si="3"/>
        <v>479.999999999905</v>
      </c>
      <c r="O24" s="56"/>
      <c r="P24" s="51"/>
      <c r="Q24" s="52"/>
      <c r="R24" s="52"/>
      <c r="S24" s="52"/>
      <c r="T24" s="52"/>
      <c r="U24" s="53"/>
    </row>
    <row r="25" s="3" customFormat="1" ht="15" customHeight="1" spans="1:21">
      <c r="A25" s="40">
        <v>0.75</v>
      </c>
      <c r="B25" s="41" t="s">
        <v>11</v>
      </c>
      <c r="C25" s="42"/>
      <c r="D25" s="41" t="s">
        <v>26</v>
      </c>
      <c r="E25" s="42"/>
      <c r="F25" s="41">
        <v>443</v>
      </c>
      <c r="G25" s="42"/>
      <c r="H25" s="43">
        <f t="shared" si="0"/>
        <v>443</v>
      </c>
      <c r="I25" s="44">
        <f t="shared" si="1"/>
        <v>443</v>
      </c>
      <c r="J25" s="45">
        <f t="shared" si="2"/>
        <v>1</v>
      </c>
      <c r="K25" s="46">
        <v>0.75</v>
      </c>
      <c r="L25" s="47">
        <v>2400</v>
      </c>
      <c r="M25" s="54">
        <v>178.34</v>
      </c>
      <c r="N25" s="49">
        <f t="shared" si="3"/>
        <v>599.999999999795</v>
      </c>
      <c r="O25" s="56"/>
      <c r="P25" s="51"/>
      <c r="Q25" s="52"/>
      <c r="R25" s="52"/>
      <c r="S25" s="52"/>
      <c r="T25" s="52"/>
      <c r="U25" s="53"/>
    </row>
    <row r="26" s="3" customFormat="1" ht="15" customHeight="1" spans="1:21">
      <c r="A26" s="40">
        <v>0.791666666666667</v>
      </c>
      <c r="B26" s="41" t="s">
        <v>11</v>
      </c>
      <c r="C26" s="42"/>
      <c r="D26" s="41">
        <v>284</v>
      </c>
      <c r="E26" s="42"/>
      <c r="F26" s="41">
        <v>311</v>
      </c>
      <c r="G26" s="42"/>
      <c r="H26" s="43">
        <f t="shared" si="0"/>
        <v>595</v>
      </c>
      <c r="I26" s="44">
        <f t="shared" si="1"/>
        <v>297.5</v>
      </c>
      <c r="J26" s="45">
        <f t="shared" si="2"/>
        <v>2</v>
      </c>
      <c r="K26" s="46">
        <v>0.791666666666666</v>
      </c>
      <c r="L26" s="47">
        <v>2100</v>
      </c>
      <c r="M26" s="54">
        <v>178.39</v>
      </c>
      <c r="N26" s="49">
        <f t="shared" si="3"/>
        <v>720.000000000027</v>
      </c>
      <c r="O26" s="56"/>
      <c r="P26" s="51"/>
      <c r="Q26" s="52"/>
      <c r="R26" s="52"/>
      <c r="S26" s="52"/>
      <c r="T26" s="52"/>
      <c r="U26" s="53"/>
    </row>
    <row r="27" s="3" customFormat="1" ht="15" customHeight="1" spans="1:21">
      <c r="A27" s="40">
        <v>0.833333333333334</v>
      </c>
      <c r="B27" s="41" t="s">
        <v>11</v>
      </c>
      <c r="C27" s="42"/>
      <c r="D27" s="41">
        <v>321</v>
      </c>
      <c r="E27" s="42"/>
      <c r="F27" s="41">
        <v>327</v>
      </c>
      <c r="G27" s="42"/>
      <c r="H27" s="43">
        <f t="shared" si="0"/>
        <v>648</v>
      </c>
      <c r="I27" s="44">
        <f t="shared" si="1"/>
        <v>324</v>
      </c>
      <c r="J27" s="45">
        <f t="shared" si="2"/>
        <v>2</v>
      </c>
      <c r="K27" s="46">
        <v>0.833333333333333</v>
      </c>
      <c r="L27" s="47">
        <v>2100</v>
      </c>
      <c r="M27" s="54">
        <v>178.45</v>
      </c>
      <c r="N27" s="49">
        <f t="shared" si="3"/>
        <v>720.000000000027</v>
      </c>
      <c r="O27" s="56"/>
      <c r="P27" s="51"/>
      <c r="Q27" s="52"/>
      <c r="R27" s="52"/>
      <c r="S27" s="52"/>
      <c r="T27" s="52"/>
      <c r="U27" s="53"/>
    </row>
    <row r="28" s="4" customFormat="1" ht="15" customHeight="1" spans="1:21">
      <c r="A28" s="40">
        <v>0.875</v>
      </c>
      <c r="B28" s="41" t="s">
        <v>11</v>
      </c>
      <c r="C28" s="42"/>
      <c r="D28" s="41">
        <v>300</v>
      </c>
      <c r="E28" s="42"/>
      <c r="F28" s="41">
        <v>301</v>
      </c>
      <c r="G28" s="42"/>
      <c r="H28" s="43">
        <f t="shared" si="0"/>
        <v>601</v>
      </c>
      <c r="I28" s="44">
        <f t="shared" si="1"/>
        <v>300.5</v>
      </c>
      <c r="J28" s="45">
        <f t="shared" si="2"/>
        <v>2</v>
      </c>
      <c r="K28" s="46">
        <v>0.875</v>
      </c>
      <c r="L28" s="47">
        <v>1800</v>
      </c>
      <c r="M28" s="54">
        <v>178.51</v>
      </c>
      <c r="N28" s="49">
        <f t="shared" si="3"/>
        <v>720.000000000027</v>
      </c>
      <c r="O28" s="56"/>
      <c r="P28" s="51"/>
      <c r="Q28" s="52"/>
      <c r="R28" s="52"/>
      <c r="S28" s="52"/>
      <c r="T28" s="52"/>
      <c r="U28" s="53"/>
    </row>
    <row r="29" s="3" customFormat="1" ht="15" customHeight="1" spans="1:21">
      <c r="A29" s="40">
        <v>0.916666666666667</v>
      </c>
      <c r="B29" s="41" t="s">
        <v>11</v>
      </c>
      <c r="C29" s="42"/>
      <c r="D29" s="41">
        <v>277</v>
      </c>
      <c r="E29" s="42"/>
      <c r="F29" s="41">
        <v>335</v>
      </c>
      <c r="G29" s="42"/>
      <c r="H29" s="43">
        <f t="shared" si="0"/>
        <v>612</v>
      </c>
      <c r="I29" s="44">
        <f t="shared" si="1"/>
        <v>306</v>
      </c>
      <c r="J29" s="45">
        <f t="shared" si="2"/>
        <v>2</v>
      </c>
      <c r="K29" s="46">
        <v>0.916666666666666</v>
      </c>
      <c r="L29" s="47">
        <v>1800</v>
      </c>
      <c r="M29" s="54">
        <v>178.57</v>
      </c>
      <c r="N29" s="49">
        <f t="shared" si="3"/>
        <v>600.000000000136</v>
      </c>
      <c r="O29" s="56"/>
      <c r="P29" s="51"/>
      <c r="Q29" s="52"/>
      <c r="R29" s="52"/>
      <c r="S29" s="52"/>
      <c r="T29" s="52"/>
      <c r="U29" s="53"/>
    </row>
    <row r="30" s="3" customFormat="1" ht="15" customHeight="1" spans="1:21">
      <c r="A30" s="40">
        <v>0.958333333333334</v>
      </c>
      <c r="B30" s="41" t="s">
        <v>11</v>
      </c>
      <c r="C30" s="42"/>
      <c r="D30" s="41">
        <v>283</v>
      </c>
      <c r="E30" s="42"/>
      <c r="F30" s="41">
        <v>292</v>
      </c>
      <c r="G30" s="42"/>
      <c r="H30" s="43">
        <f t="shared" si="0"/>
        <v>575</v>
      </c>
      <c r="I30" s="44">
        <f t="shared" si="1"/>
        <v>287.5</v>
      </c>
      <c r="J30" s="45">
        <f t="shared" si="2"/>
        <v>2</v>
      </c>
      <c r="K30" s="46">
        <v>0.958333333333333</v>
      </c>
      <c r="L30" s="47">
        <v>1800</v>
      </c>
      <c r="M30" s="54">
        <v>178.62</v>
      </c>
      <c r="N30" s="49">
        <f t="shared" si="3"/>
        <v>599.999999999795</v>
      </c>
      <c r="O30" s="56"/>
      <c r="P30" s="51"/>
      <c r="Q30" s="52"/>
      <c r="R30" s="52"/>
      <c r="S30" s="52"/>
      <c r="T30" s="52"/>
      <c r="U30" s="53"/>
    </row>
    <row r="31" s="2" customFormat="1" ht="15" customHeight="1" spans="1:21">
      <c r="A31" s="57">
        <v>1</v>
      </c>
      <c r="B31" s="41" t="s">
        <v>11</v>
      </c>
      <c r="C31" s="42"/>
      <c r="D31" s="41">
        <v>241</v>
      </c>
      <c r="E31" s="42"/>
      <c r="F31" s="41">
        <v>256</v>
      </c>
      <c r="G31" s="42"/>
      <c r="H31" s="43">
        <f t="shared" si="0"/>
        <v>497</v>
      </c>
      <c r="I31" s="58">
        <f t="shared" si="1"/>
        <v>248.5</v>
      </c>
      <c r="J31" s="59">
        <f t="shared" si="2"/>
        <v>2</v>
      </c>
      <c r="K31" s="60">
        <v>1</v>
      </c>
      <c r="L31" s="47">
        <v>4500</v>
      </c>
      <c r="M31" s="61">
        <v>178.67</v>
      </c>
      <c r="N31" s="49">
        <f>H31</f>
        <v>497</v>
      </c>
      <c r="O31" s="56"/>
      <c r="P31" s="51"/>
      <c r="Q31" s="52"/>
      <c r="R31" s="52"/>
      <c r="S31" s="52"/>
      <c r="T31" s="52"/>
      <c r="U31" s="53"/>
    </row>
    <row r="32" s="3" customFormat="1" ht="23.25" customHeight="1" spans="1:21">
      <c r="A32" s="62" t="s">
        <v>12</v>
      </c>
      <c r="B32" s="63">
        <f>SUM(B8:B31)/1000</f>
        <v>0</v>
      </c>
      <c r="C32" s="64"/>
      <c r="D32" s="63">
        <f>SUM(D8:D31)/1000</f>
        <v>4.645</v>
      </c>
      <c r="E32" s="64"/>
      <c r="F32" s="63">
        <f>SUM(F8:F31)/1000</f>
        <v>6.601</v>
      </c>
      <c r="G32" s="64"/>
      <c r="H32" s="65">
        <f>SUM(H8:H31)</f>
        <v>11246</v>
      </c>
      <c r="I32" s="66" t="s">
        <v>13</v>
      </c>
      <c r="J32" s="67"/>
      <c r="K32" s="68"/>
      <c r="L32" s="69"/>
      <c r="M32" s="70">
        <f>SUM(M31-M8+N8)</f>
        <v>601.010000000136</v>
      </c>
      <c r="N32" s="71">
        <f>SUM(N8:N31)</f>
        <v>12616.9999999999</v>
      </c>
      <c r="O32" s="72">
        <f>SUM(O8:O31)</f>
        <v>0</v>
      </c>
      <c r="P32" s="73"/>
      <c r="Q32" s="74"/>
      <c r="R32" s="74"/>
      <c r="S32" s="74"/>
      <c r="T32" s="74"/>
      <c r="U32" s="75"/>
    </row>
    <row r="33" ht="15" customHeight="1" spans="1:29">
      <c r="A33" s="76" t="s">
        <v>14</v>
      </c>
      <c r="B33" s="77" t="str">
        <f>IFERROR((AVERAGE(B8:B31)),"0")</f>
        <v>0</v>
      </c>
      <c r="C33" s="78"/>
      <c r="D33" s="79">
        <f>IFERROR((AVERAGE(D8:D31)),"0")</f>
        <v>290.3125</v>
      </c>
      <c r="E33" s="78"/>
      <c r="F33" s="79">
        <f>IFERROR((AVERAGE(F8:F31)),"0")</f>
        <v>314.333333333333</v>
      </c>
      <c r="G33" s="80"/>
      <c r="H33" s="81">
        <f>H32*1000</f>
        <v>11246000</v>
      </c>
      <c r="I33" s="82" t="s">
        <v>15</v>
      </c>
      <c r="J33" s="83"/>
      <c r="K33" s="84"/>
      <c r="L33" s="85"/>
      <c r="M33" s="86"/>
      <c r="N33" s="85"/>
      <c r="O33" s="87"/>
      <c r="P33" s="87"/>
      <c r="Q33" s="88"/>
      <c r="R33" s="88"/>
      <c r="S33" s="89"/>
      <c r="T33" s="89"/>
      <c r="U33" s="89"/>
      <c r="V33" s="89"/>
    </row>
    <row r="34" ht="18.75" customHeight="1" spans="1:29">
      <c r="A34" s="90"/>
      <c r="B34" s="91"/>
      <c r="C34" s="92"/>
      <c r="D34" s="93"/>
      <c r="E34" s="92"/>
      <c r="F34" s="93"/>
      <c r="G34" s="94"/>
      <c r="H34" s="95"/>
      <c r="I34" s="96"/>
      <c r="J34" s="97"/>
      <c r="K34" s="98"/>
      <c r="L34" s="85"/>
      <c r="M34" s="86"/>
      <c r="N34" s="99"/>
      <c r="O34" s="99"/>
      <c r="P34" s="99"/>
      <c r="Q34" s="99"/>
      <c r="R34" s="88"/>
      <c r="S34" s="89"/>
      <c r="T34" s="89"/>
      <c r="U34" s="89"/>
      <c r="V34" s="89"/>
    </row>
    <row r="35" ht="22.5" customHeight="1" spans="1:29">
      <c r="A35" s="100" t="s">
        <v>16</v>
      </c>
      <c r="B35" s="101">
        <f>COUNT(B8:B31)</f>
        <v>0</v>
      </c>
      <c r="C35" s="102"/>
      <c r="D35" s="103">
        <f>COUNT(D8:D31)</f>
        <v>16</v>
      </c>
      <c r="E35" s="102"/>
      <c r="F35" s="103">
        <f>COUNT(F8:F31)</f>
        <v>21</v>
      </c>
      <c r="G35" s="104"/>
      <c r="H35" s="105"/>
      <c r="I35" s="106"/>
      <c r="J35" s="107"/>
      <c r="K35" s="107"/>
      <c r="L35" s="107"/>
      <c r="M35" s="107"/>
      <c r="N35" s="99"/>
      <c r="O35" s="99"/>
      <c r="P35" s="99"/>
      <c r="Q35" s="99"/>
      <c r="R35" s="108"/>
      <c r="S35" s="89"/>
      <c r="T35" s="89"/>
      <c r="U35" s="89"/>
      <c r="V35" s="89"/>
    </row>
    <row r="36" ht="9" customHeight="1" spans="1:29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10"/>
      <c r="N36" s="106"/>
      <c r="O36" s="107"/>
      <c r="P36" s="107"/>
      <c r="Q36" s="107"/>
      <c r="R36" s="107"/>
      <c r="S36" s="107"/>
      <c r="T36" s="107"/>
      <c r="U36" s="111"/>
      <c r="V36" s="112"/>
      <c r="W36" s="108"/>
      <c r="X36" s="108"/>
      <c r="Y36" s="108"/>
      <c r="Z36" s="89"/>
      <c r="AA36" s="89"/>
      <c r="AB36" s="89"/>
      <c r="AC36" s="89"/>
    </row>
    <row r="37" ht="24" customHeight="1" spans="1:29">
      <c r="D37" s="113"/>
      <c r="E37" s="113"/>
      <c r="F37" s="113"/>
      <c r="G37" s="113"/>
      <c r="H37" s="113"/>
      <c r="I37" s="113"/>
      <c r="J37" s="113"/>
      <c r="K37" s="114"/>
      <c r="L37" s="114"/>
      <c r="N37" s="115" t="s">
        <v>17</v>
      </c>
      <c r="O37" s="116"/>
      <c r="P37" s="116"/>
      <c r="Q37" s="117"/>
      <c r="R37" s="118">
        <f>SUM(B35:F35)</f>
        <v>37</v>
      </c>
      <c r="S37" s="69"/>
      <c r="T37" s="69"/>
      <c r="U37" s="69"/>
      <c r="V37" s="69"/>
      <c r="X37" s="119"/>
      <c r="Y37" s="119"/>
      <c r="Z37" s="119"/>
      <c r="AA37" s="119"/>
      <c r="AB37" s="119"/>
      <c r="AC37" s="114"/>
    </row>
    <row r="38" ht="15" spans="1:29">
      <c r="D38" s="113"/>
      <c r="E38" s="113"/>
      <c r="F38" s="113"/>
      <c r="G38" s="113"/>
      <c r="H38" s="113"/>
      <c r="I38" s="113"/>
      <c r="J38" s="113"/>
      <c r="K38" s="114"/>
      <c r="L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</row>
    <row r="39" ht="24.75" customHeight="1" spans="1:29">
      <c r="A39" s="120" t="s">
        <v>18</v>
      </c>
      <c r="B39" s="121"/>
      <c r="C39" s="122">
        <f>MAX(H8:H31)</f>
        <v>648</v>
      </c>
      <c r="D39" s="123"/>
      <c r="E39" s="124">
        <f>VLOOKUP(C39,H8:L31,4,FALSE)</f>
        <v>0.833333333333333</v>
      </c>
      <c r="F39" s="125"/>
      <c r="G39" s="125"/>
      <c r="H39" s="126" t="s">
        <v>19</v>
      </c>
      <c r="I39" s="127"/>
      <c r="J39" s="128"/>
      <c r="K39" s="129">
        <f>MAX(J8:J31)</f>
        <v>2</v>
      </c>
      <c r="L39" s="130"/>
      <c r="N39" s="131" t="s">
        <v>20</v>
      </c>
      <c r="O39" s="132"/>
      <c r="P39" s="132"/>
      <c r="Q39" s="133"/>
      <c r="R39" s="134">
        <f>AVERAGE(H8:H31)</f>
        <v>468.583333333333</v>
      </c>
      <c r="S39" s="135"/>
      <c r="T39" s="135"/>
    </row>
    <row r="40" ht="15" spans="1:29">
      <c r="C40" s="136"/>
      <c r="D40" s="137"/>
      <c r="E40" s="138"/>
      <c r="F40" s="138"/>
      <c r="G40" s="138"/>
      <c r="H40" s="138"/>
      <c r="I40" s="139"/>
      <c r="J40" s="106"/>
      <c r="K40" s="110"/>
      <c r="L40" s="110"/>
      <c r="N40" s="140"/>
      <c r="O40" s="140"/>
      <c r="P40" s="140"/>
      <c r="Q40" s="140"/>
      <c r="R40" s="140"/>
      <c r="X40" s="5"/>
      <c r="Y40" s="5"/>
      <c r="Z40" s="5"/>
      <c r="AA40" s="5"/>
      <c r="AB40" s="5"/>
      <c r="AC40" s="141"/>
    </row>
    <row r="41" ht="24.75" customHeight="1" spans="1:29">
      <c r="A41" s="120" t="s">
        <v>21</v>
      </c>
      <c r="B41" s="121"/>
      <c r="C41" s="122">
        <f>MIN(H8:H31)</f>
        <v>185</v>
      </c>
      <c r="D41" s="123"/>
      <c r="E41" s="124">
        <f>VLOOKUP(C41,H8:L31,4,FALSE)</f>
        <v>0.125</v>
      </c>
      <c r="F41" s="142"/>
      <c r="G41" s="125"/>
      <c r="H41" s="126" t="s">
        <v>22</v>
      </c>
      <c r="I41" s="127"/>
      <c r="J41" s="128"/>
      <c r="K41" s="129">
        <f>MIN(J8:J31)</f>
        <v>1</v>
      </c>
      <c r="L41" s="130"/>
      <c r="N41" s="126" t="s">
        <v>23</v>
      </c>
      <c r="O41" s="127"/>
      <c r="P41" s="127"/>
      <c r="Q41" s="128"/>
      <c r="R41" s="143">
        <f>AVERAGE(I8:I31)</f>
        <v>323.895833333333</v>
      </c>
      <c r="S41" s="144"/>
      <c r="T41" s="144"/>
      <c r="U41" s="144"/>
      <c r="V41" s="144"/>
      <c r="X41" s="145"/>
    </row>
    <row r="42" ht="15" spans="1:29">
      <c r="D42" s="138"/>
      <c r="E42" s="138"/>
      <c r="F42" s="138"/>
      <c r="G42" s="138"/>
      <c r="H42" s="138"/>
      <c r="I42" s="146"/>
      <c r="J42" s="138"/>
      <c r="K42" s="147"/>
      <c r="L42" s="147"/>
      <c r="V42" s="148"/>
      <c r="W42" s="148"/>
      <c r="X42" s="149"/>
      <c r="Y42" s="149"/>
      <c r="Z42" s="150"/>
      <c r="AA42" s="150"/>
      <c r="AB42" s="150"/>
      <c r="AC42" s="150"/>
    </row>
    <row r="43" ht="24.75" customHeight="1" spans="1:29">
      <c r="C43" s="136"/>
      <c r="H43" s="151"/>
      <c r="I43" s="151"/>
      <c r="J43" s="151"/>
      <c r="K43" s="145"/>
      <c r="L43" s="139"/>
      <c r="N43" s="152" t="s">
        <v>24</v>
      </c>
      <c r="O43" s="153"/>
      <c r="P43" s="153"/>
      <c r="Q43" s="154"/>
      <c r="R43" s="155" t="e">
        <f>AVERAGE(T8:T31)</f>
        <v>#DIV/0!</v>
      </c>
      <c r="X43" s="156"/>
      <c r="Z43" s="157"/>
      <c r="AA43" s="157"/>
      <c r="AB43" s="157"/>
      <c r="AC43" s="157"/>
    </row>
    <row r="44" ht="19.5" spans="1:29">
      <c r="I44" s="158"/>
      <c r="K44" s="159"/>
      <c r="L44" s="159"/>
      <c r="Z44" s="160"/>
      <c r="AA44" s="160"/>
      <c r="AB44" s="160"/>
      <c r="AC44" s="160"/>
    </row>
    <row r="45" ht="24.75" customHeight="1" spans="1:29">
      <c r="D45" s="158"/>
      <c r="E45" s="158"/>
      <c r="F45" s="158"/>
      <c r="G45" s="158"/>
      <c r="H45" s="158"/>
      <c r="N45" s="126" t="s">
        <v>25</v>
      </c>
      <c r="O45" s="127"/>
      <c r="P45" s="127"/>
      <c r="Q45" s="128"/>
      <c r="R45" s="161">
        <f>SUM(M32-H32)/24</f>
        <v>-443.541249999994</v>
      </c>
      <c r="X45" s="162"/>
      <c r="Z45" s="163"/>
      <c r="AA45" s="163"/>
      <c r="AB45" s="163"/>
      <c r="AC45" s="163"/>
    </row>
    <row r="46" spans="1:29">
      <c r="Z46" s="164"/>
      <c r="AA46" s="164"/>
      <c r="AB46" s="164"/>
      <c r="AC46" s="164"/>
    </row>
    <row r="47" spans="1:29">
      <c r="Z47" s="139"/>
      <c r="AA47" s="139"/>
      <c r="AB47" s="139"/>
      <c r="AC47" s="139"/>
    </row>
    <row r="48" spans="1:29">
      <c r="Z48" s="139"/>
      <c r="AA48" s="139"/>
      <c r="AB48" s="139"/>
      <c r="AC48" s="139"/>
    </row>
    <row r="49" spans="11:29">
      <c r="Z49" s="157"/>
      <c r="AA49" s="157"/>
      <c r="AB49" s="157"/>
      <c r="AC49" s="157"/>
    </row>
    <row r="50" spans="11:29">
      <c r="Z50" s="157"/>
      <c r="AA50" s="157"/>
      <c r="AB50" s="157"/>
      <c r="AC50" s="157"/>
    </row>
    <row r="51" spans="11:29">
      <c r="K51" s="150"/>
      <c r="L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0"/>
      <c r="AC51" s="150"/>
    </row>
    <row r="52" spans="11:29">
      <c r="K52" s="150"/>
      <c r="L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  <c r="AB52" s="150"/>
      <c r="AC52" s="150"/>
    </row>
    <row r="53" spans="11:29">
      <c r="K53" s="150"/>
      <c r="L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50"/>
      <c r="AB53" s="150"/>
      <c r="AC53" s="150"/>
    </row>
    <row r="60" spans="11:29">
      <c r="O60" s="165"/>
      <c r="P60" s="165"/>
      <c r="Q60" s="165"/>
      <c r="R60" s="165"/>
      <c r="S60" s="165"/>
      <c r="T60" s="165"/>
    </row>
    <row r="61" spans="11:29">
      <c r="O61" s="165"/>
      <c r="P61" s="165"/>
      <c r="Q61" s="165"/>
      <c r="R61" s="165"/>
      <c r="S61" s="165"/>
      <c r="T61" s="165"/>
    </row>
    <row r="62" spans="11:29">
      <c r="O62" s="165"/>
      <c r="P62" s="165"/>
      <c r="Q62" s="165"/>
      <c r="R62" s="165"/>
      <c r="S62" s="165"/>
      <c r="T62" s="165"/>
    </row>
    <row r="63" spans="11:29">
      <c r="O63" s="165"/>
      <c r="P63" s="165"/>
      <c r="Q63" s="165"/>
      <c r="R63" s="165"/>
      <c r="S63" s="165"/>
      <c r="T63" s="165"/>
    </row>
    <row r="64" spans="11:29">
      <c r="O64" s="165"/>
      <c r="P64" s="165"/>
      <c r="Q64" s="165"/>
      <c r="R64" s="165"/>
      <c r="S64" s="165"/>
      <c r="T64" s="165"/>
    </row>
    <row r="65" spans="15:20">
      <c r="O65" s="165"/>
      <c r="P65" s="165"/>
      <c r="Q65" s="165"/>
      <c r="R65" s="165"/>
      <c r="S65" s="165"/>
      <c r="T65" s="165"/>
    </row>
    <row r="66" spans="15:20">
      <c r="O66" s="165"/>
      <c r="P66" s="165"/>
      <c r="Q66" s="165"/>
      <c r="R66" s="165"/>
      <c r="S66" s="165"/>
      <c r="T66" s="165"/>
    </row>
    <row r="67" spans="15:20">
      <c r="O67" s="165"/>
      <c r="P67" s="165"/>
      <c r="Q67" s="165"/>
      <c r="R67" s="165"/>
      <c r="S67" s="165"/>
      <c r="T67" s="165"/>
    </row>
    <row r="68" spans="15:20">
      <c r="O68" s="165"/>
      <c r="P68" s="165"/>
      <c r="Q68" s="165"/>
      <c r="R68" s="165"/>
      <c r="S68" s="165"/>
      <c r="T68" s="165"/>
    </row>
  </sheetData>
  <mergeCells count="116">
    <mergeCell ref="H4:K4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B29:C29"/>
    <mergeCell ref="D29:E29"/>
    <mergeCell ref="F29:G2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N34:Q34"/>
    <mergeCell ref="B35:C35"/>
    <mergeCell ref="D35:E35"/>
    <mergeCell ref="F35:G35"/>
    <mergeCell ref="N35:Q35"/>
    <mergeCell ref="N37:Q37"/>
    <mergeCell ref="A39:B39"/>
    <mergeCell ref="C39:D39"/>
    <mergeCell ref="H39:J39"/>
    <mergeCell ref="N39:Q39"/>
    <mergeCell ref="A41:B41"/>
    <mergeCell ref="C41:D41"/>
    <mergeCell ref="H41:J41"/>
    <mergeCell ref="N41:Q41"/>
    <mergeCell ref="H43:J43"/>
    <mergeCell ref="N43:Q43"/>
    <mergeCell ref="N45:Q45"/>
    <mergeCell ref="A6:A7"/>
    <mergeCell ref="A33:A34"/>
    <mergeCell ref="H6:H7"/>
    <mergeCell ref="H33:H34"/>
    <mergeCell ref="I6:I7"/>
    <mergeCell ref="I33:I34"/>
    <mergeCell ref="J6:J7"/>
    <mergeCell ref="K6:K7"/>
    <mergeCell ref="L6:L7"/>
    <mergeCell ref="M6:M7"/>
    <mergeCell ref="N6:N7"/>
    <mergeCell ref="O6:O7"/>
    <mergeCell ref="T6:T7"/>
    <mergeCell ref="U6:U7"/>
    <mergeCell ref="B33:C34"/>
    <mergeCell ref="D33:E34"/>
    <mergeCell ref="F33:G34"/>
  </mergeCells>
  <conditionalFormatting sqref="O8">
    <cfRule type="cellIs" dxfId="0" priority="10" operator="equal">
      <formula>"N/A"</formula>
    </cfRule>
  </conditionalFormatting>
  <conditionalFormatting sqref="A30">
    <cfRule type="cellIs" dxfId="1" priority="11" operator="equal">
      <formula>"STB"</formula>
    </cfRule>
    <cfRule type="cellIs" dxfId="0" priority="12" operator="equal">
      <formula>"BD"</formula>
    </cfRule>
  </conditionalFormatting>
  <conditionalFormatting sqref="B8:B31">
    <cfRule type="cellIs" dxfId="1" priority="1" operator="equal">
      <formula>"STB"</formula>
    </cfRule>
    <cfRule type="cellIs" dxfId="0" priority="2" operator="equal">
      <formula>"BD"</formula>
    </cfRule>
  </conditionalFormatting>
  <conditionalFormatting sqref="D8:D31">
    <cfRule type="cellIs" dxfId="1" priority="8" operator="equal">
      <formula>"STB"</formula>
    </cfRule>
    <cfRule type="cellIs" dxfId="0" priority="9" operator="equal">
      <formula>"BD"</formula>
    </cfRule>
  </conditionalFormatting>
  <conditionalFormatting sqref="F8:F31">
    <cfRule type="cellIs" dxfId="1" priority="3" operator="equal">
      <formula>"STB"</formula>
    </cfRule>
    <cfRule type="cellIs" dxfId="0" priority="4" operator="equal">
      <formula>"BD"</formula>
    </cfRule>
  </conditionalFormatting>
  <conditionalFormatting sqref="H8:H31">
    <cfRule type="top10" dxfId="2" priority="5" bottom="1" rank="1"/>
    <cfRule type="top10" dxfId="3" priority="6" rank="1"/>
    <cfRule type="cellIs" dxfId="4" priority="7" stopIfTrue="1" operator="equal">
      <formula>28000</formula>
    </cfRule>
  </conditionalFormatting>
  <conditionalFormatting sqref="H32:H33">
    <cfRule type="top10" dxfId="2" priority="14" bottom="1" rank="1"/>
    <cfRule type="top10" dxfId="3" priority="15" rank="1"/>
    <cfRule type="cellIs" dxfId="4" priority="17" stopIfTrue="1" operator="equal">
      <formula>28000</formula>
    </cfRule>
  </conditionalFormatting>
  <conditionalFormatting sqref="Y8:Y31">
    <cfRule type="containsText" dxfId="5" priority="13" operator="between" text="-">
      <formula>NOT(ISERROR(SEARCH("-",Y8)))</formula>
    </cfRule>
  </conditionalFormatting>
  <conditionalFormatting sqref="N8 N9:O31">
    <cfRule type="cellIs" dxfId="0" priority="16" operator="equal">
      <formula>"BD"</formula>
    </cfRule>
  </conditionalFormatting>
  <pageMargins left="0.7" right="0.7" top="0.75" bottom="0.75" header="0.3" footer="0.3"/>
  <pageSetup paperSize="1" orientation="portrait" verticalDpi="360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C68"/>
  <sheetViews>
    <sheetView zoomScale="80" zoomScaleNormal="80" workbookViewId="0">
      <pane ySplit="7" topLeftCell="A16" activePane="bottomLeft" state="frozen"/>
      <selection/>
      <selection pane="bottomLeft" activeCell="A3" sqref="$A3:$XFD3"/>
    </sheetView>
  </sheetViews>
  <sheetFormatPr defaultColWidth="8.81666666666667" defaultRowHeight="14.25"/>
  <cols>
    <col min="1" max="1" width="16.725" customWidth="1"/>
    <col min="2" max="2" width="8.725" customWidth="1"/>
    <col min="3" max="7" width="5.725" customWidth="1"/>
    <col min="8" max="8" width="14.2666666666667" customWidth="1"/>
    <col min="9" max="9" width="15.1833333333333" customWidth="1"/>
    <col min="10" max="10" width="15.5416666666667" customWidth="1"/>
    <col min="11" max="11" width="7" customWidth="1"/>
    <col min="12" max="12" width="8.54166666666667" customWidth="1"/>
    <col min="13" max="13" width="11.725" style="5" customWidth="1"/>
    <col min="14" max="14" width="17.1833333333333" customWidth="1"/>
    <col min="15" max="15" width="15.45" customWidth="1"/>
    <col min="16" max="16" width="7.45" customWidth="1"/>
    <col min="17" max="17" width="9.54166666666667" customWidth="1"/>
    <col min="18" max="18" width="10" customWidth="1"/>
    <col min="19" max="20" width="9.81666666666667" customWidth="1"/>
    <col min="21" max="21" width="6.725" customWidth="1"/>
    <col min="22" max="22" width="13.8166666666667" customWidth="1"/>
    <col min="23" max="23" width="11.2666666666667" customWidth="1"/>
    <col min="24" max="24" width="9.26666666666667" customWidth="1"/>
    <col min="25" max="25" width="3.725" customWidth="1"/>
    <col min="26" max="29" width="7.725" customWidth="1"/>
    <col min="30" max="30" width="6.725" customWidth="1"/>
  </cols>
  <sheetData>
    <row r="1" ht="3" customHeight="1"/>
    <row r="2" ht="6" customHeight="1" spans="1:2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="1" customFormat="1" ht="6.75" customHeight="1" spans="1:29">
      <c r="K3" s="7"/>
      <c r="L3" s="8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17.25" customHeight="1" spans="1:29">
      <c r="A4" s="1"/>
      <c r="B4" s="10"/>
      <c r="C4" s="10"/>
      <c r="D4" s="10"/>
      <c r="E4" s="11"/>
      <c r="F4" s="11"/>
      <c r="G4" s="11"/>
      <c r="H4" s="12">
        <f>'[24]Taniwel daily'!C4</f>
        <v>45315</v>
      </c>
      <c r="I4" s="13"/>
      <c r="J4" s="13"/>
      <c r="K4" s="14"/>
      <c r="L4" s="15"/>
      <c r="M4" s="16"/>
      <c r="N4" s="10"/>
      <c r="O4" s="10"/>
      <c r="P4" s="10"/>
      <c r="Q4" s="10"/>
      <c r="R4" s="10"/>
      <c r="S4" s="10"/>
      <c r="T4" s="10"/>
      <c r="U4" s="10"/>
      <c r="V4" s="7"/>
      <c r="W4" s="7"/>
      <c r="X4" s="7"/>
      <c r="Y4" s="7"/>
      <c r="Z4" s="7"/>
      <c r="AA4" s="7"/>
      <c r="AB4" s="7"/>
      <c r="AC4" s="7"/>
    </row>
    <row r="5" ht="7.5" customHeight="1" spans="1:29">
      <c r="A5" s="1"/>
      <c r="B5" s="17"/>
      <c r="C5" s="1"/>
      <c r="D5" s="1"/>
      <c r="E5" s="1"/>
      <c r="F5" s="1"/>
      <c r="G5" s="1"/>
      <c r="H5" s="1"/>
      <c r="I5" s="1"/>
      <c r="J5" s="1"/>
      <c r="K5" s="18"/>
      <c r="L5" s="7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ht="17.25" customHeight="1" spans="1:29">
      <c r="A6" s="19" t="s">
        <v>0</v>
      </c>
      <c r="B6" s="20" t="s">
        <v>1</v>
      </c>
      <c r="C6" s="21"/>
      <c r="D6" s="20" t="s">
        <v>2</v>
      </c>
      <c r="E6" s="21"/>
      <c r="F6" s="20" t="s">
        <v>3</v>
      </c>
      <c r="G6" s="21"/>
      <c r="H6" s="22" t="s">
        <v>4</v>
      </c>
      <c r="I6" s="22" t="s">
        <v>5</v>
      </c>
      <c r="J6" s="23" t="s">
        <v>6</v>
      </c>
      <c r="K6" s="19" t="s">
        <v>0</v>
      </c>
      <c r="L6" s="24" t="s">
        <v>7</v>
      </c>
      <c r="M6" s="25" t="s">
        <v>8</v>
      </c>
      <c r="N6" s="26" t="s">
        <v>9</v>
      </c>
      <c r="O6" s="25" t="s">
        <v>10</v>
      </c>
      <c r="P6" s="27"/>
      <c r="Q6" s="28"/>
      <c r="R6" s="28"/>
      <c r="S6" s="28"/>
      <c r="T6" s="28"/>
      <c r="U6" s="29"/>
    </row>
    <row r="7" ht="15.75" customHeight="1" spans="1:29">
      <c r="A7" s="30"/>
      <c r="B7" s="31">
        <v>1</v>
      </c>
      <c r="C7" s="32"/>
      <c r="D7" s="31">
        <v>2</v>
      </c>
      <c r="E7" s="32"/>
      <c r="F7" s="31">
        <v>3</v>
      </c>
      <c r="G7" s="32"/>
      <c r="H7" s="33"/>
      <c r="I7" s="33"/>
      <c r="J7" s="34"/>
      <c r="K7" s="30"/>
      <c r="L7" s="35"/>
      <c r="M7" s="36"/>
      <c r="N7" s="37"/>
      <c r="O7" s="38"/>
      <c r="P7" s="27"/>
      <c r="Q7" s="28"/>
      <c r="R7" s="28"/>
      <c r="S7" s="28"/>
      <c r="T7" s="28"/>
      <c r="U7" s="29"/>
      <c r="X7" s="39"/>
    </row>
    <row r="8" s="2" customFormat="1" ht="15" customHeight="1" spans="1:29">
      <c r="A8" s="40">
        <v>0.0416666666666666</v>
      </c>
      <c r="B8" s="41" t="s">
        <v>11</v>
      </c>
      <c r="C8" s="42"/>
      <c r="D8" s="41">
        <v>236</v>
      </c>
      <c r="E8" s="42"/>
      <c r="F8" s="41">
        <v>248</v>
      </c>
      <c r="G8" s="42"/>
      <c r="H8" s="43">
        <f t="shared" ref="H8:H31" si="0">IF(SUM(B8:G8)/1000=0,"0",SUM(B8:G8))</f>
        <v>484</v>
      </c>
      <c r="I8" s="44">
        <f t="shared" ref="I8:I31" si="1">IFERROR(AVERAGE(B8:G8),"0")</f>
        <v>242</v>
      </c>
      <c r="J8" s="45">
        <f t="shared" ref="J8:J31" si="2">COUNT(B8:G8)</f>
        <v>2</v>
      </c>
      <c r="K8" s="46">
        <v>0.0416666666666667</v>
      </c>
      <c r="L8" s="47">
        <v>4500</v>
      </c>
      <c r="M8" s="48">
        <v>178.72</v>
      </c>
      <c r="N8" s="49">
        <f>(M9-M8)*12000</f>
        <v>479.999999999905</v>
      </c>
      <c r="O8" s="50"/>
      <c r="P8" s="51"/>
      <c r="Q8" s="52"/>
      <c r="R8" s="52"/>
      <c r="S8" s="52"/>
      <c r="T8" s="52"/>
      <c r="U8" s="53"/>
    </row>
    <row r="9" s="3" customFormat="1" ht="15" customHeight="1" spans="1:29">
      <c r="A9" s="40">
        <v>0.0833333333333333</v>
      </c>
      <c r="B9" s="41" t="s">
        <v>11</v>
      </c>
      <c r="C9" s="42"/>
      <c r="D9" s="41">
        <v>241</v>
      </c>
      <c r="E9" s="42"/>
      <c r="F9" s="41">
        <v>238</v>
      </c>
      <c r="G9" s="42"/>
      <c r="H9" s="43">
        <f t="shared" si="0"/>
        <v>479</v>
      </c>
      <c r="I9" s="44">
        <f t="shared" si="1"/>
        <v>239.5</v>
      </c>
      <c r="J9" s="45">
        <f t="shared" si="2"/>
        <v>2</v>
      </c>
      <c r="K9" s="46">
        <v>0.0833333333333333</v>
      </c>
      <c r="L9" s="47">
        <v>4200</v>
      </c>
      <c r="M9" s="54">
        <v>178.76</v>
      </c>
      <c r="N9" s="49">
        <f t="shared" ref="N9:N30" si="3">(M10-M9)*12000</f>
        <v>360.000000000014</v>
      </c>
      <c r="O9" s="55"/>
      <c r="P9" s="51"/>
      <c r="Q9" s="52"/>
      <c r="R9" s="52"/>
      <c r="S9" s="52"/>
      <c r="T9" s="52"/>
      <c r="U9" s="53"/>
    </row>
    <row r="10" s="3" customFormat="1" ht="15" customHeight="1" spans="1:29">
      <c r="A10" s="40">
        <v>0.125</v>
      </c>
      <c r="B10" s="41" t="s">
        <v>11</v>
      </c>
      <c r="C10" s="42"/>
      <c r="D10" s="41">
        <v>224</v>
      </c>
      <c r="E10" s="42"/>
      <c r="F10" s="41">
        <v>231</v>
      </c>
      <c r="G10" s="42"/>
      <c r="H10" s="43">
        <f t="shared" si="0"/>
        <v>455</v>
      </c>
      <c r="I10" s="44">
        <f t="shared" si="1"/>
        <v>227.5</v>
      </c>
      <c r="J10" s="45">
        <f t="shared" si="2"/>
        <v>2</v>
      </c>
      <c r="K10" s="46">
        <v>0.125</v>
      </c>
      <c r="L10" s="47">
        <v>4200</v>
      </c>
      <c r="M10" s="54">
        <v>178.79</v>
      </c>
      <c r="N10" s="49">
        <f t="shared" si="3"/>
        <v>360.000000000014</v>
      </c>
      <c r="O10" s="56"/>
      <c r="P10" s="51"/>
      <c r="Q10" s="52"/>
      <c r="R10" s="52"/>
      <c r="S10" s="52"/>
      <c r="T10" s="52"/>
      <c r="U10" s="53"/>
    </row>
    <row r="11" s="3" customFormat="1" ht="15" customHeight="1" spans="1:29">
      <c r="A11" s="40">
        <v>0.166666666666667</v>
      </c>
      <c r="B11" s="41" t="s">
        <v>11</v>
      </c>
      <c r="C11" s="42"/>
      <c r="D11" s="41">
        <v>202</v>
      </c>
      <c r="E11" s="42"/>
      <c r="F11" s="41">
        <v>164</v>
      </c>
      <c r="G11" s="42"/>
      <c r="H11" s="43">
        <f t="shared" si="0"/>
        <v>366</v>
      </c>
      <c r="I11" s="44">
        <f t="shared" si="1"/>
        <v>183</v>
      </c>
      <c r="J11" s="45">
        <f t="shared" si="2"/>
        <v>2</v>
      </c>
      <c r="K11" s="46">
        <v>0.166666666666667</v>
      </c>
      <c r="L11" s="47">
        <v>4000</v>
      </c>
      <c r="M11" s="54">
        <v>178.82</v>
      </c>
      <c r="N11" s="49">
        <f t="shared" si="3"/>
        <v>360.000000000014</v>
      </c>
      <c r="O11" s="56"/>
      <c r="P11" s="51"/>
      <c r="Q11" s="52"/>
      <c r="R11" s="52"/>
      <c r="S11" s="52"/>
      <c r="T11" s="52"/>
      <c r="U11" s="53"/>
    </row>
    <row r="12" s="3" customFormat="1" ht="15" customHeight="1" spans="1:29">
      <c r="A12" s="40">
        <v>0.208333333333333</v>
      </c>
      <c r="B12" s="41" t="s">
        <v>11</v>
      </c>
      <c r="C12" s="42"/>
      <c r="D12" s="41" t="s">
        <v>26</v>
      </c>
      <c r="E12" s="42"/>
      <c r="F12" s="41">
        <v>350</v>
      </c>
      <c r="G12" s="42"/>
      <c r="H12" s="43">
        <f t="shared" si="0"/>
        <v>350</v>
      </c>
      <c r="I12" s="44">
        <f t="shared" si="1"/>
        <v>350</v>
      </c>
      <c r="J12" s="45">
        <f t="shared" si="2"/>
        <v>1</v>
      </c>
      <c r="K12" s="46">
        <v>0.208333333333333</v>
      </c>
      <c r="L12" s="47">
        <v>3900</v>
      </c>
      <c r="M12" s="54">
        <v>178.85</v>
      </c>
      <c r="N12" s="49">
        <f t="shared" si="3"/>
        <v>360.000000000014</v>
      </c>
      <c r="O12" s="56"/>
      <c r="P12" s="51"/>
      <c r="Q12" s="52"/>
      <c r="R12" s="52"/>
      <c r="S12" s="52"/>
      <c r="T12" s="52"/>
      <c r="U12" s="53"/>
    </row>
    <row r="13" s="3" customFormat="1" ht="15" customHeight="1" spans="1:29">
      <c r="A13" s="40">
        <v>0.25</v>
      </c>
      <c r="B13" s="41" t="s">
        <v>11</v>
      </c>
      <c r="C13" s="42"/>
      <c r="D13" s="41" t="s">
        <v>26</v>
      </c>
      <c r="E13" s="42"/>
      <c r="F13" s="41">
        <v>370</v>
      </c>
      <c r="G13" s="42"/>
      <c r="H13" s="43">
        <f t="shared" si="0"/>
        <v>370</v>
      </c>
      <c r="I13" s="44">
        <f t="shared" si="1"/>
        <v>370</v>
      </c>
      <c r="J13" s="45">
        <f t="shared" si="2"/>
        <v>1</v>
      </c>
      <c r="K13" s="46">
        <v>0.25</v>
      </c>
      <c r="L13" s="47">
        <v>3600</v>
      </c>
      <c r="M13" s="54">
        <v>178.88</v>
      </c>
      <c r="N13" s="49">
        <f t="shared" si="3"/>
        <v>479.999999999905</v>
      </c>
      <c r="O13" s="56"/>
      <c r="P13" s="51"/>
      <c r="Q13" s="52"/>
      <c r="R13" s="52"/>
      <c r="S13" s="52"/>
      <c r="T13" s="52"/>
      <c r="U13" s="53"/>
    </row>
    <row r="14" s="3" customFormat="1" ht="15" customHeight="1" spans="1:29">
      <c r="A14" s="40">
        <v>0.291666666666667</v>
      </c>
      <c r="B14" s="41" t="s">
        <v>11</v>
      </c>
      <c r="C14" s="42"/>
      <c r="D14" s="41" t="s">
        <v>26</v>
      </c>
      <c r="E14" s="42"/>
      <c r="F14" s="41">
        <v>411</v>
      </c>
      <c r="G14" s="42"/>
      <c r="H14" s="43">
        <f t="shared" si="0"/>
        <v>411</v>
      </c>
      <c r="I14" s="44">
        <f t="shared" si="1"/>
        <v>411</v>
      </c>
      <c r="J14" s="45">
        <f t="shared" si="2"/>
        <v>1</v>
      </c>
      <c r="K14" s="46">
        <v>0.291666666666667</v>
      </c>
      <c r="L14" s="47">
        <v>3600</v>
      </c>
      <c r="M14" s="54">
        <v>178.92</v>
      </c>
      <c r="N14" s="49">
        <f t="shared" si="3"/>
        <v>600.000000000136</v>
      </c>
      <c r="O14" s="56"/>
      <c r="P14" s="51"/>
      <c r="Q14" s="52"/>
      <c r="R14" s="52"/>
      <c r="S14" s="52"/>
      <c r="T14" s="52"/>
      <c r="U14" s="53"/>
    </row>
    <row r="15" s="3" customFormat="1" ht="15" customHeight="1" spans="1:29">
      <c r="A15" s="40">
        <v>0.333333333333333</v>
      </c>
      <c r="B15" s="41" t="s">
        <v>11</v>
      </c>
      <c r="C15" s="42"/>
      <c r="D15" s="41">
        <v>259</v>
      </c>
      <c r="E15" s="42"/>
      <c r="F15" s="41">
        <v>268</v>
      </c>
      <c r="G15" s="42"/>
      <c r="H15" s="43">
        <f t="shared" si="0"/>
        <v>527</v>
      </c>
      <c r="I15" s="44">
        <f t="shared" si="1"/>
        <v>263.5</v>
      </c>
      <c r="J15" s="45">
        <f t="shared" si="2"/>
        <v>2</v>
      </c>
      <c r="K15" s="46">
        <v>0.333333333333333</v>
      </c>
      <c r="L15" s="47">
        <v>3600</v>
      </c>
      <c r="M15" s="54">
        <v>178.97</v>
      </c>
      <c r="N15" s="49">
        <f t="shared" si="3"/>
        <v>600.000000000136</v>
      </c>
      <c r="O15" s="56"/>
      <c r="P15" s="51"/>
      <c r="Q15" s="52"/>
      <c r="R15" s="52"/>
      <c r="S15" s="52"/>
      <c r="T15" s="52"/>
      <c r="U15" s="53"/>
    </row>
    <row r="16" s="3" customFormat="1" ht="15" customHeight="1" spans="1:29">
      <c r="A16" s="40">
        <v>0.375</v>
      </c>
      <c r="B16" s="41" t="s">
        <v>11</v>
      </c>
      <c r="C16" s="42"/>
      <c r="D16" s="41">
        <v>244</v>
      </c>
      <c r="E16" s="42"/>
      <c r="F16" s="41">
        <v>256</v>
      </c>
      <c r="G16" s="42"/>
      <c r="H16" s="43">
        <f t="shared" si="0"/>
        <v>500</v>
      </c>
      <c r="I16" s="44">
        <f t="shared" si="1"/>
        <v>250</v>
      </c>
      <c r="J16" s="45">
        <f t="shared" si="2"/>
        <v>2</v>
      </c>
      <c r="K16" s="46">
        <v>0.375</v>
      </c>
      <c r="L16" s="47">
        <v>3600</v>
      </c>
      <c r="M16" s="54">
        <v>179.02</v>
      </c>
      <c r="N16" s="49">
        <f t="shared" si="3"/>
        <v>360.000000000014</v>
      </c>
      <c r="O16" s="56"/>
      <c r="P16" s="51"/>
      <c r="Q16" s="52"/>
      <c r="R16" s="52"/>
      <c r="S16" s="52"/>
      <c r="T16" s="52"/>
      <c r="U16" s="53"/>
    </row>
    <row r="17" s="3" customFormat="1" ht="15" customHeight="1" spans="1:21">
      <c r="A17" s="40">
        <v>0.416666666666667</v>
      </c>
      <c r="B17" s="41" t="s">
        <v>11</v>
      </c>
      <c r="C17" s="42"/>
      <c r="D17" s="41" t="s">
        <v>26</v>
      </c>
      <c r="E17" s="42"/>
      <c r="F17" s="41">
        <v>217</v>
      </c>
      <c r="G17" s="42"/>
      <c r="H17" s="43">
        <f t="shared" si="0"/>
        <v>217</v>
      </c>
      <c r="I17" s="44">
        <f t="shared" si="1"/>
        <v>217</v>
      </c>
      <c r="J17" s="45">
        <f t="shared" si="2"/>
        <v>1</v>
      </c>
      <c r="K17" s="46">
        <v>0.416666666666666</v>
      </c>
      <c r="L17" s="47">
        <v>3400</v>
      </c>
      <c r="M17" s="54">
        <v>179.05</v>
      </c>
      <c r="N17" s="49">
        <f t="shared" si="3"/>
        <v>239.999999999782</v>
      </c>
      <c r="O17" s="56"/>
      <c r="P17" s="51"/>
      <c r="Q17" s="52"/>
      <c r="R17" s="52"/>
      <c r="S17" s="52"/>
      <c r="T17" s="52"/>
      <c r="U17" s="53"/>
    </row>
    <row r="18" s="3" customFormat="1" ht="15" customHeight="1" spans="1:21">
      <c r="A18" s="40">
        <v>0.458333333333333</v>
      </c>
      <c r="B18" s="41" t="s">
        <v>11</v>
      </c>
      <c r="C18" s="42"/>
      <c r="D18" s="41" t="s">
        <v>26</v>
      </c>
      <c r="E18" s="42"/>
      <c r="F18" s="41">
        <v>213</v>
      </c>
      <c r="G18" s="42"/>
      <c r="H18" s="43">
        <f t="shared" si="0"/>
        <v>213</v>
      </c>
      <c r="I18" s="44">
        <f t="shared" si="1"/>
        <v>213</v>
      </c>
      <c r="J18" s="45">
        <f t="shared" si="2"/>
        <v>1</v>
      </c>
      <c r="K18" s="46">
        <v>0.458333333333333</v>
      </c>
      <c r="L18" s="47">
        <v>3300</v>
      </c>
      <c r="M18" s="54">
        <v>179.07</v>
      </c>
      <c r="N18" s="49">
        <f t="shared" si="3"/>
        <v>240.000000000123</v>
      </c>
      <c r="O18" s="56"/>
      <c r="P18" s="51"/>
      <c r="Q18" s="52"/>
      <c r="R18" s="52"/>
      <c r="S18" s="52"/>
      <c r="T18" s="52"/>
      <c r="U18" s="53"/>
    </row>
    <row r="19" s="3" customFormat="1" ht="15" customHeight="1" spans="1:21">
      <c r="A19" s="40">
        <v>0.5</v>
      </c>
      <c r="B19" s="41" t="s">
        <v>11</v>
      </c>
      <c r="C19" s="42"/>
      <c r="D19" s="41" t="s">
        <v>26</v>
      </c>
      <c r="E19" s="42"/>
      <c r="F19" s="41">
        <v>201</v>
      </c>
      <c r="G19" s="42"/>
      <c r="H19" s="43">
        <f t="shared" si="0"/>
        <v>201</v>
      </c>
      <c r="I19" s="44">
        <f t="shared" si="1"/>
        <v>201</v>
      </c>
      <c r="J19" s="45">
        <f t="shared" si="2"/>
        <v>1</v>
      </c>
      <c r="K19" s="46">
        <v>0.5</v>
      </c>
      <c r="L19" s="47">
        <v>3300</v>
      </c>
      <c r="M19" s="54">
        <v>179.09</v>
      </c>
      <c r="N19" s="49">
        <f t="shared" si="3"/>
        <v>240.000000000123</v>
      </c>
      <c r="O19" s="56"/>
      <c r="P19" s="51"/>
      <c r="Q19" s="52"/>
      <c r="R19" s="52"/>
      <c r="S19" s="52"/>
      <c r="T19" s="52"/>
      <c r="U19" s="53"/>
    </row>
    <row r="20" s="3" customFormat="1" ht="15" customHeight="1" spans="1:21">
      <c r="A20" s="40">
        <v>0.541666666666667</v>
      </c>
      <c r="B20" s="41" t="s">
        <v>11</v>
      </c>
      <c r="C20" s="42"/>
      <c r="D20" s="41" t="s">
        <v>26</v>
      </c>
      <c r="E20" s="42"/>
      <c r="F20" s="41">
        <v>196</v>
      </c>
      <c r="G20" s="42"/>
      <c r="H20" s="43">
        <f t="shared" si="0"/>
        <v>196</v>
      </c>
      <c r="I20" s="44">
        <f t="shared" si="1"/>
        <v>196</v>
      </c>
      <c r="J20" s="45">
        <f t="shared" si="2"/>
        <v>1</v>
      </c>
      <c r="K20" s="46">
        <v>0.541666666666667</v>
      </c>
      <c r="L20" s="47">
        <v>3000</v>
      </c>
      <c r="M20" s="54">
        <v>179.11</v>
      </c>
      <c r="N20" s="49">
        <f t="shared" si="3"/>
        <v>239.999999999782</v>
      </c>
      <c r="O20" s="56"/>
      <c r="P20" s="51"/>
      <c r="Q20" s="52"/>
      <c r="R20" s="52"/>
      <c r="S20" s="52"/>
      <c r="T20" s="52"/>
      <c r="U20" s="53"/>
    </row>
    <row r="21" s="3" customFormat="1" ht="15" customHeight="1" spans="1:21">
      <c r="A21" s="40">
        <v>0.583333333333333</v>
      </c>
      <c r="B21" s="41" t="s">
        <v>11</v>
      </c>
      <c r="C21" s="42"/>
      <c r="D21" s="41">
        <v>189</v>
      </c>
      <c r="E21" s="42"/>
      <c r="F21" s="41" t="s">
        <v>26</v>
      </c>
      <c r="G21" s="42"/>
      <c r="H21" s="43">
        <f t="shared" si="0"/>
        <v>189</v>
      </c>
      <c r="I21" s="44">
        <f t="shared" si="1"/>
        <v>189</v>
      </c>
      <c r="J21" s="45">
        <f t="shared" si="2"/>
        <v>1</v>
      </c>
      <c r="K21" s="46">
        <v>0.583333333333333</v>
      </c>
      <c r="L21" s="47">
        <v>3000</v>
      </c>
      <c r="M21" s="54">
        <v>179.13</v>
      </c>
      <c r="N21" s="49">
        <f t="shared" si="3"/>
        <v>240.000000000123</v>
      </c>
      <c r="O21" s="56"/>
      <c r="P21" s="51"/>
      <c r="Q21" s="52"/>
      <c r="R21" s="52"/>
      <c r="S21" s="52"/>
      <c r="T21" s="52"/>
      <c r="U21" s="53"/>
    </row>
    <row r="22" s="3" customFormat="1" ht="15" customHeight="1" spans="1:21">
      <c r="A22" s="40">
        <v>0.625</v>
      </c>
      <c r="B22" s="41" t="s">
        <v>11</v>
      </c>
      <c r="C22" s="42"/>
      <c r="D22" s="41">
        <v>184</v>
      </c>
      <c r="E22" s="42"/>
      <c r="F22" s="41" t="s">
        <v>26</v>
      </c>
      <c r="G22" s="42"/>
      <c r="H22" s="43">
        <f t="shared" si="0"/>
        <v>184</v>
      </c>
      <c r="I22" s="44">
        <f t="shared" si="1"/>
        <v>184</v>
      </c>
      <c r="J22" s="45">
        <f t="shared" si="2"/>
        <v>1</v>
      </c>
      <c r="K22" s="46">
        <v>0.625</v>
      </c>
      <c r="L22" s="47">
        <v>3000</v>
      </c>
      <c r="M22" s="54">
        <v>179.15</v>
      </c>
      <c r="N22" s="49">
        <f t="shared" si="3"/>
        <v>360.000000000014</v>
      </c>
      <c r="O22" s="56"/>
      <c r="P22" s="51"/>
      <c r="Q22" s="52"/>
      <c r="R22" s="52"/>
      <c r="S22" s="52"/>
      <c r="T22" s="52"/>
      <c r="U22" s="53"/>
    </row>
    <row r="23" s="3" customFormat="1" ht="15" customHeight="1" spans="1:21">
      <c r="A23" s="40">
        <v>0.666666666666667</v>
      </c>
      <c r="B23" s="41" t="s">
        <v>11</v>
      </c>
      <c r="C23" s="42"/>
      <c r="D23" s="41">
        <v>433</v>
      </c>
      <c r="E23" s="42"/>
      <c r="F23" s="41" t="s">
        <v>26</v>
      </c>
      <c r="G23" s="42"/>
      <c r="H23" s="43">
        <f t="shared" si="0"/>
        <v>433</v>
      </c>
      <c r="I23" s="44">
        <f t="shared" si="1"/>
        <v>433</v>
      </c>
      <c r="J23" s="45">
        <f t="shared" si="2"/>
        <v>1</v>
      </c>
      <c r="K23" s="46">
        <v>0.666666666666666</v>
      </c>
      <c r="L23" s="47">
        <v>3000</v>
      </c>
      <c r="M23" s="54">
        <v>179.18</v>
      </c>
      <c r="N23" s="49">
        <f t="shared" si="3"/>
        <v>599.999999999795</v>
      </c>
      <c r="O23" s="56"/>
      <c r="P23" s="51"/>
      <c r="Q23" s="52"/>
      <c r="R23" s="52"/>
      <c r="S23" s="52"/>
      <c r="T23" s="52"/>
      <c r="U23" s="53"/>
    </row>
    <row r="24" s="3" customFormat="1" ht="15" customHeight="1" spans="1:21">
      <c r="A24" s="40">
        <v>0.708333333333334</v>
      </c>
      <c r="B24" s="41" t="s">
        <v>11</v>
      </c>
      <c r="C24" s="42"/>
      <c r="D24" s="41">
        <v>434</v>
      </c>
      <c r="E24" s="42"/>
      <c r="F24" s="41" t="s">
        <v>26</v>
      </c>
      <c r="G24" s="42"/>
      <c r="H24" s="43">
        <f t="shared" si="0"/>
        <v>434</v>
      </c>
      <c r="I24" s="44">
        <f t="shared" si="1"/>
        <v>434</v>
      </c>
      <c r="J24" s="45">
        <f t="shared" si="2"/>
        <v>1</v>
      </c>
      <c r="K24" s="46">
        <v>0.708333333333333</v>
      </c>
      <c r="L24" s="47">
        <v>2700</v>
      </c>
      <c r="M24" s="54">
        <v>179.23</v>
      </c>
      <c r="N24" s="49">
        <f t="shared" si="3"/>
        <v>480.000000000246</v>
      </c>
      <c r="O24" s="56"/>
      <c r="P24" s="51"/>
      <c r="Q24" s="52"/>
      <c r="R24" s="52"/>
      <c r="S24" s="52"/>
      <c r="T24" s="52"/>
      <c r="U24" s="53"/>
    </row>
    <row r="25" s="3" customFormat="1" ht="15" customHeight="1" spans="1:21">
      <c r="A25" s="40">
        <v>0.75</v>
      </c>
      <c r="B25" s="41" t="s">
        <v>11</v>
      </c>
      <c r="C25" s="42"/>
      <c r="D25" s="41">
        <v>437</v>
      </c>
      <c r="E25" s="42"/>
      <c r="F25" s="41" t="s">
        <v>26</v>
      </c>
      <c r="G25" s="42"/>
      <c r="H25" s="43">
        <f t="shared" si="0"/>
        <v>437</v>
      </c>
      <c r="I25" s="44">
        <f t="shared" si="1"/>
        <v>437</v>
      </c>
      <c r="J25" s="45">
        <f t="shared" si="2"/>
        <v>1</v>
      </c>
      <c r="K25" s="46">
        <v>0.75</v>
      </c>
      <c r="L25" s="47">
        <v>2400</v>
      </c>
      <c r="M25" s="54">
        <v>179.27</v>
      </c>
      <c r="N25" s="49">
        <f t="shared" si="3"/>
        <v>479.999999999905</v>
      </c>
      <c r="O25" s="56"/>
      <c r="P25" s="51"/>
      <c r="Q25" s="52"/>
      <c r="R25" s="52"/>
      <c r="S25" s="52"/>
      <c r="T25" s="52"/>
      <c r="U25" s="53"/>
    </row>
    <row r="26" s="3" customFormat="1" ht="15" customHeight="1" spans="1:21">
      <c r="A26" s="40">
        <v>0.791666666666667</v>
      </c>
      <c r="B26" s="41" t="s">
        <v>11</v>
      </c>
      <c r="C26" s="42"/>
      <c r="D26" s="41">
        <v>285</v>
      </c>
      <c r="E26" s="42"/>
      <c r="F26" s="41">
        <v>289</v>
      </c>
      <c r="G26" s="42"/>
      <c r="H26" s="43">
        <f t="shared" si="0"/>
        <v>574</v>
      </c>
      <c r="I26" s="44">
        <f t="shared" si="1"/>
        <v>287</v>
      </c>
      <c r="J26" s="45">
        <f t="shared" si="2"/>
        <v>2</v>
      </c>
      <c r="K26" s="46">
        <v>0.791666666666666</v>
      </c>
      <c r="L26" s="47">
        <v>2100</v>
      </c>
      <c r="M26" s="54">
        <v>179.31</v>
      </c>
      <c r="N26" s="49">
        <f t="shared" si="3"/>
        <v>720.000000000027</v>
      </c>
      <c r="O26" s="56"/>
      <c r="P26" s="51"/>
      <c r="Q26" s="52"/>
      <c r="R26" s="52"/>
      <c r="S26" s="52"/>
      <c r="T26" s="52"/>
      <c r="U26" s="53"/>
    </row>
    <row r="27" s="3" customFormat="1" ht="15" customHeight="1" spans="1:21">
      <c r="A27" s="40">
        <v>0.833333333333334</v>
      </c>
      <c r="B27" s="41" t="s">
        <v>11</v>
      </c>
      <c r="C27" s="42"/>
      <c r="D27" s="41">
        <v>324</v>
      </c>
      <c r="E27" s="42"/>
      <c r="F27" s="41">
        <v>381</v>
      </c>
      <c r="G27" s="42"/>
      <c r="H27" s="43">
        <f t="shared" si="0"/>
        <v>705</v>
      </c>
      <c r="I27" s="44">
        <f t="shared" si="1"/>
        <v>352.5</v>
      </c>
      <c r="J27" s="45">
        <f t="shared" si="2"/>
        <v>2</v>
      </c>
      <c r="K27" s="46">
        <v>0.833333333333333</v>
      </c>
      <c r="L27" s="47">
        <v>2100</v>
      </c>
      <c r="M27" s="54">
        <v>179.37</v>
      </c>
      <c r="N27" s="49">
        <f t="shared" si="3"/>
        <v>720.000000000027</v>
      </c>
      <c r="O27" s="56"/>
      <c r="P27" s="51"/>
      <c r="Q27" s="52"/>
      <c r="R27" s="52"/>
      <c r="S27" s="52"/>
      <c r="T27" s="52"/>
      <c r="U27" s="53"/>
    </row>
    <row r="28" s="4" customFormat="1" ht="15" customHeight="1" spans="1:21">
      <c r="A28" s="40">
        <v>0.875</v>
      </c>
      <c r="B28" s="41" t="s">
        <v>11</v>
      </c>
      <c r="C28" s="42"/>
      <c r="D28" s="41">
        <v>309</v>
      </c>
      <c r="E28" s="42"/>
      <c r="F28" s="41">
        <v>285</v>
      </c>
      <c r="G28" s="42"/>
      <c r="H28" s="43">
        <f t="shared" si="0"/>
        <v>594</v>
      </c>
      <c r="I28" s="44">
        <f t="shared" si="1"/>
        <v>297</v>
      </c>
      <c r="J28" s="45">
        <f t="shared" si="2"/>
        <v>2</v>
      </c>
      <c r="K28" s="46">
        <v>0.875</v>
      </c>
      <c r="L28" s="47">
        <v>1800</v>
      </c>
      <c r="M28" s="54">
        <v>179.43</v>
      </c>
      <c r="N28" s="49">
        <f t="shared" si="3"/>
        <v>720.000000000027</v>
      </c>
      <c r="O28" s="56"/>
      <c r="P28" s="51"/>
      <c r="Q28" s="52"/>
      <c r="R28" s="52"/>
      <c r="S28" s="52"/>
      <c r="T28" s="52"/>
      <c r="U28" s="53"/>
    </row>
    <row r="29" s="3" customFormat="1" ht="15" customHeight="1" spans="1:21">
      <c r="A29" s="40">
        <v>0.916666666666667</v>
      </c>
      <c r="B29" s="41" t="s">
        <v>11</v>
      </c>
      <c r="C29" s="42"/>
      <c r="D29" s="41">
        <v>260</v>
      </c>
      <c r="E29" s="42"/>
      <c r="F29" s="41">
        <v>293</v>
      </c>
      <c r="G29" s="42"/>
      <c r="H29" s="43">
        <f t="shared" si="0"/>
        <v>553</v>
      </c>
      <c r="I29" s="44">
        <f t="shared" si="1"/>
        <v>276.5</v>
      </c>
      <c r="J29" s="45">
        <f t="shared" si="2"/>
        <v>2</v>
      </c>
      <c r="K29" s="46">
        <v>0.916666666666666</v>
      </c>
      <c r="L29" s="47">
        <v>1800</v>
      </c>
      <c r="M29" s="54">
        <v>179.49</v>
      </c>
      <c r="N29" s="49">
        <f t="shared" si="3"/>
        <v>599.999999999795</v>
      </c>
      <c r="O29" s="56"/>
      <c r="P29" s="51"/>
      <c r="Q29" s="52"/>
      <c r="R29" s="52"/>
      <c r="S29" s="52"/>
      <c r="T29" s="52"/>
      <c r="U29" s="53"/>
    </row>
    <row r="30" s="3" customFormat="1" ht="15" customHeight="1" spans="1:21">
      <c r="A30" s="40">
        <v>0.958333333333334</v>
      </c>
      <c r="B30" s="41" t="s">
        <v>11</v>
      </c>
      <c r="C30" s="42"/>
      <c r="D30" s="41">
        <v>281</v>
      </c>
      <c r="E30" s="42"/>
      <c r="F30" s="41">
        <v>262</v>
      </c>
      <c r="G30" s="42"/>
      <c r="H30" s="43">
        <f t="shared" si="0"/>
        <v>543</v>
      </c>
      <c r="I30" s="44">
        <f t="shared" si="1"/>
        <v>271.5</v>
      </c>
      <c r="J30" s="45">
        <f t="shared" si="2"/>
        <v>2</v>
      </c>
      <c r="K30" s="46">
        <v>0.958333333333333</v>
      </c>
      <c r="L30" s="47">
        <v>1800</v>
      </c>
      <c r="M30" s="54">
        <v>179.54</v>
      </c>
      <c r="N30" s="49">
        <f t="shared" si="3"/>
        <v>600.000000000136</v>
      </c>
      <c r="O30" s="56"/>
      <c r="P30" s="51"/>
      <c r="Q30" s="52"/>
      <c r="R30" s="52"/>
      <c r="S30" s="52"/>
      <c r="T30" s="52"/>
      <c r="U30" s="53"/>
    </row>
    <row r="31" s="2" customFormat="1" ht="15" customHeight="1" spans="1:21">
      <c r="A31" s="57">
        <v>1</v>
      </c>
      <c r="B31" s="41" t="s">
        <v>11</v>
      </c>
      <c r="C31" s="42"/>
      <c r="D31" s="41">
        <v>240</v>
      </c>
      <c r="E31" s="42"/>
      <c r="F31" s="41">
        <v>259</v>
      </c>
      <c r="G31" s="42"/>
      <c r="H31" s="43">
        <f t="shared" si="0"/>
        <v>499</v>
      </c>
      <c r="I31" s="58">
        <f t="shared" si="1"/>
        <v>249.5</v>
      </c>
      <c r="J31" s="59">
        <f t="shared" si="2"/>
        <v>2</v>
      </c>
      <c r="K31" s="60">
        <v>1</v>
      </c>
      <c r="L31" s="47">
        <v>4500</v>
      </c>
      <c r="M31" s="61">
        <v>179.59</v>
      </c>
      <c r="N31" s="49">
        <f>H31</f>
        <v>499</v>
      </c>
      <c r="O31" s="56"/>
      <c r="P31" s="51"/>
      <c r="Q31" s="52"/>
      <c r="R31" s="52"/>
      <c r="S31" s="52"/>
      <c r="T31" s="52"/>
      <c r="U31" s="53"/>
    </row>
    <row r="32" s="3" customFormat="1" ht="23.25" customHeight="1" spans="1:21">
      <c r="A32" s="62" t="s">
        <v>12</v>
      </c>
      <c r="B32" s="63">
        <f>SUM(B8:B31)/1000</f>
        <v>0</v>
      </c>
      <c r="C32" s="64"/>
      <c r="D32" s="63">
        <f>SUM(D8:D31)/1000</f>
        <v>4.782</v>
      </c>
      <c r="E32" s="64"/>
      <c r="F32" s="63">
        <f>SUM(F8:F31)/1000</f>
        <v>5.132</v>
      </c>
      <c r="G32" s="64"/>
      <c r="H32" s="65">
        <f>SUM(H8:H31)</f>
        <v>9914</v>
      </c>
      <c r="I32" s="66" t="s">
        <v>13</v>
      </c>
      <c r="J32" s="67"/>
      <c r="K32" s="68"/>
      <c r="L32" s="69"/>
      <c r="M32" s="70">
        <f>SUM(M31-M8+N8)</f>
        <v>480.869999999905</v>
      </c>
      <c r="N32" s="71">
        <f>SUM(N8:N31)</f>
        <v>10939.0000000001</v>
      </c>
      <c r="O32" s="72">
        <f>SUM(O8:O31)</f>
        <v>0</v>
      </c>
      <c r="P32" s="73"/>
      <c r="Q32" s="74"/>
      <c r="R32" s="74"/>
      <c r="S32" s="74"/>
      <c r="T32" s="74"/>
      <c r="U32" s="75"/>
    </row>
    <row r="33" ht="15" customHeight="1" spans="1:29">
      <c r="A33" s="76" t="s">
        <v>14</v>
      </c>
      <c r="B33" s="77" t="str">
        <f>IFERROR((AVERAGE(B8:B31)),"0")</f>
        <v>0</v>
      </c>
      <c r="C33" s="78"/>
      <c r="D33" s="79">
        <f>IFERROR((AVERAGE(D8:D31)),"0")</f>
        <v>281.294117647059</v>
      </c>
      <c r="E33" s="78"/>
      <c r="F33" s="79">
        <f>IFERROR((AVERAGE(F8:F31)),"0")</f>
        <v>270.105263157895</v>
      </c>
      <c r="G33" s="80"/>
      <c r="H33" s="81">
        <f>H32*1000</f>
        <v>9914000</v>
      </c>
      <c r="I33" s="82" t="s">
        <v>15</v>
      </c>
      <c r="J33" s="83"/>
      <c r="K33" s="84"/>
      <c r="L33" s="85"/>
      <c r="M33" s="86"/>
      <c r="N33" s="85"/>
      <c r="O33" s="87"/>
      <c r="P33" s="87"/>
      <c r="Q33" s="88"/>
      <c r="R33" s="88"/>
      <c r="S33" s="89"/>
      <c r="T33" s="89"/>
      <c r="U33" s="89"/>
      <c r="V33" s="89"/>
    </row>
    <row r="34" ht="18.75" customHeight="1" spans="1:29">
      <c r="A34" s="90"/>
      <c r="B34" s="91"/>
      <c r="C34" s="92"/>
      <c r="D34" s="93"/>
      <c r="E34" s="92"/>
      <c r="F34" s="93"/>
      <c r="G34" s="94"/>
      <c r="H34" s="95"/>
      <c r="I34" s="96"/>
      <c r="J34" s="97"/>
      <c r="K34" s="98"/>
      <c r="L34" s="85"/>
      <c r="M34" s="86"/>
      <c r="N34" s="99"/>
      <c r="O34" s="99"/>
      <c r="P34" s="99"/>
      <c r="Q34" s="99"/>
      <c r="R34" s="88"/>
      <c r="S34" s="89"/>
      <c r="T34" s="89"/>
      <c r="U34" s="89"/>
      <c r="V34" s="89"/>
    </row>
    <row r="35" ht="22.5" customHeight="1" spans="1:29">
      <c r="A35" s="100" t="s">
        <v>16</v>
      </c>
      <c r="B35" s="101">
        <f>COUNT(B8:B31)</f>
        <v>0</v>
      </c>
      <c r="C35" s="102"/>
      <c r="D35" s="103">
        <f>COUNT(D8:D31)</f>
        <v>17</v>
      </c>
      <c r="E35" s="102"/>
      <c r="F35" s="103">
        <f>COUNT(F8:F31)</f>
        <v>19</v>
      </c>
      <c r="G35" s="104"/>
      <c r="H35" s="105"/>
      <c r="I35" s="106"/>
      <c r="J35" s="107"/>
      <c r="K35" s="107"/>
      <c r="L35" s="107"/>
      <c r="M35" s="107"/>
      <c r="N35" s="99"/>
      <c r="O35" s="99"/>
      <c r="P35" s="99"/>
      <c r="Q35" s="99"/>
      <c r="R35" s="108"/>
      <c r="S35" s="89"/>
      <c r="T35" s="89"/>
      <c r="U35" s="89"/>
      <c r="V35" s="89"/>
    </row>
    <row r="36" ht="9" customHeight="1" spans="1:29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10"/>
      <c r="N36" s="106"/>
      <c r="O36" s="107"/>
      <c r="P36" s="107"/>
      <c r="Q36" s="107"/>
      <c r="R36" s="107"/>
      <c r="S36" s="107"/>
      <c r="T36" s="107"/>
      <c r="U36" s="111"/>
      <c r="V36" s="112"/>
      <c r="W36" s="108"/>
      <c r="X36" s="108"/>
      <c r="Y36" s="108"/>
      <c r="Z36" s="89"/>
      <c r="AA36" s="89"/>
      <c r="AB36" s="89"/>
      <c r="AC36" s="89"/>
    </row>
    <row r="37" ht="24" customHeight="1" spans="1:29">
      <c r="D37" s="113"/>
      <c r="E37" s="113"/>
      <c r="F37" s="113"/>
      <c r="G37" s="113"/>
      <c r="H37" s="113"/>
      <c r="I37" s="113"/>
      <c r="J37" s="113"/>
      <c r="K37" s="114"/>
      <c r="L37" s="114"/>
      <c r="N37" s="115" t="s">
        <v>17</v>
      </c>
      <c r="O37" s="116"/>
      <c r="P37" s="116"/>
      <c r="Q37" s="117"/>
      <c r="R37" s="118">
        <f>SUM(B35:F35)</f>
        <v>36</v>
      </c>
      <c r="S37" s="69"/>
      <c r="T37" s="69"/>
      <c r="U37" s="69"/>
      <c r="V37" s="69"/>
      <c r="X37" s="119"/>
      <c r="Y37" s="119"/>
      <c r="Z37" s="119"/>
      <c r="AA37" s="119"/>
      <c r="AB37" s="119"/>
      <c r="AC37" s="114"/>
    </row>
    <row r="38" ht="15" spans="1:29">
      <c r="D38" s="113"/>
      <c r="E38" s="113"/>
      <c r="F38" s="113"/>
      <c r="G38" s="113"/>
      <c r="H38" s="113"/>
      <c r="I38" s="113"/>
      <c r="J38" s="113"/>
      <c r="K38" s="114"/>
      <c r="L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</row>
    <row r="39" ht="24.75" customHeight="1" spans="1:29">
      <c r="A39" s="120" t="s">
        <v>18</v>
      </c>
      <c r="B39" s="121"/>
      <c r="C39" s="122">
        <f>MAX(H8:H31)</f>
        <v>705</v>
      </c>
      <c r="D39" s="123"/>
      <c r="E39" s="124">
        <f>VLOOKUP(C39,H8:L31,4,FALSE)</f>
        <v>0.833333333333333</v>
      </c>
      <c r="F39" s="125"/>
      <c r="G39" s="125"/>
      <c r="H39" s="126" t="s">
        <v>19</v>
      </c>
      <c r="I39" s="127"/>
      <c r="J39" s="128"/>
      <c r="K39" s="129">
        <f>MAX(J8:J31)</f>
        <v>2</v>
      </c>
      <c r="L39" s="130"/>
      <c r="N39" s="131" t="s">
        <v>20</v>
      </c>
      <c r="O39" s="132"/>
      <c r="P39" s="132"/>
      <c r="Q39" s="133"/>
      <c r="R39" s="134">
        <f>AVERAGE(H8:H31)</f>
        <v>413.083333333333</v>
      </c>
      <c r="S39" s="135"/>
      <c r="T39" s="135"/>
    </row>
    <row r="40" ht="15" spans="1:29">
      <c r="C40" s="136"/>
      <c r="D40" s="137"/>
      <c r="E40" s="138"/>
      <c r="F40" s="138"/>
      <c r="G40" s="138"/>
      <c r="H40" s="138"/>
      <c r="I40" s="139"/>
      <c r="J40" s="106"/>
      <c r="K40" s="110"/>
      <c r="L40" s="110"/>
      <c r="N40" s="140"/>
      <c r="O40" s="140"/>
      <c r="P40" s="140"/>
      <c r="Q40" s="140"/>
      <c r="R40" s="140"/>
      <c r="X40" s="5"/>
      <c r="Y40" s="5"/>
      <c r="Z40" s="5"/>
      <c r="AA40" s="5"/>
      <c r="AB40" s="5"/>
      <c r="AC40" s="141"/>
    </row>
    <row r="41" ht="24.75" customHeight="1" spans="1:29">
      <c r="A41" s="120" t="s">
        <v>21</v>
      </c>
      <c r="B41" s="121"/>
      <c r="C41" s="122">
        <f>MIN(H8:H31)</f>
        <v>184</v>
      </c>
      <c r="D41" s="123"/>
      <c r="E41" s="124">
        <f>VLOOKUP(C41,H8:L31,4,FALSE)</f>
        <v>0.625</v>
      </c>
      <c r="F41" s="142"/>
      <c r="G41" s="125"/>
      <c r="H41" s="126" t="s">
        <v>22</v>
      </c>
      <c r="I41" s="127"/>
      <c r="J41" s="128"/>
      <c r="K41" s="129">
        <f>MIN(J8:J31)</f>
        <v>1</v>
      </c>
      <c r="L41" s="130"/>
      <c r="N41" s="126" t="s">
        <v>23</v>
      </c>
      <c r="O41" s="127"/>
      <c r="P41" s="127"/>
      <c r="Q41" s="128"/>
      <c r="R41" s="143">
        <f>AVERAGE(I8:I31)</f>
        <v>282.270833333333</v>
      </c>
      <c r="S41" s="144"/>
      <c r="T41" s="144"/>
      <c r="U41" s="144"/>
      <c r="V41" s="144"/>
      <c r="X41" s="145"/>
    </row>
    <row r="42" ht="15" spans="1:29">
      <c r="D42" s="138"/>
      <c r="E42" s="138"/>
      <c r="F42" s="138"/>
      <c r="G42" s="138"/>
      <c r="H42" s="138"/>
      <c r="I42" s="146"/>
      <c r="J42" s="138"/>
      <c r="K42" s="147"/>
      <c r="L42" s="147"/>
      <c r="V42" s="148"/>
      <c r="W42" s="148"/>
      <c r="X42" s="149"/>
      <c r="Y42" s="149"/>
      <c r="Z42" s="150"/>
      <c r="AA42" s="150"/>
      <c r="AB42" s="150"/>
      <c r="AC42" s="150"/>
    </row>
    <row r="43" ht="24.75" customHeight="1" spans="1:29">
      <c r="C43" s="136"/>
      <c r="H43" s="151"/>
      <c r="I43" s="151"/>
      <c r="J43" s="151"/>
      <c r="K43" s="145"/>
      <c r="L43" s="139"/>
      <c r="N43" s="152" t="s">
        <v>24</v>
      </c>
      <c r="O43" s="153"/>
      <c r="P43" s="153"/>
      <c r="Q43" s="154"/>
      <c r="R43" s="155" t="e">
        <f>AVERAGE(T8:T31)</f>
        <v>#DIV/0!</v>
      </c>
      <c r="X43" s="156"/>
      <c r="Z43" s="157"/>
      <c r="AA43" s="157"/>
      <c r="AB43" s="157"/>
      <c r="AC43" s="157"/>
    </row>
    <row r="44" ht="19.5" spans="1:29">
      <c r="I44" s="158"/>
      <c r="K44" s="159"/>
      <c r="L44" s="159"/>
      <c r="Z44" s="160"/>
      <c r="AA44" s="160"/>
      <c r="AB44" s="160"/>
      <c r="AC44" s="160"/>
    </row>
    <row r="45" ht="24.75" customHeight="1" spans="1:29">
      <c r="D45" s="158"/>
      <c r="E45" s="158"/>
      <c r="F45" s="158"/>
      <c r="G45" s="158"/>
      <c r="H45" s="158"/>
      <c r="N45" s="126" t="s">
        <v>25</v>
      </c>
      <c r="O45" s="127"/>
      <c r="P45" s="127"/>
      <c r="Q45" s="128"/>
      <c r="R45" s="161">
        <f>SUM(M32-H32)/24</f>
        <v>-393.047083333337</v>
      </c>
      <c r="X45" s="162"/>
      <c r="Z45" s="163"/>
      <c r="AA45" s="163"/>
      <c r="AB45" s="163"/>
      <c r="AC45" s="163"/>
    </row>
    <row r="46" spans="1:29">
      <c r="Z46" s="164"/>
      <c r="AA46" s="164"/>
      <c r="AB46" s="164"/>
      <c r="AC46" s="164"/>
    </row>
    <row r="47" spans="1:29">
      <c r="Z47" s="139"/>
      <c r="AA47" s="139"/>
      <c r="AB47" s="139"/>
      <c r="AC47" s="139"/>
    </row>
    <row r="48" spans="1:29">
      <c r="Z48" s="139"/>
      <c r="AA48" s="139"/>
      <c r="AB48" s="139"/>
      <c r="AC48" s="139"/>
    </row>
    <row r="49" spans="11:29">
      <c r="Z49" s="157"/>
      <c r="AA49" s="157"/>
      <c r="AB49" s="157"/>
      <c r="AC49" s="157"/>
    </row>
    <row r="50" spans="11:29">
      <c r="Z50" s="157"/>
      <c r="AA50" s="157"/>
      <c r="AB50" s="157"/>
      <c r="AC50" s="157"/>
    </row>
    <row r="51" spans="11:29">
      <c r="K51" s="150"/>
      <c r="L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0"/>
      <c r="AC51" s="150"/>
    </row>
    <row r="52" spans="11:29">
      <c r="K52" s="150"/>
      <c r="L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  <c r="AB52" s="150"/>
      <c r="AC52" s="150"/>
    </row>
    <row r="53" spans="11:29">
      <c r="K53" s="150"/>
      <c r="L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50"/>
      <c r="AB53" s="150"/>
      <c r="AC53" s="150"/>
    </row>
    <row r="60" spans="11:29">
      <c r="O60" s="165"/>
      <c r="P60" s="165"/>
      <c r="Q60" s="165"/>
      <c r="R60" s="165"/>
      <c r="S60" s="165"/>
      <c r="T60" s="165"/>
    </row>
    <row r="61" spans="11:29">
      <c r="O61" s="165"/>
      <c r="P61" s="165"/>
      <c r="Q61" s="165"/>
      <c r="R61" s="165"/>
      <c r="S61" s="165"/>
      <c r="T61" s="165"/>
    </row>
    <row r="62" spans="11:29">
      <c r="O62" s="165"/>
      <c r="P62" s="165"/>
      <c r="Q62" s="165"/>
      <c r="R62" s="165"/>
      <c r="S62" s="165"/>
      <c r="T62" s="165"/>
    </row>
    <row r="63" spans="11:29">
      <c r="O63" s="165"/>
      <c r="P63" s="165"/>
      <c r="Q63" s="165"/>
      <c r="R63" s="165"/>
      <c r="S63" s="165"/>
      <c r="T63" s="165"/>
    </row>
    <row r="64" spans="11:29">
      <c r="O64" s="165"/>
      <c r="P64" s="165"/>
      <c r="Q64" s="165"/>
      <c r="R64" s="165"/>
      <c r="S64" s="165"/>
      <c r="T64" s="165"/>
    </row>
    <row r="65" spans="15:20">
      <c r="O65" s="165"/>
      <c r="P65" s="165"/>
      <c r="Q65" s="165"/>
      <c r="R65" s="165"/>
      <c r="S65" s="165"/>
      <c r="T65" s="165"/>
    </row>
    <row r="66" spans="15:20">
      <c r="O66" s="165"/>
      <c r="P66" s="165"/>
      <c r="Q66" s="165"/>
      <c r="R66" s="165"/>
      <c r="S66" s="165"/>
      <c r="T66" s="165"/>
    </row>
    <row r="67" spans="15:20">
      <c r="O67" s="165"/>
      <c r="P67" s="165"/>
      <c r="Q67" s="165"/>
      <c r="R67" s="165"/>
      <c r="S67" s="165"/>
      <c r="T67" s="165"/>
    </row>
    <row r="68" spans="15:20">
      <c r="O68" s="165"/>
      <c r="P68" s="165"/>
      <c r="Q68" s="165"/>
      <c r="R68" s="165"/>
      <c r="S68" s="165"/>
      <c r="T68" s="165"/>
    </row>
  </sheetData>
  <mergeCells count="116">
    <mergeCell ref="H4:K4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B29:C29"/>
    <mergeCell ref="D29:E29"/>
    <mergeCell ref="F29:G2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N34:Q34"/>
    <mergeCell ref="B35:C35"/>
    <mergeCell ref="D35:E35"/>
    <mergeCell ref="F35:G35"/>
    <mergeCell ref="N35:Q35"/>
    <mergeCell ref="N37:Q37"/>
    <mergeCell ref="A39:B39"/>
    <mergeCell ref="C39:D39"/>
    <mergeCell ref="H39:J39"/>
    <mergeCell ref="N39:Q39"/>
    <mergeCell ref="A41:B41"/>
    <mergeCell ref="C41:D41"/>
    <mergeCell ref="H41:J41"/>
    <mergeCell ref="N41:Q41"/>
    <mergeCell ref="H43:J43"/>
    <mergeCell ref="N43:Q43"/>
    <mergeCell ref="N45:Q45"/>
    <mergeCell ref="A6:A7"/>
    <mergeCell ref="A33:A34"/>
    <mergeCell ref="H6:H7"/>
    <mergeCell ref="H33:H34"/>
    <mergeCell ref="I6:I7"/>
    <mergeCell ref="I33:I34"/>
    <mergeCell ref="J6:J7"/>
    <mergeCell ref="K6:K7"/>
    <mergeCell ref="L6:L7"/>
    <mergeCell ref="M6:M7"/>
    <mergeCell ref="N6:N7"/>
    <mergeCell ref="O6:O7"/>
    <mergeCell ref="T6:T7"/>
    <mergeCell ref="U6:U7"/>
    <mergeCell ref="B33:C34"/>
    <mergeCell ref="D33:E34"/>
    <mergeCell ref="F33:G34"/>
  </mergeCells>
  <conditionalFormatting sqref="O8">
    <cfRule type="cellIs" dxfId="0" priority="10" operator="equal">
      <formula>"N/A"</formula>
    </cfRule>
  </conditionalFormatting>
  <conditionalFormatting sqref="A30">
    <cfRule type="cellIs" dxfId="1" priority="11" operator="equal">
      <formula>"STB"</formula>
    </cfRule>
    <cfRule type="cellIs" dxfId="0" priority="12" operator="equal">
      <formula>"BD"</formula>
    </cfRule>
  </conditionalFormatting>
  <conditionalFormatting sqref="B8:B31">
    <cfRule type="cellIs" dxfId="1" priority="1" operator="equal">
      <formula>"STB"</formula>
    </cfRule>
    <cfRule type="cellIs" dxfId="0" priority="2" operator="equal">
      <formula>"BD"</formula>
    </cfRule>
  </conditionalFormatting>
  <conditionalFormatting sqref="D8:D31">
    <cfRule type="cellIs" dxfId="1" priority="8" operator="equal">
      <formula>"STB"</formula>
    </cfRule>
    <cfRule type="cellIs" dxfId="0" priority="9" operator="equal">
      <formula>"BD"</formula>
    </cfRule>
  </conditionalFormatting>
  <conditionalFormatting sqref="F8:F31">
    <cfRule type="cellIs" dxfId="1" priority="3" operator="equal">
      <formula>"STB"</formula>
    </cfRule>
    <cfRule type="cellIs" dxfId="0" priority="4" operator="equal">
      <formula>"BD"</formula>
    </cfRule>
  </conditionalFormatting>
  <conditionalFormatting sqref="H8:H31">
    <cfRule type="top10" dxfId="2" priority="5" bottom="1" rank="1"/>
    <cfRule type="top10" dxfId="3" priority="6" rank="1"/>
    <cfRule type="cellIs" dxfId="4" priority="7" stopIfTrue="1" operator="equal">
      <formula>28000</formula>
    </cfRule>
  </conditionalFormatting>
  <conditionalFormatting sqref="H32:H33">
    <cfRule type="top10" dxfId="2" priority="14" bottom="1" rank="1"/>
    <cfRule type="top10" dxfId="3" priority="15" rank="1"/>
    <cfRule type="cellIs" dxfId="4" priority="17" stopIfTrue="1" operator="equal">
      <formula>28000</formula>
    </cfRule>
  </conditionalFormatting>
  <conditionalFormatting sqref="Y8:Y31">
    <cfRule type="containsText" dxfId="5" priority="13" operator="between" text="-">
      <formula>NOT(ISERROR(SEARCH("-",Y8)))</formula>
    </cfRule>
  </conditionalFormatting>
  <conditionalFormatting sqref="N8 N9:O31">
    <cfRule type="cellIs" dxfId="0" priority="16" operator="equal">
      <formula>"BD"</formula>
    </cfRule>
  </conditionalFormatting>
  <pageMargins left="0.7" right="0.7" top="0.75" bottom="0.75" header="0.3" footer="0.3"/>
  <pageSetup paperSize="1" orientation="portrait" verticalDpi="360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C68"/>
  <sheetViews>
    <sheetView zoomScale="80" zoomScaleNormal="80" workbookViewId="0">
      <pane ySplit="7" topLeftCell="A16" activePane="bottomLeft" state="frozen"/>
      <selection/>
      <selection pane="bottomLeft" activeCell="A3" sqref="$A3:$XFD3"/>
    </sheetView>
  </sheetViews>
  <sheetFormatPr defaultColWidth="8.81666666666667" defaultRowHeight="14.25"/>
  <cols>
    <col min="1" max="1" width="16.725" customWidth="1"/>
    <col min="2" max="2" width="8.725" customWidth="1"/>
    <col min="3" max="7" width="5.725" customWidth="1"/>
    <col min="8" max="8" width="14.2666666666667" customWidth="1"/>
    <col min="9" max="9" width="15.1833333333333" customWidth="1"/>
    <col min="10" max="10" width="15.5416666666667" customWidth="1"/>
    <col min="11" max="11" width="7" customWidth="1"/>
    <col min="12" max="12" width="8.54166666666667" customWidth="1"/>
    <col min="13" max="13" width="11.725" style="5" customWidth="1"/>
    <col min="14" max="14" width="17.1833333333333" customWidth="1"/>
    <col min="15" max="15" width="15.45" customWidth="1"/>
    <col min="16" max="16" width="7.45" customWidth="1"/>
    <col min="17" max="17" width="9.54166666666667" customWidth="1"/>
    <col min="18" max="18" width="10" customWidth="1"/>
    <col min="19" max="20" width="9.81666666666667" customWidth="1"/>
    <col min="21" max="21" width="6.725" customWidth="1"/>
    <col min="22" max="22" width="13.8166666666667" customWidth="1"/>
    <col min="23" max="23" width="11.2666666666667" customWidth="1"/>
    <col min="24" max="24" width="9.26666666666667" customWidth="1"/>
    <col min="25" max="25" width="3.725" customWidth="1"/>
    <col min="26" max="29" width="7.725" customWidth="1"/>
    <col min="30" max="30" width="6.725" customWidth="1"/>
  </cols>
  <sheetData>
    <row r="1" ht="3" customHeight="1"/>
    <row r="2" ht="6" customHeight="1" spans="1:2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="1" customFormat="1" ht="6.75" customHeight="1" spans="1:29">
      <c r="K3" s="7"/>
      <c r="L3" s="8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17.25" customHeight="1" spans="1:29">
      <c r="A4" s="1"/>
      <c r="B4" s="10"/>
      <c r="C4" s="10"/>
      <c r="D4" s="10"/>
      <c r="E4" s="11"/>
      <c r="F4" s="11"/>
      <c r="G4" s="11"/>
      <c r="H4" s="12">
        <f>'[25]Taniwel daily'!C4</f>
        <v>45316</v>
      </c>
      <c r="I4" s="13"/>
      <c r="J4" s="13"/>
      <c r="K4" s="14"/>
      <c r="L4" s="15"/>
      <c r="M4" s="16"/>
      <c r="N4" s="10"/>
      <c r="O4" s="10"/>
      <c r="P4" s="10"/>
      <c r="Q4" s="10"/>
      <c r="R4" s="10"/>
      <c r="S4" s="10"/>
      <c r="T4" s="10"/>
      <c r="U4" s="10"/>
      <c r="V4" s="7"/>
      <c r="W4" s="7"/>
      <c r="X4" s="7"/>
      <c r="Y4" s="7"/>
      <c r="Z4" s="7"/>
      <c r="AA4" s="7"/>
      <c r="AB4" s="7"/>
      <c r="AC4" s="7"/>
    </row>
    <row r="5" ht="7.5" customHeight="1" spans="1:29">
      <c r="A5" s="1"/>
      <c r="B5" s="17"/>
      <c r="C5" s="1"/>
      <c r="D5" s="1"/>
      <c r="E5" s="1"/>
      <c r="F5" s="1"/>
      <c r="G5" s="1"/>
      <c r="H5" s="1"/>
      <c r="I5" s="1"/>
      <c r="J5" s="1"/>
      <c r="K5" s="18"/>
      <c r="L5" s="7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ht="17.25" customHeight="1" spans="1:29">
      <c r="A6" s="19" t="s">
        <v>0</v>
      </c>
      <c r="B6" s="20" t="s">
        <v>1</v>
      </c>
      <c r="C6" s="21"/>
      <c r="D6" s="20" t="s">
        <v>2</v>
      </c>
      <c r="E6" s="21"/>
      <c r="F6" s="20" t="s">
        <v>3</v>
      </c>
      <c r="G6" s="21"/>
      <c r="H6" s="22" t="s">
        <v>4</v>
      </c>
      <c r="I6" s="22" t="s">
        <v>5</v>
      </c>
      <c r="J6" s="23" t="s">
        <v>6</v>
      </c>
      <c r="K6" s="19" t="s">
        <v>0</v>
      </c>
      <c r="L6" s="24" t="s">
        <v>7</v>
      </c>
      <c r="M6" s="25" t="s">
        <v>8</v>
      </c>
      <c r="N6" s="26" t="s">
        <v>9</v>
      </c>
      <c r="O6" s="25" t="s">
        <v>10</v>
      </c>
      <c r="P6" s="27"/>
      <c r="Q6" s="28"/>
      <c r="R6" s="28"/>
      <c r="S6" s="28"/>
      <c r="T6" s="28"/>
      <c r="U6" s="29"/>
    </row>
    <row r="7" ht="15.75" customHeight="1" spans="1:29">
      <c r="A7" s="30"/>
      <c r="B7" s="31">
        <v>1</v>
      </c>
      <c r="C7" s="32"/>
      <c r="D7" s="31">
        <v>2</v>
      </c>
      <c r="E7" s="32"/>
      <c r="F7" s="31">
        <v>3</v>
      </c>
      <c r="G7" s="32"/>
      <c r="H7" s="33"/>
      <c r="I7" s="33"/>
      <c r="J7" s="34"/>
      <c r="K7" s="30"/>
      <c r="L7" s="35"/>
      <c r="M7" s="36"/>
      <c r="N7" s="37"/>
      <c r="O7" s="38"/>
      <c r="P7" s="27"/>
      <c r="Q7" s="28"/>
      <c r="R7" s="28"/>
      <c r="S7" s="28"/>
      <c r="T7" s="28"/>
      <c r="U7" s="29"/>
      <c r="X7" s="39"/>
    </row>
    <row r="8" s="2" customFormat="1" ht="15" customHeight="1" spans="1:29">
      <c r="A8" s="40">
        <v>0.0416666666666666</v>
      </c>
      <c r="B8" s="41" t="s">
        <v>11</v>
      </c>
      <c r="C8" s="42"/>
      <c r="D8" s="41">
        <v>263</v>
      </c>
      <c r="E8" s="42"/>
      <c r="F8" s="41">
        <v>270</v>
      </c>
      <c r="G8" s="42"/>
      <c r="H8" s="43">
        <f t="shared" ref="H8:H31" si="0">IF(SUM(B8:G8)/1000=0,"0",SUM(B8:G8))</f>
        <v>533</v>
      </c>
      <c r="I8" s="44">
        <f t="shared" ref="I8:I31" si="1">IFERROR(AVERAGE(B8:G8),"0")</f>
        <v>266.5</v>
      </c>
      <c r="J8" s="45">
        <f t="shared" ref="J8:J31" si="2">COUNT(B8:G8)</f>
        <v>2</v>
      </c>
      <c r="K8" s="46">
        <v>0.0416666666666667</v>
      </c>
      <c r="L8" s="47">
        <v>4500</v>
      </c>
      <c r="M8" s="48">
        <v>179.64</v>
      </c>
      <c r="N8" s="49">
        <f>(M9-M8)*12000</f>
        <v>480.000000000246</v>
      </c>
      <c r="O8" s="50"/>
      <c r="P8" s="51"/>
      <c r="Q8" s="52"/>
      <c r="R8" s="52"/>
      <c r="S8" s="52"/>
      <c r="T8" s="52"/>
      <c r="U8" s="53"/>
    </row>
    <row r="9" s="3" customFormat="1" ht="15" customHeight="1" spans="1:29">
      <c r="A9" s="40">
        <v>0.0833333333333333</v>
      </c>
      <c r="B9" s="41" t="s">
        <v>11</v>
      </c>
      <c r="C9" s="42"/>
      <c r="D9" s="41">
        <v>251</v>
      </c>
      <c r="E9" s="42"/>
      <c r="F9" s="41">
        <v>260</v>
      </c>
      <c r="G9" s="42"/>
      <c r="H9" s="43">
        <f t="shared" si="0"/>
        <v>511</v>
      </c>
      <c r="I9" s="44">
        <f t="shared" si="1"/>
        <v>255.5</v>
      </c>
      <c r="J9" s="45">
        <f t="shared" si="2"/>
        <v>2</v>
      </c>
      <c r="K9" s="46">
        <v>0.0833333333333333</v>
      </c>
      <c r="L9" s="47">
        <v>4200</v>
      </c>
      <c r="M9" s="54">
        <v>179.68</v>
      </c>
      <c r="N9" s="49">
        <f t="shared" ref="N9:N30" si="3">(M10-M9)*12000</f>
        <v>479.999999999905</v>
      </c>
      <c r="O9" s="55"/>
      <c r="P9" s="51"/>
      <c r="Q9" s="52"/>
      <c r="R9" s="52"/>
      <c r="S9" s="52"/>
      <c r="T9" s="52"/>
      <c r="U9" s="53"/>
    </row>
    <row r="10" s="3" customFormat="1" ht="15" customHeight="1" spans="1:29">
      <c r="A10" s="40">
        <v>0.125</v>
      </c>
      <c r="B10" s="41" t="s">
        <v>11</v>
      </c>
      <c r="C10" s="42"/>
      <c r="D10" s="41">
        <v>235</v>
      </c>
      <c r="E10" s="42"/>
      <c r="F10" s="41">
        <v>248</v>
      </c>
      <c r="G10" s="42"/>
      <c r="H10" s="43">
        <f t="shared" si="0"/>
        <v>483</v>
      </c>
      <c r="I10" s="44">
        <f t="shared" si="1"/>
        <v>241.5</v>
      </c>
      <c r="J10" s="45">
        <f t="shared" si="2"/>
        <v>2</v>
      </c>
      <c r="K10" s="46">
        <v>0.125</v>
      </c>
      <c r="L10" s="47">
        <v>4200</v>
      </c>
      <c r="M10" s="54">
        <v>179.72</v>
      </c>
      <c r="N10" s="49">
        <f t="shared" si="3"/>
        <v>600.000000000136</v>
      </c>
      <c r="O10" s="56"/>
      <c r="P10" s="51"/>
      <c r="Q10" s="52"/>
      <c r="R10" s="52"/>
      <c r="S10" s="52"/>
      <c r="T10" s="52"/>
      <c r="U10" s="53"/>
    </row>
    <row r="11" s="3" customFormat="1" ht="15" customHeight="1" spans="1:29">
      <c r="A11" s="40">
        <v>0.166666666666667</v>
      </c>
      <c r="B11" s="41" t="s">
        <v>11</v>
      </c>
      <c r="C11" s="42"/>
      <c r="D11" s="41">
        <v>234</v>
      </c>
      <c r="E11" s="42"/>
      <c r="F11" s="41">
        <v>240</v>
      </c>
      <c r="G11" s="42"/>
      <c r="H11" s="43">
        <f t="shared" si="0"/>
        <v>474</v>
      </c>
      <c r="I11" s="44">
        <f t="shared" si="1"/>
        <v>237</v>
      </c>
      <c r="J11" s="45">
        <f t="shared" si="2"/>
        <v>2</v>
      </c>
      <c r="K11" s="46">
        <v>0.166666666666667</v>
      </c>
      <c r="L11" s="47">
        <v>4000</v>
      </c>
      <c r="M11" s="54">
        <v>179.77</v>
      </c>
      <c r="N11" s="49">
        <f t="shared" si="3"/>
        <v>479.999999999905</v>
      </c>
      <c r="O11" s="56"/>
      <c r="P11" s="51"/>
      <c r="Q11" s="52"/>
      <c r="R11" s="52"/>
      <c r="S11" s="52"/>
      <c r="T11" s="52"/>
      <c r="U11" s="53"/>
    </row>
    <row r="12" s="3" customFormat="1" ht="15" customHeight="1" spans="1:29">
      <c r="A12" s="40">
        <v>0.208333333333333</v>
      </c>
      <c r="B12" s="41" t="s">
        <v>11</v>
      </c>
      <c r="C12" s="42"/>
      <c r="D12" s="41" t="s">
        <v>26</v>
      </c>
      <c r="E12" s="42"/>
      <c r="F12" s="41">
        <v>450</v>
      </c>
      <c r="G12" s="42"/>
      <c r="H12" s="43">
        <f t="shared" si="0"/>
        <v>450</v>
      </c>
      <c r="I12" s="44">
        <f t="shared" si="1"/>
        <v>450</v>
      </c>
      <c r="J12" s="45">
        <f t="shared" si="2"/>
        <v>1</v>
      </c>
      <c r="K12" s="46">
        <v>0.208333333333333</v>
      </c>
      <c r="L12" s="47">
        <v>3900</v>
      </c>
      <c r="M12" s="54">
        <v>179.81</v>
      </c>
      <c r="N12" s="49">
        <f t="shared" si="3"/>
        <v>479.999999999905</v>
      </c>
      <c r="O12" s="56"/>
      <c r="P12" s="51"/>
      <c r="Q12" s="52"/>
      <c r="R12" s="52"/>
      <c r="S12" s="52"/>
      <c r="T12" s="52"/>
      <c r="U12" s="53"/>
    </row>
    <row r="13" s="3" customFormat="1" ht="15" customHeight="1" spans="1:29">
      <c r="A13" s="40">
        <v>0.25</v>
      </c>
      <c r="B13" s="41" t="s">
        <v>11</v>
      </c>
      <c r="C13" s="42"/>
      <c r="D13" s="41" t="s">
        <v>26</v>
      </c>
      <c r="E13" s="42"/>
      <c r="F13" s="41">
        <v>392</v>
      </c>
      <c r="G13" s="42"/>
      <c r="H13" s="43">
        <f t="shared" si="0"/>
        <v>392</v>
      </c>
      <c r="I13" s="44">
        <f t="shared" si="1"/>
        <v>392</v>
      </c>
      <c r="J13" s="45">
        <f t="shared" si="2"/>
        <v>1</v>
      </c>
      <c r="K13" s="46">
        <v>0.25</v>
      </c>
      <c r="L13" s="47">
        <v>3600</v>
      </c>
      <c r="M13" s="54">
        <v>179.85</v>
      </c>
      <c r="N13" s="49">
        <f t="shared" si="3"/>
        <v>479.999999999905</v>
      </c>
      <c r="O13" s="56"/>
      <c r="P13" s="51"/>
      <c r="Q13" s="52"/>
      <c r="R13" s="52"/>
      <c r="S13" s="52"/>
      <c r="T13" s="52"/>
      <c r="U13" s="53"/>
    </row>
    <row r="14" s="3" customFormat="1" ht="15" customHeight="1" spans="1:29">
      <c r="A14" s="40">
        <v>0.291666666666667</v>
      </c>
      <c r="B14" s="41" t="s">
        <v>11</v>
      </c>
      <c r="C14" s="42"/>
      <c r="D14" s="41" t="s">
        <v>26</v>
      </c>
      <c r="E14" s="42"/>
      <c r="F14" s="41">
        <v>418</v>
      </c>
      <c r="G14" s="42"/>
      <c r="H14" s="43">
        <f t="shared" si="0"/>
        <v>418</v>
      </c>
      <c r="I14" s="44">
        <f t="shared" si="1"/>
        <v>418</v>
      </c>
      <c r="J14" s="45">
        <f t="shared" si="2"/>
        <v>1</v>
      </c>
      <c r="K14" s="46">
        <v>0.291666666666667</v>
      </c>
      <c r="L14" s="47">
        <v>3600</v>
      </c>
      <c r="M14" s="54">
        <v>179.89</v>
      </c>
      <c r="N14" s="49">
        <f t="shared" si="3"/>
        <v>600.000000000136</v>
      </c>
      <c r="O14" s="56"/>
      <c r="P14" s="51"/>
      <c r="Q14" s="52"/>
      <c r="R14" s="52"/>
      <c r="S14" s="52"/>
      <c r="T14" s="52"/>
      <c r="U14" s="53"/>
    </row>
    <row r="15" s="3" customFormat="1" ht="15" customHeight="1" spans="1:29">
      <c r="A15" s="40">
        <v>0.333333333333333</v>
      </c>
      <c r="B15" s="41" t="s">
        <v>11</v>
      </c>
      <c r="C15" s="42"/>
      <c r="D15" s="41">
        <v>231</v>
      </c>
      <c r="E15" s="42"/>
      <c r="F15" s="41">
        <v>229</v>
      </c>
      <c r="G15" s="42"/>
      <c r="H15" s="43">
        <f t="shared" si="0"/>
        <v>460</v>
      </c>
      <c r="I15" s="44">
        <f t="shared" si="1"/>
        <v>230</v>
      </c>
      <c r="J15" s="45">
        <f t="shared" si="2"/>
        <v>2</v>
      </c>
      <c r="K15" s="46">
        <v>0.333333333333333</v>
      </c>
      <c r="L15" s="47">
        <v>3600</v>
      </c>
      <c r="M15" s="54">
        <v>179.94</v>
      </c>
      <c r="N15" s="49">
        <f t="shared" si="3"/>
        <v>479.999999999905</v>
      </c>
      <c r="O15" s="56"/>
      <c r="P15" s="51"/>
      <c r="Q15" s="52"/>
      <c r="R15" s="52"/>
      <c r="S15" s="52"/>
      <c r="T15" s="52"/>
      <c r="U15" s="53"/>
    </row>
    <row r="16" s="3" customFormat="1" ht="15" customHeight="1" spans="1:29">
      <c r="A16" s="40">
        <v>0.375</v>
      </c>
      <c r="B16" s="41" t="s">
        <v>11</v>
      </c>
      <c r="C16" s="42"/>
      <c r="D16" s="41">
        <v>442</v>
      </c>
      <c r="E16" s="42"/>
      <c r="F16" s="41" t="s">
        <v>26</v>
      </c>
      <c r="G16" s="42"/>
      <c r="H16" s="43">
        <f t="shared" si="0"/>
        <v>442</v>
      </c>
      <c r="I16" s="44">
        <f t="shared" si="1"/>
        <v>442</v>
      </c>
      <c r="J16" s="45">
        <f t="shared" si="2"/>
        <v>1</v>
      </c>
      <c r="K16" s="46">
        <v>0.375</v>
      </c>
      <c r="L16" s="47">
        <v>3600</v>
      </c>
      <c r="M16" s="54">
        <v>179.98</v>
      </c>
      <c r="N16" s="49">
        <f t="shared" si="3"/>
        <v>480.000000000246</v>
      </c>
      <c r="O16" s="56"/>
      <c r="P16" s="51"/>
      <c r="Q16" s="52"/>
      <c r="R16" s="52"/>
      <c r="S16" s="52"/>
      <c r="T16" s="52"/>
      <c r="U16" s="53"/>
    </row>
    <row r="17" s="3" customFormat="1" ht="15" customHeight="1" spans="1:21">
      <c r="A17" s="40">
        <v>0.416666666666667</v>
      </c>
      <c r="B17" s="41" t="s">
        <v>11</v>
      </c>
      <c r="C17" s="42"/>
      <c r="D17" s="41">
        <v>421</v>
      </c>
      <c r="E17" s="42"/>
      <c r="F17" s="41" t="s">
        <v>26</v>
      </c>
      <c r="G17" s="42"/>
      <c r="H17" s="43">
        <f t="shared" si="0"/>
        <v>421</v>
      </c>
      <c r="I17" s="44">
        <f t="shared" si="1"/>
        <v>421</v>
      </c>
      <c r="J17" s="45">
        <f t="shared" si="2"/>
        <v>1</v>
      </c>
      <c r="K17" s="46">
        <v>0.416666666666666</v>
      </c>
      <c r="L17" s="47">
        <v>3400</v>
      </c>
      <c r="M17" s="54">
        <v>180.02</v>
      </c>
      <c r="N17" s="49">
        <f t="shared" si="3"/>
        <v>479.999999999905</v>
      </c>
      <c r="O17" s="56"/>
      <c r="P17" s="51"/>
      <c r="Q17" s="52"/>
      <c r="R17" s="52"/>
      <c r="S17" s="52"/>
      <c r="T17" s="52"/>
      <c r="U17" s="53"/>
    </row>
    <row r="18" s="3" customFormat="1" ht="15" customHeight="1" spans="1:21">
      <c r="A18" s="40">
        <v>0.458333333333333</v>
      </c>
      <c r="B18" s="41" t="s">
        <v>11</v>
      </c>
      <c r="C18" s="42"/>
      <c r="D18" s="41">
        <v>443</v>
      </c>
      <c r="E18" s="42"/>
      <c r="F18" s="41" t="s">
        <v>26</v>
      </c>
      <c r="G18" s="42"/>
      <c r="H18" s="43">
        <f t="shared" si="0"/>
        <v>443</v>
      </c>
      <c r="I18" s="44">
        <f t="shared" si="1"/>
        <v>443</v>
      </c>
      <c r="J18" s="45">
        <f t="shared" si="2"/>
        <v>1</v>
      </c>
      <c r="K18" s="46">
        <v>0.458333333333333</v>
      </c>
      <c r="L18" s="47">
        <v>3300</v>
      </c>
      <c r="M18" s="54">
        <v>180.06</v>
      </c>
      <c r="N18" s="49">
        <f t="shared" si="3"/>
        <v>479.999999999905</v>
      </c>
      <c r="O18" s="56"/>
      <c r="P18" s="51"/>
      <c r="Q18" s="52"/>
      <c r="R18" s="52"/>
      <c r="S18" s="52"/>
      <c r="T18" s="52"/>
      <c r="U18" s="53"/>
    </row>
    <row r="19" s="3" customFormat="1" ht="15" customHeight="1" spans="1:21">
      <c r="A19" s="40">
        <v>0.5</v>
      </c>
      <c r="B19" s="41" t="s">
        <v>11</v>
      </c>
      <c r="C19" s="42"/>
      <c r="D19" s="41">
        <v>439</v>
      </c>
      <c r="E19" s="42"/>
      <c r="F19" s="41" t="s">
        <v>26</v>
      </c>
      <c r="G19" s="42"/>
      <c r="H19" s="43">
        <f t="shared" si="0"/>
        <v>439</v>
      </c>
      <c r="I19" s="44">
        <f t="shared" si="1"/>
        <v>439</v>
      </c>
      <c r="J19" s="45">
        <f t="shared" si="2"/>
        <v>1</v>
      </c>
      <c r="K19" s="46">
        <v>0.5</v>
      </c>
      <c r="L19" s="47">
        <v>3300</v>
      </c>
      <c r="M19" s="54">
        <v>180.1</v>
      </c>
      <c r="N19" s="49">
        <f t="shared" si="3"/>
        <v>479.999999999905</v>
      </c>
      <c r="O19" s="56"/>
      <c r="P19" s="51"/>
      <c r="Q19" s="52"/>
      <c r="R19" s="52"/>
      <c r="S19" s="52"/>
      <c r="T19" s="52"/>
      <c r="U19" s="53"/>
    </row>
    <row r="20" s="3" customFormat="1" ht="15" customHeight="1" spans="1:21">
      <c r="A20" s="40">
        <v>0.541666666666667</v>
      </c>
      <c r="B20" s="41" t="s">
        <v>11</v>
      </c>
      <c r="C20" s="42"/>
      <c r="D20" s="41">
        <v>424</v>
      </c>
      <c r="E20" s="42"/>
      <c r="F20" s="41" t="s">
        <v>26</v>
      </c>
      <c r="G20" s="42"/>
      <c r="H20" s="43">
        <f t="shared" si="0"/>
        <v>424</v>
      </c>
      <c r="I20" s="44">
        <f t="shared" si="1"/>
        <v>424</v>
      </c>
      <c r="J20" s="45">
        <f t="shared" si="2"/>
        <v>1</v>
      </c>
      <c r="K20" s="46">
        <v>0.541666666666667</v>
      </c>
      <c r="L20" s="47">
        <v>3000</v>
      </c>
      <c r="M20" s="54">
        <v>180.14</v>
      </c>
      <c r="N20" s="49">
        <f t="shared" si="3"/>
        <v>480.000000000246</v>
      </c>
      <c r="O20" s="56"/>
      <c r="P20" s="51"/>
      <c r="Q20" s="52"/>
      <c r="R20" s="52"/>
      <c r="S20" s="52"/>
      <c r="T20" s="52"/>
      <c r="U20" s="53"/>
    </row>
    <row r="21" s="3" customFormat="1" ht="15" customHeight="1" spans="1:21">
      <c r="A21" s="40">
        <v>0.583333333333333</v>
      </c>
      <c r="B21" s="41" t="s">
        <v>11</v>
      </c>
      <c r="C21" s="42"/>
      <c r="D21" s="41">
        <v>417</v>
      </c>
      <c r="E21" s="42"/>
      <c r="F21" s="41" t="s">
        <v>26</v>
      </c>
      <c r="G21" s="42"/>
      <c r="H21" s="43">
        <f t="shared" si="0"/>
        <v>417</v>
      </c>
      <c r="I21" s="44">
        <f t="shared" si="1"/>
        <v>417</v>
      </c>
      <c r="J21" s="45">
        <f t="shared" si="2"/>
        <v>1</v>
      </c>
      <c r="K21" s="46">
        <v>0.583333333333333</v>
      </c>
      <c r="L21" s="47">
        <v>3000</v>
      </c>
      <c r="M21" s="54">
        <v>180.18</v>
      </c>
      <c r="N21" s="49">
        <f t="shared" si="3"/>
        <v>479.999999999905</v>
      </c>
      <c r="O21" s="56"/>
      <c r="P21" s="51"/>
      <c r="Q21" s="52"/>
      <c r="R21" s="52"/>
      <c r="S21" s="52"/>
      <c r="T21" s="52"/>
      <c r="U21" s="53"/>
    </row>
    <row r="22" s="3" customFormat="1" ht="15" customHeight="1" spans="1:21">
      <c r="A22" s="40">
        <v>0.625</v>
      </c>
      <c r="B22" s="41" t="s">
        <v>11</v>
      </c>
      <c r="C22" s="42"/>
      <c r="D22" s="41">
        <v>403</v>
      </c>
      <c r="E22" s="42"/>
      <c r="F22" s="41" t="s">
        <v>26</v>
      </c>
      <c r="G22" s="42"/>
      <c r="H22" s="43">
        <f t="shared" si="0"/>
        <v>403</v>
      </c>
      <c r="I22" s="44">
        <f t="shared" si="1"/>
        <v>403</v>
      </c>
      <c r="J22" s="45">
        <f t="shared" si="2"/>
        <v>1</v>
      </c>
      <c r="K22" s="46">
        <v>0.625</v>
      </c>
      <c r="L22" s="47">
        <v>3000</v>
      </c>
      <c r="M22" s="54">
        <v>180.22</v>
      </c>
      <c r="N22" s="49">
        <f t="shared" si="3"/>
        <v>479.999999999905</v>
      </c>
      <c r="O22" s="56"/>
      <c r="P22" s="51"/>
      <c r="Q22" s="52"/>
      <c r="R22" s="52"/>
      <c r="S22" s="52"/>
      <c r="T22" s="52"/>
      <c r="U22" s="53"/>
    </row>
    <row r="23" s="3" customFormat="1" ht="15" customHeight="1" spans="1:21">
      <c r="A23" s="40">
        <v>0.666666666666667</v>
      </c>
      <c r="B23" s="41" t="s">
        <v>11</v>
      </c>
      <c r="C23" s="42"/>
      <c r="D23" s="41">
        <v>429</v>
      </c>
      <c r="E23" s="42"/>
      <c r="F23" s="41" t="s">
        <v>26</v>
      </c>
      <c r="G23" s="42"/>
      <c r="H23" s="43">
        <f t="shared" si="0"/>
        <v>429</v>
      </c>
      <c r="I23" s="44">
        <f t="shared" si="1"/>
        <v>429</v>
      </c>
      <c r="J23" s="45">
        <f t="shared" si="2"/>
        <v>1</v>
      </c>
      <c r="K23" s="46">
        <v>0.666666666666666</v>
      </c>
      <c r="L23" s="47">
        <v>3000</v>
      </c>
      <c r="M23" s="54">
        <v>180.26</v>
      </c>
      <c r="N23" s="49">
        <f t="shared" si="3"/>
        <v>480.000000000246</v>
      </c>
      <c r="O23" s="56"/>
      <c r="P23" s="51"/>
      <c r="Q23" s="52"/>
      <c r="R23" s="52"/>
      <c r="S23" s="52"/>
      <c r="T23" s="52"/>
      <c r="U23" s="53"/>
    </row>
    <row r="24" s="3" customFormat="1" ht="15" customHeight="1" spans="1:21">
      <c r="A24" s="40">
        <v>0.708333333333334</v>
      </c>
      <c r="B24" s="41" t="s">
        <v>11</v>
      </c>
      <c r="C24" s="42"/>
      <c r="D24" s="41">
        <v>445</v>
      </c>
      <c r="E24" s="42"/>
      <c r="F24" s="41" t="s">
        <v>26</v>
      </c>
      <c r="G24" s="42"/>
      <c r="H24" s="43">
        <f t="shared" si="0"/>
        <v>445</v>
      </c>
      <c r="I24" s="44">
        <f t="shared" si="1"/>
        <v>445</v>
      </c>
      <c r="J24" s="45">
        <f t="shared" si="2"/>
        <v>1</v>
      </c>
      <c r="K24" s="46">
        <v>0.708333333333333</v>
      </c>
      <c r="L24" s="47">
        <v>2700</v>
      </c>
      <c r="M24" s="54">
        <v>180.3</v>
      </c>
      <c r="N24" s="49">
        <f t="shared" si="3"/>
        <v>599.999999999795</v>
      </c>
      <c r="O24" s="56"/>
      <c r="P24" s="51"/>
      <c r="Q24" s="52"/>
      <c r="R24" s="52"/>
      <c r="S24" s="52"/>
      <c r="T24" s="52"/>
      <c r="U24" s="53"/>
    </row>
    <row r="25" s="3" customFormat="1" ht="15" customHeight="1" spans="1:21">
      <c r="A25" s="40">
        <v>0.75</v>
      </c>
      <c r="B25" s="41" t="s">
        <v>11</v>
      </c>
      <c r="C25" s="42"/>
      <c r="D25" s="41">
        <v>472</v>
      </c>
      <c r="E25" s="42"/>
      <c r="F25" s="41" t="s">
        <v>26</v>
      </c>
      <c r="G25" s="42"/>
      <c r="H25" s="43">
        <f t="shared" si="0"/>
        <v>472</v>
      </c>
      <c r="I25" s="44">
        <f t="shared" si="1"/>
        <v>472</v>
      </c>
      <c r="J25" s="45">
        <f t="shared" si="2"/>
        <v>1</v>
      </c>
      <c r="K25" s="46">
        <v>0.75</v>
      </c>
      <c r="L25" s="47">
        <v>2400</v>
      </c>
      <c r="M25" s="54">
        <v>180.35</v>
      </c>
      <c r="N25" s="49">
        <f t="shared" si="3"/>
        <v>479.999999999905</v>
      </c>
      <c r="O25" s="56"/>
      <c r="P25" s="51"/>
      <c r="Q25" s="52"/>
      <c r="R25" s="52"/>
      <c r="S25" s="52"/>
      <c r="T25" s="52"/>
      <c r="U25" s="53"/>
    </row>
    <row r="26" s="3" customFormat="1" ht="15" customHeight="1" spans="1:21">
      <c r="A26" s="40">
        <v>0.791666666666667</v>
      </c>
      <c r="B26" s="41" t="s">
        <v>11</v>
      </c>
      <c r="C26" s="42"/>
      <c r="D26" s="41">
        <v>485</v>
      </c>
      <c r="E26" s="42"/>
      <c r="F26" s="41" t="s">
        <v>26</v>
      </c>
      <c r="G26" s="42"/>
      <c r="H26" s="43">
        <f t="shared" si="0"/>
        <v>485</v>
      </c>
      <c r="I26" s="44">
        <f t="shared" si="1"/>
        <v>485</v>
      </c>
      <c r="J26" s="45">
        <f t="shared" si="2"/>
        <v>1</v>
      </c>
      <c r="K26" s="46">
        <v>0.791666666666666</v>
      </c>
      <c r="L26" s="47">
        <v>2100</v>
      </c>
      <c r="M26" s="54">
        <v>180.39</v>
      </c>
      <c r="N26" s="49">
        <f t="shared" si="3"/>
        <v>600.000000000136</v>
      </c>
      <c r="O26" s="56"/>
      <c r="P26" s="51"/>
      <c r="Q26" s="52"/>
      <c r="R26" s="52"/>
      <c r="S26" s="52"/>
      <c r="T26" s="52"/>
      <c r="U26" s="53"/>
    </row>
    <row r="27" s="3" customFormat="1" ht="15" customHeight="1" spans="1:21">
      <c r="A27" s="40">
        <v>0.833333333333334</v>
      </c>
      <c r="B27" s="41" t="s">
        <v>11</v>
      </c>
      <c r="C27" s="42"/>
      <c r="D27" s="41">
        <v>263</v>
      </c>
      <c r="E27" s="42"/>
      <c r="F27" s="41">
        <v>287</v>
      </c>
      <c r="G27" s="42"/>
      <c r="H27" s="43">
        <f t="shared" si="0"/>
        <v>550</v>
      </c>
      <c r="I27" s="44">
        <f t="shared" si="1"/>
        <v>275</v>
      </c>
      <c r="J27" s="45">
        <f t="shared" si="2"/>
        <v>2</v>
      </c>
      <c r="K27" s="46">
        <v>0.833333333333333</v>
      </c>
      <c r="L27" s="47">
        <v>2100</v>
      </c>
      <c r="M27" s="54">
        <v>180.44</v>
      </c>
      <c r="N27" s="49">
        <f t="shared" si="3"/>
        <v>720.000000000027</v>
      </c>
      <c r="O27" s="56"/>
      <c r="P27" s="51"/>
      <c r="Q27" s="52"/>
      <c r="R27" s="52"/>
      <c r="S27" s="52"/>
      <c r="T27" s="52"/>
      <c r="U27" s="53"/>
    </row>
    <row r="28" s="4" customFormat="1" ht="15" customHeight="1" spans="1:21">
      <c r="A28" s="40">
        <v>0.875</v>
      </c>
      <c r="B28" s="41" t="s">
        <v>11</v>
      </c>
      <c r="C28" s="42"/>
      <c r="D28" s="41">
        <v>325</v>
      </c>
      <c r="E28" s="42"/>
      <c r="F28" s="41">
        <v>344</v>
      </c>
      <c r="G28" s="42"/>
      <c r="H28" s="43">
        <f t="shared" si="0"/>
        <v>669</v>
      </c>
      <c r="I28" s="44">
        <f t="shared" si="1"/>
        <v>334.5</v>
      </c>
      <c r="J28" s="45">
        <f t="shared" si="2"/>
        <v>2</v>
      </c>
      <c r="K28" s="46">
        <v>0.875</v>
      </c>
      <c r="L28" s="47">
        <v>1800</v>
      </c>
      <c r="M28" s="54">
        <v>180.5</v>
      </c>
      <c r="N28" s="49">
        <f t="shared" si="3"/>
        <v>839.999999999918</v>
      </c>
      <c r="O28" s="56"/>
      <c r="P28" s="51"/>
      <c r="Q28" s="52"/>
      <c r="R28" s="52"/>
      <c r="S28" s="52"/>
      <c r="T28" s="52"/>
      <c r="U28" s="53"/>
    </row>
    <row r="29" s="3" customFormat="1" ht="15" customHeight="1" spans="1:21">
      <c r="A29" s="40">
        <v>0.916666666666667</v>
      </c>
      <c r="B29" s="41" t="s">
        <v>11</v>
      </c>
      <c r="C29" s="42"/>
      <c r="D29" s="41">
        <v>306</v>
      </c>
      <c r="E29" s="42"/>
      <c r="F29" s="41">
        <v>298</v>
      </c>
      <c r="G29" s="42"/>
      <c r="H29" s="43">
        <f t="shared" si="0"/>
        <v>604</v>
      </c>
      <c r="I29" s="44">
        <f t="shared" si="1"/>
        <v>302</v>
      </c>
      <c r="J29" s="45">
        <f t="shared" si="2"/>
        <v>2</v>
      </c>
      <c r="K29" s="46">
        <v>0.916666666666666</v>
      </c>
      <c r="L29" s="47">
        <v>1800</v>
      </c>
      <c r="M29" s="54">
        <v>180.57</v>
      </c>
      <c r="N29" s="49">
        <f t="shared" si="3"/>
        <v>480.000000000246</v>
      </c>
      <c r="O29" s="56"/>
      <c r="P29" s="51"/>
      <c r="Q29" s="52"/>
      <c r="R29" s="52"/>
      <c r="S29" s="52"/>
      <c r="T29" s="52"/>
      <c r="U29" s="53"/>
    </row>
    <row r="30" s="3" customFormat="1" ht="15" customHeight="1" spans="1:21">
      <c r="A30" s="40">
        <v>0.958333333333334</v>
      </c>
      <c r="B30" s="41" t="s">
        <v>11</v>
      </c>
      <c r="C30" s="42"/>
      <c r="D30" s="41">
        <v>273</v>
      </c>
      <c r="E30" s="42"/>
      <c r="F30" s="41">
        <v>271</v>
      </c>
      <c r="G30" s="42"/>
      <c r="H30" s="43">
        <f t="shared" si="0"/>
        <v>544</v>
      </c>
      <c r="I30" s="44">
        <f t="shared" si="1"/>
        <v>272</v>
      </c>
      <c r="J30" s="45">
        <f t="shared" si="2"/>
        <v>2</v>
      </c>
      <c r="K30" s="46">
        <v>0.958333333333333</v>
      </c>
      <c r="L30" s="47">
        <v>1800</v>
      </c>
      <c r="M30" s="54">
        <v>180.61</v>
      </c>
      <c r="N30" s="49">
        <f t="shared" si="3"/>
        <v>479.999999999905</v>
      </c>
      <c r="O30" s="56"/>
      <c r="P30" s="51"/>
      <c r="Q30" s="52"/>
      <c r="R30" s="52"/>
      <c r="S30" s="52"/>
      <c r="T30" s="52"/>
      <c r="U30" s="53"/>
    </row>
    <row r="31" s="2" customFormat="1" ht="15" customHeight="1" spans="1:21">
      <c r="A31" s="57">
        <v>1</v>
      </c>
      <c r="B31" s="41" t="s">
        <v>11</v>
      </c>
      <c r="C31" s="42"/>
      <c r="D31" s="41">
        <v>250</v>
      </c>
      <c r="E31" s="42"/>
      <c r="F31" s="41">
        <v>251</v>
      </c>
      <c r="G31" s="42"/>
      <c r="H31" s="43">
        <f t="shared" si="0"/>
        <v>501</v>
      </c>
      <c r="I31" s="58">
        <f t="shared" si="1"/>
        <v>250.5</v>
      </c>
      <c r="J31" s="59">
        <f t="shared" si="2"/>
        <v>2</v>
      </c>
      <c r="K31" s="60">
        <v>1</v>
      </c>
      <c r="L31" s="47">
        <v>4500</v>
      </c>
      <c r="M31" s="61">
        <v>180.65</v>
      </c>
      <c r="N31" s="49">
        <f>H31</f>
        <v>501</v>
      </c>
      <c r="O31" s="56"/>
      <c r="P31" s="51"/>
      <c r="Q31" s="52"/>
      <c r="R31" s="52"/>
      <c r="S31" s="52"/>
      <c r="T31" s="52"/>
      <c r="U31" s="53"/>
    </row>
    <row r="32" s="3" customFormat="1" ht="23.25" customHeight="1" spans="1:21">
      <c r="A32" s="62" t="s">
        <v>12</v>
      </c>
      <c r="B32" s="63">
        <f>SUM(B8:B31)/1000</f>
        <v>0</v>
      </c>
      <c r="C32" s="64"/>
      <c r="D32" s="63">
        <f>SUM(D8:D31)/1000</f>
        <v>7.451</v>
      </c>
      <c r="E32" s="64"/>
      <c r="F32" s="63">
        <f>SUM(F8:F31)/1000</f>
        <v>3.958</v>
      </c>
      <c r="G32" s="64"/>
      <c r="H32" s="65">
        <f>SUM(H8:H31)</f>
        <v>11409</v>
      </c>
      <c r="I32" s="66" t="s">
        <v>13</v>
      </c>
      <c r="J32" s="67"/>
      <c r="K32" s="68"/>
      <c r="L32" s="69"/>
      <c r="M32" s="70">
        <f>SUM(M31-M8+N8)</f>
        <v>481.010000000246</v>
      </c>
      <c r="N32" s="71">
        <f>SUM(N8:N31)</f>
        <v>12621.0000000002</v>
      </c>
      <c r="O32" s="72">
        <f>SUM(O8:O31)</f>
        <v>0</v>
      </c>
      <c r="P32" s="73"/>
      <c r="Q32" s="74"/>
      <c r="R32" s="74"/>
      <c r="S32" s="74"/>
      <c r="T32" s="74"/>
      <c r="U32" s="75"/>
    </row>
    <row r="33" ht="15" customHeight="1" spans="1:29">
      <c r="A33" s="76" t="s">
        <v>14</v>
      </c>
      <c r="B33" s="77" t="str">
        <f>IFERROR((AVERAGE(B8:B31)),"0")</f>
        <v>0</v>
      </c>
      <c r="C33" s="78"/>
      <c r="D33" s="79">
        <f>IFERROR((AVERAGE(D8:D31)),"0")</f>
        <v>354.809523809524</v>
      </c>
      <c r="E33" s="78"/>
      <c r="F33" s="79">
        <f>IFERROR((AVERAGE(F8:F31)),"0")</f>
        <v>304.461538461538</v>
      </c>
      <c r="G33" s="80"/>
      <c r="H33" s="81">
        <f>H32*1000</f>
        <v>11409000</v>
      </c>
      <c r="I33" s="82" t="s">
        <v>15</v>
      </c>
      <c r="J33" s="83"/>
      <c r="K33" s="84"/>
      <c r="L33" s="85"/>
      <c r="M33" s="86"/>
      <c r="N33" s="85"/>
      <c r="O33" s="87"/>
      <c r="P33" s="87"/>
      <c r="Q33" s="88"/>
      <c r="R33" s="88"/>
      <c r="S33" s="89"/>
      <c r="T33" s="89"/>
      <c r="U33" s="89"/>
      <c r="V33" s="89"/>
    </row>
    <row r="34" ht="18.75" customHeight="1" spans="1:29">
      <c r="A34" s="90"/>
      <c r="B34" s="91"/>
      <c r="C34" s="92"/>
      <c r="D34" s="93"/>
      <c r="E34" s="92"/>
      <c r="F34" s="93"/>
      <c r="G34" s="94"/>
      <c r="H34" s="95"/>
      <c r="I34" s="96"/>
      <c r="J34" s="97"/>
      <c r="K34" s="98"/>
      <c r="L34" s="85"/>
      <c r="M34" s="86"/>
      <c r="N34" s="99"/>
      <c r="O34" s="99"/>
      <c r="P34" s="99"/>
      <c r="Q34" s="99"/>
      <c r="R34" s="88"/>
      <c r="S34" s="89"/>
      <c r="T34" s="89"/>
      <c r="U34" s="89"/>
      <c r="V34" s="89"/>
    </row>
    <row r="35" ht="22.5" customHeight="1" spans="1:29">
      <c r="A35" s="100" t="s">
        <v>16</v>
      </c>
      <c r="B35" s="101">
        <f>COUNT(B8:B31)</f>
        <v>0</v>
      </c>
      <c r="C35" s="102"/>
      <c r="D35" s="103">
        <f>COUNT(D8:D31)</f>
        <v>21</v>
      </c>
      <c r="E35" s="102"/>
      <c r="F35" s="103">
        <f>COUNT(F8:F31)</f>
        <v>13</v>
      </c>
      <c r="G35" s="104"/>
      <c r="H35" s="105"/>
      <c r="I35" s="106"/>
      <c r="J35" s="107"/>
      <c r="K35" s="107"/>
      <c r="L35" s="107"/>
      <c r="M35" s="107"/>
      <c r="N35" s="99"/>
      <c r="O35" s="99"/>
      <c r="P35" s="99"/>
      <c r="Q35" s="99"/>
      <c r="R35" s="108"/>
      <c r="S35" s="89"/>
      <c r="T35" s="89"/>
      <c r="U35" s="89"/>
      <c r="V35" s="89"/>
    </row>
    <row r="36" ht="9" customHeight="1" spans="1:29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10"/>
      <c r="N36" s="106"/>
      <c r="O36" s="107"/>
      <c r="P36" s="107"/>
      <c r="Q36" s="107"/>
      <c r="R36" s="107"/>
      <c r="S36" s="107"/>
      <c r="T36" s="107"/>
      <c r="U36" s="111"/>
      <c r="V36" s="112"/>
      <c r="W36" s="108"/>
      <c r="X36" s="108"/>
      <c r="Y36" s="108"/>
      <c r="Z36" s="89"/>
      <c r="AA36" s="89"/>
      <c r="AB36" s="89"/>
      <c r="AC36" s="89"/>
    </row>
    <row r="37" ht="24" customHeight="1" spans="1:29">
      <c r="D37" s="113"/>
      <c r="E37" s="113"/>
      <c r="F37" s="113"/>
      <c r="G37" s="113"/>
      <c r="H37" s="113"/>
      <c r="I37" s="113"/>
      <c r="J37" s="113"/>
      <c r="K37" s="114"/>
      <c r="L37" s="114"/>
      <c r="N37" s="115" t="s">
        <v>17</v>
      </c>
      <c r="O37" s="116"/>
      <c r="P37" s="116"/>
      <c r="Q37" s="117"/>
      <c r="R37" s="118">
        <f>SUM(B35:F35)</f>
        <v>34</v>
      </c>
      <c r="S37" s="69"/>
      <c r="T37" s="69"/>
      <c r="U37" s="69"/>
      <c r="V37" s="69"/>
      <c r="X37" s="119"/>
      <c r="Y37" s="119"/>
      <c r="Z37" s="119"/>
      <c r="AA37" s="119"/>
      <c r="AB37" s="119"/>
      <c r="AC37" s="114"/>
    </row>
    <row r="38" ht="15" spans="1:29">
      <c r="D38" s="113"/>
      <c r="E38" s="113"/>
      <c r="F38" s="113"/>
      <c r="G38" s="113"/>
      <c r="H38" s="113"/>
      <c r="I38" s="113"/>
      <c r="J38" s="113"/>
      <c r="K38" s="114"/>
      <c r="L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</row>
    <row r="39" ht="24.75" customHeight="1" spans="1:29">
      <c r="A39" s="120" t="s">
        <v>18</v>
      </c>
      <c r="B39" s="121"/>
      <c r="C39" s="122">
        <f>MAX(H8:H31)</f>
        <v>669</v>
      </c>
      <c r="D39" s="123"/>
      <c r="E39" s="124">
        <f>VLOOKUP(C39,H8:L31,4,FALSE)</f>
        <v>0.875</v>
      </c>
      <c r="F39" s="125"/>
      <c r="G39" s="125"/>
      <c r="H39" s="126" t="s">
        <v>19</v>
      </c>
      <c r="I39" s="127"/>
      <c r="J39" s="128"/>
      <c r="K39" s="129">
        <f>MAX(J8:J31)</f>
        <v>2</v>
      </c>
      <c r="L39" s="130"/>
      <c r="N39" s="131" t="s">
        <v>20</v>
      </c>
      <c r="O39" s="132"/>
      <c r="P39" s="132"/>
      <c r="Q39" s="133"/>
      <c r="R39" s="134">
        <f>AVERAGE(H8:H31)</f>
        <v>475.375</v>
      </c>
      <c r="S39" s="135"/>
      <c r="T39" s="135"/>
    </row>
    <row r="40" ht="15" spans="1:29">
      <c r="C40" s="136"/>
      <c r="D40" s="137"/>
      <c r="E40" s="138"/>
      <c r="F40" s="138"/>
      <c r="G40" s="138"/>
      <c r="H40" s="138"/>
      <c r="I40" s="139"/>
      <c r="J40" s="106"/>
      <c r="K40" s="110"/>
      <c r="L40" s="110"/>
      <c r="N40" s="140"/>
      <c r="O40" s="140"/>
      <c r="P40" s="140"/>
      <c r="Q40" s="140"/>
      <c r="R40" s="140"/>
      <c r="X40" s="5"/>
      <c r="Y40" s="5"/>
      <c r="Z40" s="5"/>
      <c r="AA40" s="5"/>
      <c r="AB40" s="5"/>
      <c r="AC40" s="141"/>
    </row>
    <row r="41" ht="24.75" customHeight="1" spans="1:29">
      <c r="A41" s="120" t="s">
        <v>21</v>
      </c>
      <c r="B41" s="121"/>
      <c r="C41" s="122">
        <f>MIN(H8:H31)</f>
        <v>392</v>
      </c>
      <c r="D41" s="123"/>
      <c r="E41" s="124">
        <f>VLOOKUP(C41,H8:L31,4,FALSE)</f>
        <v>0.25</v>
      </c>
      <c r="F41" s="142"/>
      <c r="G41" s="125"/>
      <c r="H41" s="126" t="s">
        <v>22</v>
      </c>
      <c r="I41" s="127"/>
      <c r="J41" s="128"/>
      <c r="K41" s="129">
        <f>MIN(J8:J31)</f>
        <v>1</v>
      </c>
      <c r="L41" s="130"/>
      <c r="N41" s="126" t="s">
        <v>23</v>
      </c>
      <c r="O41" s="127"/>
      <c r="P41" s="127"/>
      <c r="Q41" s="128"/>
      <c r="R41" s="143">
        <f>AVERAGE(I8:I31)</f>
        <v>364.354166666667</v>
      </c>
      <c r="S41" s="144"/>
      <c r="T41" s="144"/>
      <c r="U41" s="144"/>
      <c r="V41" s="144"/>
      <c r="X41" s="145"/>
    </row>
    <row r="42" ht="15" spans="1:29">
      <c r="D42" s="138"/>
      <c r="E42" s="138"/>
      <c r="F42" s="138"/>
      <c r="G42" s="138"/>
      <c r="H42" s="138"/>
      <c r="I42" s="146"/>
      <c r="J42" s="138"/>
      <c r="K42" s="147"/>
      <c r="L42" s="147"/>
      <c r="V42" s="148"/>
      <c r="W42" s="148"/>
      <c r="X42" s="149"/>
      <c r="Y42" s="149"/>
      <c r="Z42" s="150"/>
      <c r="AA42" s="150"/>
      <c r="AB42" s="150"/>
      <c r="AC42" s="150"/>
    </row>
    <row r="43" ht="24.75" customHeight="1" spans="1:29">
      <c r="C43" s="136"/>
      <c r="H43" s="151"/>
      <c r="I43" s="151"/>
      <c r="J43" s="151"/>
      <c r="K43" s="145"/>
      <c r="L43" s="139"/>
      <c r="N43" s="152" t="s">
        <v>24</v>
      </c>
      <c r="O43" s="153"/>
      <c r="P43" s="153"/>
      <c r="Q43" s="154"/>
      <c r="R43" s="155" t="e">
        <f>AVERAGE(T8:T31)</f>
        <v>#DIV/0!</v>
      </c>
      <c r="X43" s="156"/>
      <c r="Z43" s="157"/>
      <c r="AA43" s="157"/>
      <c r="AB43" s="157"/>
      <c r="AC43" s="157"/>
    </row>
    <row r="44" ht="19.5" spans="1:29">
      <c r="I44" s="158"/>
      <c r="K44" s="159"/>
      <c r="L44" s="159"/>
      <c r="Z44" s="160"/>
      <c r="AA44" s="160"/>
      <c r="AB44" s="160"/>
      <c r="AC44" s="160"/>
    </row>
    <row r="45" ht="24.75" customHeight="1" spans="1:29">
      <c r="D45" s="158"/>
      <c r="E45" s="158"/>
      <c r="F45" s="158"/>
      <c r="G45" s="158"/>
      <c r="H45" s="158"/>
      <c r="N45" s="126" t="s">
        <v>25</v>
      </c>
      <c r="O45" s="127"/>
      <c r="P45" s="127"/>
      <c r="Q45" s="128"/>
      <c r="R45" s="161">
        <f>SUM(M32-H32)/24</f>
        <v>-455.332916666656</v>
      </c>
      <c r="X45" s="162"/>
      <c r="Z45" s="163"/>
      <c r="AA45" s="163"/>
      <c r="AB45" s="163"/>
      <c r="AC45" s="163"/>
    </row>
    <row r="46" spans="1:29">
      <c r="Z46" s="164"/>
      <c r="AA46" s="164"/>
      <c r="AB46" s="164"/>
      <c r="AC46" s="164"/>
    </row>
    <row r="47" spans="1:29">
      <c r="Z47" s="139"/>
      <c r="AA47" s="139"/>
      <c r="AB47" s="139"/>
      <c r="AC47" s="139"/>
    </row>
    <row r="48" spans="1:29">
      <c r="Z48" s="139"/>
      <c r="AA48" s="139"/>
      <c r="AB48" s="139"/>
      <c r="AC48" s="139"/>
    </row>
    <row r="49" spans="11:29">
      <c r="Z49" s="157"/>
      <c r="AA49" s="157"/>
      <c r="AB49" s="157"/>
      <c r="AC49" s="157"/>
    </row>
    <row r="50" spans="11:29">
      <c r="Z50" s="157"/>
      <c r="AA50" s="157"/>
      <c r="AB50" s="157"/>
      <c r="AC50" s="157"/>
    </row>
    <row r="51" spans="11:29">
      <c r="K51" s="150"/>
      <c r="L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0"/>
      <c r="AC51" s="150"/>
    </row>
    <row r="52" spans="11:29">
      <c r="K52" s="150"/>
      <c r="L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  <c r="AB52" s="150"/>
      <c r="AC52" s="150"/>
    </row>
    <row r="53" spans="11:29">
      <c r="K53" s="150"/>
      <c r="L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50"/>
      <c r="AB53" s="150"/>
      <c r="AC53" s="150"/>
    </row>
    <row r="60" spans="11:29">
      <c r="O60" s="165"/>
      <c r="P60" s="165"/>
      <c r="Q60" s="165"/>
      <c r="R60" s="165"/>
      <c r="S60" s="165"/>
      <c r="T60" s="165"/>
    </row>
    <row r="61" spans="11:29">
      <c r="O61" s="165"/>
      <c r="P61" s="165"/>
      <c r="Q61" s="165"/>
      <c r="R61" s="165"/>
      <c r="S61" s="165"/>
      <c r="T61" s="165"/>
    </row>
    <row r="62" spans="11:29">
      <c r="O62" s="165"/>
      <c r="P62" s="165"/>
      <c r="Q62" s="165"/>
      <c r="R62" s="165"/>
      <c r="S62" s="165"/>
      <c r="T62" s="165"/>
    </row>
    <row r="63" spans="11:29">
      <c r="O63" s="165"/>
      <c r="P63" s="165"/>
      <c r="Q63" s="165"/>
      <c r="R63" s="165"/>
      <c r="S63" s="165"/>
      <c r="T63" s="165"/>
    </row>
    <row r="64" spans="11:29">
      <c r="O64" s="165"/>
      <c r="P64" s="165"/>
      <c r="Q64" s="165"/>
      <c r="R64" s="165"/>
      <c r="S64" s="165"/>
      <c r="T64" s="165"/>
    </row>
    <row r="65" spans="15:20">
      <c r="O65" s="165"/>
      <c r="P65" s="165"/>
      <c r="Q65" s="165"/>
      <c r="R65" s="165"/>
      <c r="S65" s="165"/>
      <c r="T65" s="165"/>
    </row>
    <row r="66" spans="15:20">
      <c r="O66" s="165"/>
      <c r="P66" s="165"/>
      <c r="Q66" s="165"/>
      <c r="R66" s="165"/>
      <c r="S66" s="165"/>
      <c r="T66" s="165"/>
    </row>
    <row r="67" spans="15:20">
      <c r="O67" s="165"/>
      <c r="P67" s="165"/>
      <c r="Q67" s="165"/>
      <c r="R67" s="165"/>
      <c r="S67" s="165"/>
      <c r="T67" s="165"/>
    </row>
    <row r="68" spans="15:20">
      <c r="O68" s="165"/>
      <c r="P68" s="165"/>
      <c r="Q68" s="165"/>
      <c r="R68" s="165"/>
      <c r="S68" s="165"/>
      <c r="T68" s="165"/>
    </row>
  </sheetData>
  <mergeCells count="116">
    <mergeCell ref="H4:K4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B29:C29"/>
    <mergeCell ref="D29:E29"/>
    <mergeCell ref="F29:G2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N34:Q34"/>
    <mergeCell ref="B35:C35"/>
    <mergeCell ref="D35:E35"/>
    <mergeCell ref="F35:G35"/>
    <mergeCell ref="N35:Q35"/>
    <mergeCell ref="N37:Q37"/>
    <mergeCell ref="A39:B39"/>
    <mergeCell ref="C39:D39"/>
    <mergeCell ref="H39:J39"/>
    <mergeCell ref="N39:Q39"/>
    <mergeCell ref="A41:B41"/>
    <mergeCell ref="C41:D41"/>
    <mergeCell ref="H41:J41"/>
    <mergeCell ref="N41:Q41"/>
    <mergeCell ref="H43:J43"/>
    <mergeCell ref="N43:Q43"/>
    <mergeCell ref="N45:Q45"/>
    <mergeCell ref="A6:A7"/>
    <mergeCell ref="A33:A34"/>
    <mergeCell ref="H6:H7"/>
    <mergeCell ref="H33:H34"/>
    <mergeCell ref="I6:I7"/>
    <mergeCell ref="I33:I34"/>
    <mergeCell ref="J6:J7"/>
    <mergeCell ref="K6:K7"/>
    <mergeCell ref="L6:L7"/>
    <mergeCell ref="M6:M7"/>
    <mergeCell ref="N6:N7"/>
    <mergeCell ref="O6:O7"/>
    <mergeCell ref="T6:T7"/>
    <mergeCell ref="U6:U7"/>
    <mergeCell ref="B33:C34"/>
    <mergeCell ref="D33:E34"/>
    <mergeCell ref="F33:G34"/>
  </mergeCells>
  <conditionalFormatting sqref="O8">
    <cfRule type="cellIs" dxfId="0" priority="10" operator="equal">
      <formula>"N/A"</formula>
    </cfRule>
  </conditionalFormatting>
  <conditionalFormatting sqref="A30">
    <cfRule type="cellIs" dxfId="1" priority="11" operator="equal">
      <formula>"STB"</formula>
    </cfRule>
    <cfRule type="cellIs" dxfId="0" priority="12" operator="equal">
      <formula>"BD"</formula>
    </cfRule>
  </conditionalFormatting>
  <conditionalFormatting sqref="B8:B31">
    <cfRule type="cellIs" dxfId="1" priority="1" operator="equal">
      <formula>"STB"</formula>
    </cfRule>
    <cfRule type="cellIs" dxfId="0" priority="2" operator="equal">
      <formula>"BD"</formula>
    </cfRule>
  </conditionalFormatting>
  <conditionalFormatting sqref="D8:D31">
    <cfRule type="cellIs" dxfId="1" priority="8" operator="equal">
      <formula>"STB"</formula>
    </cfRule>
    <cfRule type="cellIs" dxfId="0" priority="9" operator="equal">
      <formula>"BD"</formula>
    </cfRule>
  </conditionalFormatting>
  <conditionalFormatting sqref="F8:F31">
    <cfRule type="cellIs" dxfId="1" priority="3" operator="equal">
      <formula>"STB"</formula>
    </cfRule>
    <cfRule type="cellIs" dxfId="0" priority="4" operator="equal">
      <formula>"BD"</formula>
    </cfRule>
  </conditionalFormatting>
  <conditionalFormatting sqref="H8:H31">
    <cfRule type="top10" dxfId="2" priority="5" bottom="1" rank="1"/>
    <cfRule type="top10" dxfId="3" priority="6" rank="1"/>
    <cfRule type="cellIs" dxfId="4" priority="7" stopIfTrue="1" operator="equal">
      <formula>28000</formula>
    </cfRule>
  </conditionalFormatting>
  <conditionalFormatting sqref="H32:H33">
    <cfRule type="top10" dxfId="2" priority="14" bottom="1" rank="1"/>
    <cfRule type="top10" dxfId="3" priority="15" rank="1"/>
    <cfRule type="cellIs" dxfId="4" priority="17" stopIfTrue="1" operator="equal">
      <formula>28000</formula>
    </cfRule>
  </conditionalFormatting>
  <conditionalFormatting sqref="Y8:Y31">
    <cfRule type="containsText" dxfId="5" priority="13" operator="between" text="-">
      <formula>NOT(ISERROR(SEARCH("-",Y8)))</formula>
    </cfRule>
  </conditionalFormatting>
  <conditionalFormatting sqref="N8 N9:O31">
    <cfRule type="cellIs" dxfId="0" priority="16" operator="equal">
      <formula>"BD"</formula>
    </cfRule>
  </conditionalFormatting>
  <pageMargins left="0.7" right="0.7" top="0.75" bottom="0.75" header="0.3" footer="0.3"/>
  <pageSetup paperSize="1" orientation="portrait" verticalDpi="360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C68"/>
  <sheetViews>
    <sheetView zoomScale="80" zoomScaleNormal="80" workbookViewId="0">
      <pane ySplit="7" topLeftCell="A16" activePane="bottomLeft" state="frozen"/>
      <selection/>
      <selection pane="bottomLeft" activeCell="A3" sqref="$A3:$XFD3"/>
    </sheetView>
  </sheetViews>
  <sheetFormatPr defaultColWidth="8.81666666666667" defaultRowHeight="14.25"/>
  <cols>
    <col min="1" max="1" width="16.725" customWidth="1"/>
    <col min="2" max="2" width="8.725" customWidth="1"/>
    <col min="3" max="7" width="5.725" customWidth="1"/>
    <col min="8" max="8" width="14.2666666666667" customWidth="1"/>
    <col min="9" max="9" width="15.1833333333333" customWidth="1"/>
    <col min="10" max="10" width="15.5416666666667" customWidth="1"/>
    <col min="11" max="11" width="7" customWidth="1"/>
    <col min="12" max="12" width="8.54166666666667" customWidth="1"/>
    <col min="13" max="13" width="11.725" style="5" customWidth="1"/>
    <col min="14" max="14" width="17.1833333333333" customWidth="1"/>
    <col min="15" max="15" width="15.45" customWidth="1"/>
    <col min="16" max="16" width="7.45" customWidth="1"/>
    <col min="17" max="17" width="9.54166666666667" customWidth="1"/>
    <col min="18" max="18" width="10" customWidth="1"/>
    <col min="19" max="20" width="9.81666666666667" customWidth="1"/>
    <col min="21" max="21" width="6.725" customWidth="1"/>
    <col min="22" max="22" width="13.8166666666667" customWidth="1"/>
    <col min="23" max="23" width="11.2666666666667" customWidth="1"/>
    <col min="24" max="24" width="9.26666666666667" customWidth="1"/>
    <col min="25" max="25" width="3.725" customWidth="1"/>
    <col min="26" max="29" width="7.725" customWidth="1"/>
    <col min="30" max="30" width="6.725" customWidth="1"/>
  </cols>
  <sheetData>
    <row r="1" ht="3" customHeight="1"/>
    <row r="2" ht="6" customHeight="1" spans="1:2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="1" customFormat="1" ht="6.75" customHeight="1" spans="1:29">
      <c r="K3" s="7"/>
      <c r="L3" s="8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17.25" customHeight="1" spans="1:29">
      <c r="A4" s="1"/>
      <c r="B4" s="10"/>
      <c r="C4" s="10"/>
      <c r="D4" s="10"/>
      <c r="E4" s="11"/>
      <c r="F4" s="11"/>
      <c r="G4" s="11"/>
      <c r="H4" s="12">
        <f>'[26]Taniwel daily'!C4</f>
        <v>45317</v>
      </c>
      <c r="I4" s="13"/>
      <c r="J4" s="13"/>
      <c r="K4" s="14"/>
      <c r="L4" s="15"/>
      <c r="M4" s="16"/>
      <c r="N4" s="10"/>
      <c r="O4" s="10"/>
      <c r="P4" s="10"/>
      <c r="Q4" s="10"/>
      <c r="R4" s="10"/>
      <c r="S4" s="10"/>
      <c r="T4" s="10"/>
      <c r="U4" s="10"/>
      <c r="V4" s="7"/>
      <c r="W4" s="7"/>
      <c r="X4" s="7"/>
      <c r="Y4" s="7"/>
      <c r="Z4" s="7"/>
      <c r="AA4" s="7"/>
      <c r="AB4" s="7"/>
      <c r="AC4" s="7"/>
    </row>
    <row r="5" ht="7.5" customHeight="1" spans="1:29">
      <c r="A5" s="1"/>
      <c r="B5" s="17"/>
      <c r="C5" s="1"/>
      <c r="D5" s="1"/>
      <c r="E5" s="1"/>
      <c r="F5" s="1"/>
      <c r="G5" s="1"/>
      <c r="H5" s="1"/>
      <c r="I5" s="1"/>
      <c r="J5" s="1"/>
      <c r="K5" s="18"/>
      <c r="L5" s="7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ht="17.25" customHeight="1" spans="1:29">
      <c r="A6" s="19" t="s">
        <v>0</v>
      </c>
      <c r="B6" s="20" t="s">
        <v>1</v>
      </c>
      <c r="C6" s="21"/>
      <c r="D6" s="20" t="s">
        <v>2</v>
      </c>
      <c r="E6" s="21"/>
      <c r="F6" s="20" t="s">
        <v>3</v>
      </c>
      <c r="G6" s="21"/>
      <c r="H6" s="22" t="s">
        <v>4</v>
      </c>
      <c r="I6" s="22" t="s">
        <v>5</v>
      </c>
      <c r="J6" s="23" t="s">
        <v>6</v>
      </c>
      <c r="K6" s="19" t="s">
        <v>0</v>
      </c>
      <c r="L6" s="24" t="s">
        <v>7</v>
      </c>
      <c r="M6" s="25" t="s">
        <v>8</v>
      </c>
      <c r="N6" s="26" t="s">
        <v>9</v>
      </c>
      <c r="O6" s="25" t="s">
        <v>10</v>
      </c>
      <c r="P6" s="27"/>
      <c r="Q6" s="28"/>
      <c r="R6" s="28"/>
      <c r="S6" s="28"/>
      <c r="T6" s="28"/>
      <c r="U6" s="29"/>
    </row>
    <row r="7" ht="15.75" customHeight="1" spans="1:29">
      <c r="A7" s="30"/>
      <c r="B7" s="31">
        <v>1</v>
      </c>
      <c r="C7" s="32"/>
      <c r="D7" s="31">
        <v>2</v>
      </c>
      <c r="E7" s="32"/>
      <c r="F7" s="31">
        <v>3</v>
      </c>
      <c r="G7" s="32"/>
      <c r="H7" s="33"/>
      <c r="I7" s="33"/>
      <c r="J7" s="34"/>
      <c r="K7" s="30"/>
      <c r="L7" s="35"/>
      <c r="M7" s="36"/>
      <c r="N7" s="37"/>
      <c r="O7" s="38"/>
      <c r="P7" s="27"/>
      <c r="Q7" s="28"/>
      <c r="R7" s="28"/>
      <c r="S7" s="28"/>
      <c r="T7" s="28"/>
      <c r="U7" s="29"/>
      <c r="X7" s="39"/>
    </row>
    <row r="8" s="2" customFormat="1" ht="15" customHeight="1" spans="1:29">
      <c r="A8" s="40">
        <v>0.0416666666666666</v>
      </c>
      <c r="B8" s="41" t="s">
        <v>11</v>
      </c>
      <c r="C8" s="42"/>
      <c r="D8" s="41">
        <v>224</v>
      </c>
      <c r="E8" s="42"/>
      <c r="F8" s="41">
        <v>245</v>
      </c>
      <c r="G8" s="42"/>
      <c r="H8" s="43">
        <f t="shared" ref="H8:H31" si="0">IF(SUM(B8:G8)/1000=0,"0",SUM(B8:G8))</f>
        <v>469</v>
      </c>
      <c r="I8" s="44">
        <f t="shared" ref="I8:I31" si="1">IFERROR(AVERAGE(B8:G8),"0")</f>
        <v>234.5</v>
      </c>
      <c r="J8" s="45">
        <f t="shared" ref="J8:J31" si="2">COUNT(B8:G8)</f>
        <v>2</v>
      </c>
      <c r="K8" s="46">
        <v>0.0416666666666667</v>
      </c>
      <c r="L8" s="47">
        <v>4500</v>
      </c>
      <c r="M8" s="48">
        <v>180.7</v>
      </c>
      <c r="N8" s="49">
        <f>(M9-M8)*12000</f>
        <v>480.000000000246</v>
      </c>
      <c r="O8" s="50"/>
      <c r="P8" s="51"/>
      <c r="Q8" s="52"/>
      <c r="R8" s="52"/>
      <c r="S8" s="52"/>
      <c r="T8" s="52"/>
      <c r="U8" s="53"/>
    </row>
    <row r="9" s="3" customFormat="1" ht="15" customHeight="1" spans="1:29">
      <c r="A9" s="40">
        <v>0.0833333333333333</v>
      </c>
      <c r="B9" s="41" t="s">
        <v>11</v>
      </c>
      <c r="C9" s="42"/>
      <c r="D9" s="41">
        <v>225</v>
      </c>
      <c r="E9" s="42"/>
      <c r="F9" s="41">
        <v>235</v>
      </c>
      <c r="G9" s="42"/>
      <c r="H9" s="43">
        <f t="shared" si="0"/>
        <v>460</v>
      </c>
      <c r="I9" s="44">
        <f t="shared" si="1"/>
        <v>230</v>
      </c>
      <c r="J9" s="45">
        <f t="shared" si="2"/>
        <v>2</v>
      </c>
      <c r="K9" s="46">
        <v>0.0833333333333333</v>
      </c>
      <c r="L9" s="47">
        <v>4200</v>
      </c>
      <c r="M9" s="54">
        <v>180.74</v>
      </c>
      <c r="N9" s="49">
        <f t="shared" ref="N9:N30" si="3">(M10-M9)*12000</f>
        <v>479.999999999905</v>
      </c>
      <c r="O9" s="55"/>
      <c r="P9" s="51"/>
      <c r="Q9" s="52"/>
      <c r="R9" s="52"/>
      <c r="S9" s="52"/>
      <c r="T9" s="52"/>
      <c r="U9" s="53"/>
    </row>
    <row r="10" s="3" customFormat="1" ht="15" customHeight="1" spans="1:29">
      <c r="A10" s="40">
        <v>0.125</v>
      </c>
      <c r="B10" s="41" t="s">
        <v>11</v>
      </c>
      <c r="C10" s="42"/>
      <c r="D10" s="41">
        <v>447</v>
      </c>
      <c r="E10" s="42"/>
      <c r="F10" s="41" t="s">
        <v>26</v>
      </c>
      <c r="G10" s="42"/>
      <c r="H10" s="43">
        <f t="shared" si="0"/>
        <v>447</v>
      </c>
      <c r="I10" s="44">
        <f t="shared" si="1"/>
        <v>447</v>
      </c>
      <c r="J10" s="45">
        <f t="shared" si="2"/>
        <v>1</v>
      </c>
      <c r="K10" s="46">
        <v>0.125</v>
      </c>
      <c r="L10" s="47">
        <v>4200</v>
      </c>
      <c r="M10" s="54">
        <v>180.78</v>
      </c>
      <c r="N10" s="49">
        <f t="shared" si="3"/>
        <v>600.000000000136</v>
      </c>
      <c r="O10" s="56"/>
      <c r="P10" s="51"/>
      <c r="Q10" s="52"/>
      <c r="R10" s="52"/>
      <c r="S10" s="52"/>
      <c r="T10" s="52"/>
      <c r="U10" s="53"/>
    </row>
    <row r="11" s="3" customFormat="1" ht="15" customHeight="1" spans="1:29">
      <c r="A11" s="40">
        <v>0.166666666666667</v>
      </c>
      <c r="B11" s="41" t="s">
        <v>11</v>
      </c>
      <c r="C11" s="42"/>
      <c r="D11" s="41">
        <v>357</v>
      </c>
      <c r="E11" s="42"/>
      <c r="F11" s="41" t="s">
        <v>26</v>
      </c>
      <c r="G11" s="42"/>
      <c r="H11" s="43">
        <f t="shared" si="0"/>
        <v>357</v>
      </c>
      <c r="I11" s="44">
        <f t="shared" si="1"/>
        <v>357</v>
      </c>
      <c r="J11" s="45">
        <f t="shared" si="2"/>
        <v>1</v>
      </c>
      <c r="K11" s="46">
        <v>0.166666666666667</v>
      </c>
      <c r="L11" s="47">
        <v>4000</v>
      </c>
      <c r="M11" s="54">
        <v>180.83</v>
      </c>
      <c r="N11" s="49">
        <f t="shared" si="3"/>
        <v>119.999999999891</v>
      </c>
      <c r="O11" s="56"/>
      <c r="P11" s="51"/>
      <c r="Q11" s="52"/>
      <c r="R11" s="52"/>
      <c r="S11" s="52"/>
      <c r="T11" s="52"/>
      <c r="U11" s="53"/>
    </row>
    <row r="12" s="3" customFormat="1" ht="15" customHeight="1" spans="1:29">
      <c r="A12" s="40">
        <v>0.208333333333333</v>
      </c>
      <c r="B12" s="41" t="s">
        <v>11</v>
      </c>
      <c r="C12" s="42"/>
      <c r="D12" s="41">
        <v>280</v>
      </c>
      <c r="E12" s="42"/>
      <c r="F12" s="41" t="s">
        <v>26</v>
      </c>
      <c r="G12" s="42"/>
      <c r="H12" s="43">
        <f t="shared" si="0"/>
        <v>280</v>
      </c>
      <c r="I12" s="44">
        <f t="shared" si="1"/>
        <v>280</v>
      </c>
      <c r="J12" s="45">
        <f t="shared" si="2"/>
        <v>1</v>
      </c>
      <c r="K12" s="46">
        <v>0.208333333333333</v>
      </c>
      <c r="L12" s="47">
        <v>3900</v>
      </c>
      <c r="M12" s="54">
        <v>180.84</v>
      </c>
      <c r="N12" s="49">
        <f t="shared" si="3"/>
        <v>360.000000000014</v>
      </c>
      <c r="O12" s="56"/>
      <c r="P12" s="51"/>
      <c r="Q12" s="52"/>
      <c r="R12" s="52"/>
      <c r="S12" s="52"/>
      <c r="T12" s="52"/>
      <c r="U12" s="53"/>
    </row>
    <row r="13" s="3" customFormat="1" ht="15" customHeight="1" spans="1:29">
      <c r="A13" s="40">
        <v>0.25</v>
      </c>
      <c r="B13" s="41" t="s">
        <v>11</v>
      </c>
      <c r="C13" s="42"/>
      <c r="D13" s="41">
        <v>383</v>
      </c>
      <c r="E13" s="42"/>
      <c r="F13" s="41" t="s">
        <v>26</v>
      </c>
      <c r="G13" s="42"/>
      <c r="H13" s="43">
        <f t="shared" si="0"/>
        <v>383</v>
      </c>
      <c r="I13" s="44">
        <f t="shared" si="1"/>
        <v>383</v>
      </c>
      <c r="J13" s="45">
        <f t="shared" si="2"/>
        <v>1</v>
      </c>
      <c r="K13" s="46">
        <v>0.25</v>
      </c>
      <c r="L13" s="47">
        <v>3600</v>
      </c>
      <c r="M13" s="54">
        <v>180.87</v>
      </c>
      <c r="N13" s="49">
        <f t="shared" si="3"/>
        <v>479.999999999905</v>
      </c>
      <c r="O13" s="56"/>
      <c r="P13" s="51"/>
      <c r="Q13" s="52"/>
      <c r="R13" s="52"/>
      <c r="S13" s="52"/>
      <c r="T13" s="52"/>
      <c r="U13" s="53"/>
    </row>
    <row r="14" s="3" customFormat="1" ht="15" customHeight="1" spans="1:29">
      <c r="A14" s="40">
        <v>0.291666666666667</v>
      </c>
      <c r="B14" s="41" t="s">
        <v>11</v>
      </c>
      <c r="C14" s="42"/>
      <c r="D14" s="41">
        <v>409</v>
      </c>
      <c r="E14" s="42"/>
      <c r="F14" s="41" t="s">
        <v>26</v>
      </c>
      <c r="G14" s="42"/>
      <c r="H14" s="43">
        <f t="shared" si="0"/>
        <v>409</v>
      </c>
      <c r="I14" s="44">
        <f t="shared" si="1"/>
        <v>409</v>
      </c>
      <c r="J14" s="45">
        <f t="shared" si="2"/>
        <v>1</v>
      </c>
      <c r="K14" s="46">
        <v>0.291666666666667</v>
      </c>
      <c r="L14" s="47">
        <v>3600</v>
      </c>
      <c r="M14" s="54">
        <v>180.91</v>
      </c>
      <c r="N14" s="49">
        <f t="shared" si="3"/>
        <v>479.999999999905</v>
      </c>
      <c r="O14" s="56"/>
      <c r="P14" s="51"/>
      <c r="Q14" s="52"/>
      <c r="R14" s="52"/>
      <c r="S14" s="52"/>
      <c r="T14" s="52"/>
      <c r="U14" s="53"/>
    </row>
    <row r="15" s="3" customFormat="1" ht="15" customHeight="1" spans="1:29">
      <c r="A15" s="40">
        <v>0.333333333333333</v>
      </c>
      <c r="B15" s="41" t="s">
        <v>11</v>
      </c>
      <c r="C15" s="42"/>
      <c r="D15" s="41" t="s">
        <v>26</v>
      </c>
      <c r="E15" s="42"/>
      <c r="F15" s="41">
        <v>382</v>
      </c>
      <c r="G15" s="42"/>
      <c r="H15" s="43">
        <f t="shared" si="0"/>
        <v>382</v>
      </c>
      <c r="I15" s="44">
        <f t="shared" si="1"/>
        <v>382</v>
      </c>
      <c r="J15" s="45">
        <f t="shared" si="2"/>
        <v>1</v>
      </c>
      <c r="K15" s="46">
        <v>0.333333333333333</v>
      </c>
      <c r="L15" s="47">
        <v>3600</v>
      </c>
      <c r="M15" s="54">
        <v>180.95</v>
      </c>
      <c r="N15" s="49">
        <f t="shared" si="3"/>
        <v>360.000000000014</v>
      </c>
      <c r="O15" s="56"/>
      <c r="P15" s="51"/>
      <c r="Q15" s="52"/>
      <c r="R15" s="52"/>
      <c r="S15" s="52"/>
      <c r="T15" s="52"/>
      <c r="U15" s="53"/>
    </row>
    <row r="16" s="3" customFormat="1" ht="15" customHeight="1" spans="1:29">
      <c r="A16" s="40">
        <v>0.375</v>
      </c>
      <c r="B16" s="41" t="s">
        <v>11</v>
      </c>
      <c r="C16" s="42"/>
      <c r="D16" s="41" t="s">
        <v>26</v>
      </c>
      <c r="E16" s="42"/>
      <c r="F16" s="41">
        <v>353</v>
      </c>
      <c r="G16" s="42"/>
      <c r="H16" s="43">
        <f t="shared" si="0"/>
        <v>353</v>
      </c>
      <c r="I16" s="44">
        <f t="shared" si="1"/>
        <v>353</v>
      </c>
      <c r="J16" s="45">
        <f t="shared" si="2"/>
        <v>1</v>
      </c>
      <c r="K16" s="46">
        <v>0.375</v>
      </c>
      <c r="L16" s="47">
        <v>3600</v>
      </c>
      <c r="M16" s="54">
        <v>180.98</v>
      </c>
      <c r="N16" s="49">
        <f t="shared" si="3"/>
        <v>720.000000000027</v>
      </c>
      <c r="O16" s="56"/>
      <c r="P16" s="51"/>
      <c r="Q16" s="52"/>
      <c r="R16" s="52"/>
      <c r="S16" s="52"/>
      <c r="T16" s="52"/>
      <c r="U16" s="53"/>
    </row>
    <row r="17" s="3" customFormat="1" ht="15" customHeight="1" spans="1:21">
      <c r="A17" s="40">
        <v>0.416666666666667</v>
      </c>
      <c r="B17" s="41" t="s">
        <v>11</v>
      </c>
      <c r="C17" s="42"/>
      <c r="D17" s="41">
        <v>290</v>
      </c>
      <c r="E17" s="42"/>
      <c r="F17" s="41">
        <v>240</v>
      </c>
      <c r="G17" s="42"/>
      <c r="H17" s="43">
        <f t="shared" si="0"/>
        <v>530</v>
      </c>
      <c r="I17" s="44">
        <f t="shared" si="1"/>
        <v>265</v>
      </c>
      <c r="J17" s="45">
        <f t="shared" si="2"/>
        <v>2</v>
      </c>
      <c r="K17" s="46">
        <v>0.416666666666666</v>
      </c>
      <c r="L17" s="47">
        <v>3400</v>
      </c>
      <c r="M17" s="54">
        <v>181.04</v>
      </c>
      <c r="N17" s="49">
        <f>(M22-M17)*12000</f>
        <v>720.000000000027</v>
      </c>
      <c r="O17" s="56"/>
      <c r="P17" s="51"/>
      <c r="Q17" s="52"/>
      <c r="R17" s="52"/>
      <c r="S17" s="52"/>
      <c r="T17" s="52"/>
      <c r="U17" s="53"/>
    </row>
    <row r="18" s="3" customFormat="1" ht="15" customHeight="1" spans="1:21">
      <c r="A18" s="40">
        <v>0.458333333333333</v>
      </c>
      <c r="B18" s="41" t="s">
        <v>11</v>
      </c>
      <c r="C18" s="42"/>
      <c r="D18" s="41" t="s">
        <v>26</v>
      </c>
      <c r="E18" s="42"/>
      <c r="F18" s="41" t="s">
        <v>26</v>
      </c>
      <c r="G18" s="42"/>
      <c r="H18" s="43" t="str">
        <f t="shared" si="0"/>
        <v>0</v>
      </c>
      <c r="I18" s="44" t="str">
        <f t="shared" si="1"/>
        <v>0</v>
      </c>
      <c r="J18" s="45">
        <f t="shared" si="2"/>
        <v>0</v>
      </c>
      <c r="K18" s="46">
        <v>0.458333333333333</v>
      </c>
      <c r="L18" s="47">
        <v>3300</v>
      </c>
      <c r="M18" s="54">
        <v>0</v>
      </c>
      <c r="N18" s="49">
        <f t="shared" si="3"/>
        <v>0</v>
      </c>
      <c r="O18" s="56"/>
      <c r="P18" s="51"/>
      <c r="Q18" s="52"/>
      <c r="R18" s="52"/>
      <c r="S18" s="52"/>
      <c r="T18" s="52"/>
      <c r="U18" s="53"/>
    </row>
    <row r="19" s="3" customFormat="1" ht="15" customHeight="1" spans="1:21">
      <c r="A19" s="40">
        <v>0.5</v>
      </c>
      <c r="B19" s="41" t="s">
        <v>11</v>
      </c>
      <c r="C19" s="42"/>
      <c r="D19" s="41" t="s">
        <v>26</v>
      </c>
      <c r="E19" s="42"/>
      <c r="F19" s="41" t="s">
        <v>26</v>
      </c>
      <c r="G19" s="42"/>
      <c r="H19" s="43" t="str">
        <f t="shared" si="0"/>
        <v>0</v>
      </c>
      <c r="I19" s="44" t="str">
        <f t="shared" si="1"/>
        <v>0</v>
      </c>
      <c r="J19" s="45">
        <f t="shared" si="2"/>
        <v>0</v>
      </c>
      <c r="K19" s="46">
        <v>0.5</v>
      </c>
      <c r="L19" s="47">
        <v>3300</v>
      </c>
      <c r="M19" s="54">
        <v>0</v>
      </c>
      <c r="N19" s="49">
        <f t="shared" si="3"/>
        <v>0</v>
      </c>
      <c r="O19" s="56"/>
      <c r="P19" s="51"/>
      <c r="Q19" s="52"/>
      <c r="R19" s="52"/>
      <c r="S19" s="52"/>
      <c r="T19" s="52"/>
      <c r="U19" s="53"/>
    </row>
    <row r="20" s="3" customFormat="1" ht="15" customHeight="1" spans="1:21">
      <c r="A20" s="40">
        <v>0.541666666666667</v>
      </c>
      <c r="B20" s="41" t="s">
        <v>11</v>
      </c>
      <c r="C20" s="42"/>
      <c r="D20" s="41" t="s">
        <v>26</v>
      </c>
      <c r="E20" s="42"/>
      <c r="F20" s="41" t="s">
        <v>26</v>
      </c>
      <c r="G20" s="42"/>
      <c r="H20" s="43" t="str">
        <f t="shared" si="0"/>
        <v>0</v>
      </c>
      <c r="I20" s="44" t="str">
        <f t="shared" si="1"/>
        <v>0</v>
      </c>
      <c r="J20" s="45">
        <f t="shared" si="2"/>
        <v>0</v>
      </c>
      <c r="K20" s="46">
        <v>0.541666666666667</v>
      </c>
      <c r="L20" s="47">
        <v>3000</v>
      </c>
      <c r="M20" s="54">
        <v>0</v>
      </c>
      <c r="N20" s="49">
        <f t="shared" si="3"/>
        <v>0</v>
      </c>
      <c r="O20" s="56"/>
      <c r="P20" s="51"/>
      <c r="Q20" s="52"/>
      <c r="R20" s="52"/>
      <c r="S20" s="52"/>
      <c r="T20" s="52"/>
      <c r="U20" s="53"/>
    </row>
    <row r="21" s="3" customFormat="1" ht="15" customHeight="1" spans="1:21">
      <c r="A21" s="40">
        <v>0.583333333333333</v>
      </c>
      <c r="B21" s="41" t="s">
        <v>11</v>
      </c>
      <c r="C21" s="42"/>
      <c r="D21" s="41" t="s">
        <v>26</v>
      </c>
      <c r="E21" s="42"/>
      <c r="F21" s="41" t="s">
        <v>26</v>
      </c>
      <c r="G21" s="42"/>
      <c r="H21" s="43" t="str">
        <f t="shared" si="0"/>
        <v>0</v>
      </c>
      <c r="I21" s="44" t="str">
        <f t="shared" si="1"/>
        <v>0</v>
      </c>
      <c r="J21" s="45">
        <f t="shared" si="2"/>
        <v>0</v>
      </c>
      <c r="K21" s="46">
        <v>0.583333333333333</v>
      </c>
      <c r="L21" s="47">
        <v>3000</v>
      </c>
      <c r="M21" s="54">
        <v>0</v>
      </c>
      <c r="N21" s="49">
        <v>0</v>
      </c>
      <c r="O21" s="56"/>
      <c r="P21" s="51"/>
      <c r="Q21" s="52"/>
      <c r="R21" s="52"/>
      <c r="S21" s="52"/>
      <c r="T21" s="52"/>
      <c r="U21" s="53"/>
    </row>
    <row r="22" s="3" customFormat="1" ht="15" customHeight="1" spans="1:21">
      <c r="A22" s="40">
        <v>0.625</v>
      </c>
      <c r="B22" s="41" t="s">
        <v>11</v>
      </c>
      <c r="C22" s="42"/>
      <c r="D22" s="41">
        <v>376</v>
      </c>
      <c r="E22" s="42"/>
      <c r="F22" s="41" t="s">
        <v>26</v>
      </c>
      <c r="G22" s="42"/>
      <c r="H22" s="43">
        <f t="shared" si="0"/>
        <v>376</v>
      </c>
      <c r="I22" s="44">
        <f t="shared" si="1"/>
        <v>376</v>
      </c>
      <c r="J22" s="45">
        <f t="shared" si="2"/>
        <v>1</v>
      </c>
      <c r="K22" s="46">
        <v>0.625</v>
      </c>
      <c r="L22" s="47">
        <v>3000</v>
      </c>
      <c r="M22" s="54">
        <v>181.1</v>
      </c>
      <c r="N22" s="49">
        <f t="shared" si="3"/>
        <v>479.999999999905</v>
      </c>
      <c r="O22" s="56"/>
      <c r="P22" s="51"/>
      <c r="Q22" s="52"/>
      <c r="R22" s="52"/>
      <c r="S22" s="52"/>
      <c r="T22" s="52"/>
      <c r="U22" s="53"/>
    </row>
    <row r="23" s="3" customFormat="1" ht="15" customHeight="1" spans="1:21">
      <c r="A23" s="40">
        <v>0.666666666666667</v>
      </c>
      <c r="B23" s="41" t="s">
        <v>11</v>
      </c>
      <c r="C23" s="42"/>
      <c r="D23" s="41">
        <v>401</v>
      </c>
      <c r="E23" s="42"/>
      <c r="F23" s="41" t="s">
        <v>26</v>
      </c>
      <c r="G23" s="42"/>
      <c r="H23" s="43">
        <f t="shared" si="0"/>
        <v>401</v>
      </c>
      <c r="I23" s="44">
        <f t="shared" si="1"/>
        <v>401</v>
      </c>
      <c r="J23" s="45">
        <f t="shared" si="2"/>
        <v>1</v>
      </c>
      <c r="K23" s="46">
        <v>0.666666666666666</v>
      </c>
      <c r="L23" s="47">
        <v>3000</v>
      </c>
      <c r="M23" s="54">
        <v>181.14</v>
      </c>
      <c r="N23" s="49">
        <f t="shared" si="3"/>
        <v>360.000000000014</v>
      </c>
      <c r="O23" s="56"/>
      <c r="P23" s="51"/>
      <c r="Q23" s="52"/>
      <c r="R23" s="52"/>
      <c r="S23" s="52"/>
      <c r="T23" s="52"/>
      <c r="U23" s="53"/>
    </row>
    <row r="24" s="3" customFormat="1" ht="15" customHeight="1" spans="1:21">
      <c r="A24" s="40">
        <v>0.708333333333334</v>
      </c>
      <c r="B24" s="41" t="s">
        <v>11</v>
      </c>
      <c r="C24" s="42"/>
      <c r="D24" s="41">
        <v>398</v>
      </c>
      <c r="E24" s="42"/>
      <c r="F24" s="41" t="s">
        <v>26</v>
      </c>
      <c r="G24" s="42"/>
      <c r="H24" s="43">
        <f t="shared" si="0"/>
        <v>398</v>
      </c>
      <c r="I24" s="44">
        <f t="shared" si="1"/>
        <v>398</v>
      </c>
      <c r="J24" s="45">
        <f t="shared" si="2"/>
        <v>1</v>
      </c>
      <c r="K24" s="46">
        <v>0.708333333333333</v>
      </c>
      <c r="L24" s="47">
        <v>2700</v>
      </c>
      <c r="M24" s="54">
        <v>181.17</v>
      </c>
      <c r="N24" s="49">
        <f t="shared" si="3"/>
        <v>480.000000000246</v>
      </c>
      <c r="O24" s="56"/>
      <c r="P24" s="51"/>
      <c r="Q24" s="52"/>
      <c r="R24" s="52"/>
      <c r="S24" s="52"/>
      <c r="T24" s="52"/>
      <c r="U24" s="53"/>
    </row>
    <row r="25" s="3" customFormat="1" ht="15" customHeight="1" spans="1:21">
      <c r="A25" s="40">
        <v>0.75</v>
      </c>
      <c r="B25" s="41" t="s">
        <v>11</v>
      </c>
      <c r="C25" s="42"/>
      <c r="D25" s="41">
        <v>364</v>
      </c>
      <c r="E25" s="42"/>
      <c r="F25" s="41" t="s">
        <v>26</v>
      </c>
      <c r="G25" s="42"/>
      <c r="H25" s="43">
        <f t="shared" si="0"/>
        <v>364</v>
      </c>
      <c r="I25" s="44">
        <f t="shared" si="1"/>
        <v>364</v>
      </c>
      <c r="J25" s="45">
        <f t="shared" si="2"/>
        <v>1</v>
      </c>
      <c r="K25" s="46">
        <v>0.75</v>
      </c>
      <c r="L25" s="47">
        <v>2400</v>
      </c>
      <c r="M25" s="54">
        <v>181.21</v>
      </c>
      <c r="N25" s="49">
        <f t="shared" si="3"/>
        <v>479.999999999905</v>
      </c>
      <c r="O25" s="56"/>
      <c r="P25" s="51"/>
      <c r="Q25" s="52"/>
      <c r="R25" s="52"/>
      <c r="S25" s="52"/>
      <c r="T25" s="52"/>
      <c r="U25" s="53"/>
    </row>
    <row r="26" s="3" customFormat="1" ht="15" customHeight="1" spans="1:21">
      <c r="A26" s="40">
        <v>0.791666666666667</v>
      </c>
      <c r="B26" s="41" t="s">
        <v>11</v>
      </c>
      <c r="C26" s="42"/>
      <c r="D26" s="41">
        <v>455</v>
      </c>
      <c r="E26" s="42"/>
      <c r="F26" s="41" t="s">
        <v>26</v>
      </c>
      <c r="G26" s="42"/>
      <c r="H26" s="43">
        <f t="shared" si="0"/>
        <v>455</v>
      </c>
      <c r="I26" s="44">
        <f t="shared" si="1"/>
        <v>455</v>
      </c>
      <c r="J26" s="45">
        <f t="shared" si="2"/>
        <v>1</v>
      </c>
      <c r="K26" s="46">
        <v>0.791666666666666</v>
      </c>
      <c r="L26" s="47">
        <v>2100</v>
      </c>
      <c r="M26" s="54">
        <v>181.25</v>
      </c>
      <c r="N26" s="49">
        <f t="shared" si="3"/>
        <v>479.999999999905</v>
      </c>
      <c r="O26" s="56"/>
      <c r="P26" s="51"/>
      <c r="Q26" s="52"/>
      <c r="R26" s="52"/>
      <c r="S26" s="52"/>
      <c r="T26" s="52"/>
      <c r="U26" s="53"/>
    </row>
    <row r="27" s="3" customFormat="1" ht="15" customHeight="1" spans="1:21">
      <c r="A27" s="40">
        <v>0.833333333333334</v>
      </c>
      <c r="B27" s="41" t="s">
        <v>11</v>
      </c>
      <c r="C27" s="42"/>
      <c r="D27" s="41">
        <v>263</v>
      </c>
      <c r="E27" s="42"/>
      <c r="F27" s="41">
        <v>273</v>
      </c>
      <c r="G27" s="42"/>
      <c r="H27" s="43">
        <f t="shared" si="0"/>
        <v>536</v>
      </c>
      <c r="I27" s="44">
        <f t="shared" si="1"/>
        <v>268</v>
      </c>
      <c r="J27" s="45">
        <f t="shared" si="2"/>
        <v>2</v>
      </c>
      <c r="K27" s="46">
        <v>0.833333333333333</v>
      </c>
      <c r="L27" s="47">
        <v>2100</v>
      </c>
      <c r="M27" s="54">
        <v>181.29</v>
      </c>
      <c r="N27" s="49">
        <f t="shared" si="3"/>
        <v>600.000000000136</v>
      </c>
      <c r="O27" s="56"/>
      <c r="P27" s="51"/>
      <c r="Q27" s="52"/>
      <c r="R27" s="52"/>
      <c r="S27" s="52"/>
      <c r="T27" s="52"/>
      <c r="U27" s="53"/>
    </row>
    <row r="28" s="4" customFormat="1" ht="15" customHeight="1" spans="1:21">
      <c r="A28" s="40">
        <v>0.875</v>
      </c>
      <c r="B28" s="41" t="s">
        <v>11</v>
      </c>
      <c r="C28" s="42"/>
      <c r="D28" s="41">
        <v>288</v>
      </c>
      <c r="E28" s="42"/>
      <c r="F28" s="41">
        <v>292</v>
      </c>
      <c r="G28" s="42"/>
      <c r="H28" s="43">
        <f t="shared" si="0"/>
        <v>580</v>
      </c>
      <c r="I28" s="44">
        <f t="shared" si="1"/>
        <v>290</v>
      </c>
      <c r="J28" s="45">
        <f t="shared" si="2"/>
        <v>2</v>
      </c>
      <c r="K28" s="46">
        <v>0.875</v>
      </c>
      <c r="L28" s="47">
        <v>1800</v>
      </c>
      <c r="M28" s="54">
        <v>181.34</v>
      </c>
      <c r="N28" s="49">
        <f t="shared" si="3"/>
        <v>599.999999999795</v>
      </c>
      <c r="O28" s="56"/>
      <c r="P28" s="51"/>
      <c r="Q28" s="52"/>
      <c r="R28" s="52"/>
      <c r="S28" s="52"/>
      <c r="T28" s="52"/>
      <c r="U28" s="53"/>
    </row>
    <row r="29" s="3" customFormat="1" ht="15" customHeight="1" spans="1:21">
      <c r="A29" s="40">
        <v>0.916666666666667</v>
      </c>
      <c r="B29" s="41" t="s">
        <v>11</v>
      </c>
      <c r="C29" s="42"/>
      <c r="D29" s="41">
        <v>231</v>
      </c>
      <c r="E29" s="42"/>
      <c r="F29" s="41">
        <v>262</v>
      </c>
      <c r="G29" s="42"/>
      <c r="H29" s="43">
        <f t="shared" si="0"/>
        <v>493</v>
      </c>
      <c r="I29" s="44">
        <f t="shared" si="1"/>
        <v>246.5</v>
      </c>
      <c r="J29" s="45">
        <f t="shared" si="2"/>
        <v>2</v>
      </c>
      <c r="K29" s="46">
        <v>0.916666666666666</v>
      </c>
      <c r="L29" s="47">
        <v>1800</v>
      </c>
      <c r="M29" s="54">
        <v>181.39</v>
      </c>
      <c r="N29" s="49">
        <f t="shared" si="3"/>
        <v>600.000000000136</v>
      </c>
      <c r="O29" s="56"/>
      <c r="P29" s="51"/>
      <c r="Q29" s="52"/>
      <c r="R29" s="52"/>
      <c r="S29" s="52"/>
      <c r="T29" s="52"/>
      <c r="U29" s="53"/>
    </row>
    <row r="30" s="3" customFormat="1" ht="15" customHeight="1" spans="1:21">
      <c r="A30" s="40">
        <v>0.958333333333334</v>
      </c>
      <c r="B30" s="41" t="s">
        <v>11</v>
      </c>
      <c r="C30" s="42"/>
      <c r="D30" s="41">
        <v>260</v>
      </c>
      <c r="E30" s="42"/>
      <c r="F30" s="41">
        <v>263</v>
      </c>
      <c r="G30" s="42"/>
      <c r="H30" s="43">
        <f t="shared" si="0"/>
        <v>523</v>
      </c>
      <c r="I30" s="44">
        <f t="shared" si="1"/>
        <v>261.5</v>
      </c>
      <c r="J30" s="45">
        <f t="shared" si="2"/>
        <v>2</v>
      </c>
      <c r="K30" s="46">
        <v>0.958333333333333</v>
      </c>
      <c r="L30" s="47">
        <v>1800</v>
      </c>
      <c r="M30" s="54">
        <v>181.44</v>
      </c>
      <c r="N30" s="49">
        <f t="shared" si="3"/>
        <v>479.999999999905</v>
      </c>
      <c r="O30" s="56"/>
      <c r="P30" s="51"/>
      <c r="Q30" s="52"/>
      <c r="R30" s="52"/>
      <c r="S30" s="52"/>
      <c r="T30" s="52"/>
      <c r="U30" s="53"/>
    </row>
    <row r="31" s="2" customFormat="1" ht="15" customHeight="1" spans="1:21">
      <c r="A31" s="57">
        <v>1</v>
      </c>
      <c r="B31" s="41" t="s">
        <v>11</v>
      </c>
      <c r="C31" s="42"/>
      <c r="D31" s="41">
        <v>237</v>
      </c>
      <c r="E31" s="42"/>
      <c r="F31" s="41">
        <v>249</v>
      </c>
      <c r="G31" s="42"/>
      <c r="H31" s="43">
        <f t="shared" si="0"/>
        <v>486</v>
      </c>
      <c r="I31" s="58">
        <f t="shared" si="1"/>
        <v>243</v>
      </c>
      <c r="J31" s="59">
        <f t="shared" si="2"/>
        <v>2</v>
      </c>
      <c r="K31" s="60">
        <v>1</v>
      </c>
      <c r="L31" s="47">
        <v>4500</v>
      </c>
      <c r="M31" s="61">
        <v>181.48</v>
      </c>
      <c r="N31" s="49">
        <f>H31</f>
        <v>486</v>
      </c>
      <c r="O31" s="56"/>
      <c r="P31" s="51"/>
      <c r="Q31" s="52"/>
      <c r="R31" s="52"/>
      <c r="S31" s="52"/>
      <c r="T31" s="52"/>
      <c r="U31" s="53"/>
    </row>
    <row r="32" s="3" customFormat="1" ht="23.25" customHeight="1" spans="1:21">
      <c r="A32" s="62" t="s">
        <v>12</v>
      </c>
      <c r="B32" s="63">
        <f>SUM(B8:B31)/1000</f>
        <v>0</v>
      </c>
      <c r="C32" s="64"/>
      <c r="D32" s="63">
        <f>SUM(D8:D31)/1000</f>
        <v>5.888</v>
      </c>
      <c r="E32" s="64"/>
      <c r="F32" s="63">
        <f>SUM(F8:F31)/1000</f>
        <v>2.794</v>
      </c>
      <c r="G32" s="64"/>
      <c r="H32" s="65">
        <f>SUM(H8:H31)</f>
        <v>8682</v>
      </c>
      <c r="I32" s="66" t="s">
        <v>13</v>
      </c>
      <c r="J32" s="67"/>
      <c r="K32" s="68"/>
      <c r="L32" s="69"/>
      <c r="M32" s="70">
        <f>SUM(M31-M8+N8)</f>
        <v>480.780000000246</v>
      </c>
      <c r="N32" s="71">
        <f>SUM(N8:N31)</f>
        <v>9846.00000000001</v>
      </c>
      <c r="O32" s="72">
        <f>SUM(O8:O31)</f>
        <v>0</v>
      </c>
      <c r="P32" s="73"/>
      <c r="Q32" s="74"/>
      <c r="R32" s="74"/>
      <c r="S32" s="74"/>
      <c r="T32" s="74"/>
      <c r="U32" s="75"/>
    </row>
    <row r="33" ht="15" customHeight="1" spans="1:29">
      <c r="A33" s="76" t="s">
        <v>14</v>
      </c>
      <c r="B33" s="77" t="str">
        <f>IFERROR((AVERAGE(B8:B31)),"0")</f>
        <v>0</v>
      </c>
      <c r="C33" s="78"/>
      <c r="D33" s="79">
        <f>IFERROR((AVERAGE(D8:D31)),"0")</f>
        <v>327.111111111111</v>
      </c>
      <c r="E33" s="78"/>
      <c r="F33" s="79">
        <f>IFERROR((AVERAGE(F8:F31)),"0")</f>
        <v>279.4</v>
      </c>
      <c r="G33" s="80"/>
      <c r="H33" s="81">
        <f>H32*1000</f>
        <v>8682000</v>
      </c>
      <c r="I33" s="82" t="s">
        <v>15</v>
      </c>
      <c r="J33" s="83"/>
      <c r="K33" s="84"/>
      <c r="L33" s="85"/>
      <c r="M33" s="86"/>
      <c r="N33" s="85"/>
      <c r="O33" s="87"/>
      <c r="P33" s="87"/>
      <c r="Q33" s="88"/>
      <c r="R33" s="88"/>
      <c r="S33" s="89"/>
      <c r="T33" s="89"/>
      <c r="U33" s="89"/>
      <c r="V33" s="89"/>
    </row>
    <row r="34" ht="18.75" customHeight="1" spans="1:29">
      <c r="A34" s="90"/>
      <c r="B34" s="91"/>
      <c r="C34" s="92"/>
      <c r="D34" s="93"/>
      <c r="E34" s="92"/>
      <c r="F34" s="93"/>
      <c r="G34" s="94"/>
      <c r="H34" s="95"/>
      <c r="I34" s="96"/>
      <c r="J34" s="97"/>
      <c r="K34" s="98"/>
      <c r="L34" s="85"/>
      <c r="M34" s="86"/>
      <c r="N34" s="99"/>
      <c r="O34" s="99"/>
      <c r="P34" s="99"/>
      <c r="Q34" s="99"/>
      <c r="R34" s="88"/>
      <c r="S34" s="89"/>
      <c r="T34" s="89"/>
      <c r="U34" s="89"/>
      <c r="V34" s="89"/>
    </row>
    <row r="35" ht="22.5" customHeight="1" spans="1:29">
      <c r="A35" s="100" t="s">
        <v>16</v>
      </c>
      <c r="B35" s="101">
        <f>COUNT(B8:B31)</f>
        <v>0</v>
      </c>
      <c r="C35" s="102"/>
      <c r="D35" s="103">
        <f>COUNT(D8:D31)</f>
        <v>18</v>
      </c>
      <c r="E35" s="102"/>
      <c r="F35" s="103">
        <f>COUNT(F8:F31)</f>
        <v>10</v>
      </c>
      <c r="G35" s="104"/>
      <c r="H35" s="105"/>
      <c r="I35" s="106"/>
      <c r="J35" s="107"/>
      <c r="K35" s="107"/>
      <c r="L35" s="107"/>
      <c r="M35" s="107"/>
      <c r="N35" s="99"/>
      <c r="O35" s="99"/>
      <c r="P35" s="99"/>
      <c r="Q35" s="99"/>
      <c r="R35" s="108"/>
      <c r="S35" s="89"/>
      <c r="T35" s="89"/>
      <c r="U35" s="89"/>
      <c r="V35" s="89"/>
    </row>
    <row r="36" ht="9" customHeight="1" spans="1:29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10"/>
      <c r="N36" s="106"/>
      <c r="O36" s="107"/>
      <c r="P36" s="107"/>
      <c r="Q36" s="107"/>
      <c r="R36" s="107"/>
      <c r="S36" s="107"/>
      <c r="T36" s="107"/>
      <c r="U36" s="111"/>
      <c r="V36" s="112"/>
      <c r="W36" s="108"/>
      <c r="X36" s="108"/>
      <c r="Y36" s="108"/>
      <c r="Z36" s="89"/>
      <c r="AA36" s="89"/>
      <c r="AB36" s="89"/>
      <c r="AC36" s="89"/>
    </row>
    <row r="37" ht="24" customHeight="1" spans="1:29">
      <c r="D37" s="113"/>
      <c r="E37" s="113"/>
      <c r="F37" s="113"/>
      <c r="G37" s="113"/>
      <c r="H37" s="113"/>
      <c r="I37" s="113"/>
      <c r="J37" s="113"/>
      <c r="K37" s="114"/>
      <c r="L37" s="114"/>
      <c r="N37" s="115" t="s">
        <v>17</v>
      </c>
      <c r="O37" s="116"/>
      <c r="P37" s="116"/>
      <c r="Q37" s="117"/>
      <c r="R37" s="118">
        <f>SUM(B35:F35)</f>
        <v>28</v>
      </c>
      <c r="S37" s="69"/>
      <c r="T37" s="69"/>
      <c r="U37" s="69"/>
      <c r="V37" s="69"/>
      <c r="X37" s="119"/>
      <c r="Y37" s="119"/>
      <c r="Z37" s="119"/>
      <c r="AA37" s="119"/>
      <c r="AB37" s="119"/>
      <c r="AC37" s="114"/>
    </row>
    <row r="38" ht="15" spans="1:29">
      <c r="D38" s="113"/>
      <c r="E38" s="113"/>
      <c r="F38" s="113"/>
      <c r="G38" s="113"/>
      <c r="H38" s="113"/>
      <c r="I38" s="113"/>
      <c r="J38" s="113"/>
      <c r="K38" s="114"/>
      <c r="L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</row>
    <row r="39" ht="24.75" customHeight="1" spans="1:29">
      <c r="A39" s="120" t="s">
        <v>18</v>
      </c>
      <c r="B39" s="121"/>
      <c r="C39" s="122">
        <f>MAX(H8:H31)</f>
        <v>580</v>
      </c>
      <c r="D39" s="123"/>
      <c r="E39" s="124">
        <f>VLOOKUP(C39,H8:L31,4,FALSE)</f>
        <v>0.875</v>
      </c>
      <c r="F39" s="125"/>
      <c r="G39" s="125"/>
      <c r="H39" s="126" t="s">
        <v>19</v>
      </c>
      <c r="I39" s="127"/>
      <c r="J39" s="128"/>
      <c r="K39" s="129">
        <f>MAX(J8:J31)</f>
        <v>2</v>
      </c>
      <c r="L39" s="130"/>
      <c r="N39" s="131" t="s">
        <v>20</v>
      </c>
      <c r="O39" s="132"/>
      <c r="P39" s="132"/>
      <c r="Q39" s="133"/>
      <c r="R39" s="134">
        <f>AVERAGE(H8:H31)</f>
        <v>434.1</v>
      </c>
      <c r="S39" s="135"/>
      <c r="T39" s="135"/>
    </row>
    <row r="40" ht="15" spans="1:29">
      <c r="C40" s="136"/>
      <c r="D40" s="137"/>
      <c r="E40" s="138"/>
      <c r="F40" s="138"/>
      <c r="G40" s="138"/>
      <c r="H40" s="138"/>
      <c r="I40" s="139"/>
      <c r="J40" s="106"/>
      <c r="K40" s="110"/>
      <c r="L40" s="110"/>
      <c r="N40" s="140"/>
      <c r="O40" s="140"/>
      <c r="P40" s="140"/>
      <c r="Q40" s="140"/>
      <c r="R40" s="140"/>
      <c r="X40" s="5"/>
      <c r="Y40" s="5"/>
      <c r="Z40" s="5"/>
      <c r="AA40" s="5"/>
      <c r="AB40" s="5"/>
      <c r="AC40" s="141"/>
    </row>
    <row r="41" ht="24.75" customHeight="1" spans="1:29">
      <c r="A41" s="120" t="s">
        <v>21</v>
      </c>
      <c r="B41" s="121"/>
      <c r="C41" s="122">
        <f>MIN(H8:H31)</f>
        <v>280</v>
      </c>
      <c r="D41" s="123"/>
      <c r="E41" s="124">
        <f>VLOOKUP(C41,H8:L31,4,FALSE)</f>
        <v>0.208333333333333</v>
      </c>
      <c r="F41" s="142"/>
      <c r="G41" s="125"/>
      <c r="H41" s="126" t="s">
        <v>22</v>
      </c>
      <c r="I41" s="127"/>
      <c r="J41" s="128"/>
      <c r="K41" s="129">
        <f>MIN(J8:J31)</f>
        <v>0</v>
      </c>
      <c r="L41" s="130"/>
      <c r="N41" s="126" t="s">
        <v>23</v>
      </c>
      <c r="O41" s="127"/>
      <c r="P41" s="127"/>
      <c r="Q41" s="128"/>
      <c r="R41" s="143">
        <f>AVERAGE(I8:I31)</f>
        <v>332.175</v>
      </c>
      <c r="S41" s="144"/>
      <c r="T41" s="144"/>
      <c r="U41" s="144"/>
      <c r="V41" s="144"/>
      <c r="X41" s="145"/>
    </row>
    <row r="42" ht="15" spans="1:29">
      <c r="D42" s="138"/>
      <c r="E42" s="138"/>
      <c r="F42" s="138"/>
      <c r="G42" s="138"/>
      <c r="H42" s="138"/>
      <c r="I42" s="146"/>
      <c r="J42" s="138"/>
      <c r="K42" s="147"/>
      <c r="L42" s="147"/>
      <c r="V42" s="148"/>
      <c r="W42" s="148"/>
      <c r="X42" s="149"/>
      <c r="Y42" s="149"/>
      <c r="Z42" s="150"/>
      <c r="AA42" s="150"/>
      <c r="AB42" s="150"/>
      <c r="AC42" s="150"/>
    </row>
    <row r="43" ht="24.75" customHeight="1" spans="1:29">
      <c r="C43" s="136"/>
      <c r="H43" s="151"/>
      <c r="I43" s="151"/>
      <c r="J43" s="151"/>
      <c r="K43" s="145"/>
      <c r="L43" s="139"/>
      <c r="N43" s="152" t="s">
        <v>24</v>
      </c>
      <c r="O43" s="153"/>
      <c r="P43" s="153"/>
      <c r="Q43" s="154"/>
      <c r="R43" s="155" t="e">
        <f>AVERAGE(T8:T31)</f>
        <v>#DIV/0!</v>
      </c>
      <c r="X43" s="156"/>
      <c r="Z43" s="157"/>
      <c r="AA43" s="157"/>
      <c r="AB43" s="157"/>
      <c r="AC43" s="157"/>
    </row>
    <row r="44" ht="19.5" spans="1:29">
      <c r="I44" s="158"/>
      <c r="K44" s="159"/>
      <c r="L44" s="159"/>
      <c r="Z44" s="160"/>
      <c r="AA44" s="160"/>
      <c r="AB44" s="160"/>
      <c r="AC44" s="160"/>
    </row>
    <row r="45" ht="24.75" customHeight="1" spans="1:29">
      <c r="D45" s="158"/>
      <c r="E45" s="158"/>
      <c r="F45" s="158"/>
      <c r="G45" s="158"/>
      <c r="H45" s="158"/>
      <c r="N45" s="126" t="s">
        <v>25</v>
      </c>
      <c r="O45" s="127"/>
      <c r="P45" s="127"/>
      <c r="Q45" s="128"/>
      <c r="R45" s="161">
        <f>SUM(M32-H32)/24</f>
        <v>-341.71749999999</v>
      </c>
      <c r="X45" s="162"/>
      <c r="Z45" s="163"/>
      <c r="AA45" s="163"/>
      <c r="AB45" s="163"/>
      <c r="AC45" s="163"/>
    </row>
    <row r="46" spans="1:29">
      <c r="Z46" s="164"/>
      <c r="AA46" s="164"/>
      <c r="AB46" s="164"/>
      <c r="AC46" s="164"/>
    </row>
    <row r="47" spans="1:29">
      <c r="Z47" s="139"/>
      <c r="AA47" s="139"/>
      <c r="AB47" s="139"/>
      <c r="AC47" s="139"/>
    </row>
    <row r="48" spans="1:29">
      <c r="Z48" s="139"/>
      <c r="AA48" s="139"/>
      <c r="AB48" s="139"/>
      <c r="AC48" s="139"/>
    </row>
    <row r="49" spans="11:29">
      <c r="Z49" s="157"/>
      <c r="AA49" s="157"/>
      <c r="AB49" s="157"/>
      <c r="AC49" s="157"/>
    </row>
    <row r="50" spans="11:29">
      <c r="Z50" s="157"/>
      <c r="AA50" s="157"/>
      <c r="AB50" s="157"/>
      <c r="AC50" s="157"/>
    </row>
    <row r="51" spans="11:29">
      <c r="K51" s="150"/>
      <c r="L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0"/>
      <c r="AC51" s="150"/>
    </row>
    <row r="52" spans="11:29">
      <c r="K52" s="150"/>
      <c r="L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  <c r="AB52" s="150"/>
      <c r="AC52" s="150"/>
    </row>
    <row r="53" spans="11:29">
      <c r="K53" s="150"/>
      <c r="L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50"/>
      <c r="AB53" s="150"/>
      <c r="AC53" s="150"/>
    </row>
    <row r="60" spans="11:29">
      <c r="O60" s="165"/>
      <c r="P60" s="165"/>
      <c r="Q60" s="165"/>
      <c r="R60" s="165"/>
      <c r="S60" s="165"/>
      <c r="T60" s="165"/>
    </row>
    <row r="61" spans="11:29">
      <c r="O61" s="165"/>
      <c r="P61" s="165"/>
      <c r="Q61" s="165"/>
      <c r="R61" s="165"/>
      <c r="S61" s="165"/>
      <c r="T61" s="165"/>
    </row>
    <row r="62" spans="11:29">
      <c r="O62" s="165"/>
      <c r="P62" s="165"/>
      <c r="Q62" s="165"/>
      <c r="R62" s="165"/>
      <c r="S62" s="165"/>
      <c r="T62" s="165"/>
    </row>
    <row r="63" spans="11:29">
      <c r="O63" s="165"/>
      <c r="P63" s="165"/>
      <c r="Q63" s="165"/>
      <c r="R63" s="165"/>
      <c r="S63" s="165"/>
      <c r="T63" s="165"/>
    </row>
    <row r="64" spans="11:29">
      <c r="O64" s="165"/>
      <c r="P64" s="165"/>
      <c r="Q64" s="165"/>
      <c r="R64" s="165"/>
      <c r="S64" s="165"/>
      <c r="T64" s="165"/>
    </row>
    <row r="65" spans="15:20">
      <c r="O65" s="165"/>
      <c r="P65" s="165"/>
      <c r="Q65" s="165"/>
      <c r="R65" s="165"/>
      <c r="S65" s="165"/>
      <c r="T65" s="165"/>
    </row>
    <row r="66" spans="15:20">
      <c r="O66" s="165"/>
      <c r="P66" s="165"/>
      <c r="Q66" s="165"/>
      <c r="R66" s="165"/>
      <c r="S66" s="165"/>
      <c r="T66" s="165"/>
    </row>
    <row r="67" spans="15:20">
      <c r="O67" s="165"/>
      <c r="P67" s="165"/>
      <c r="Q67" s="165"/>
      <c r="R67" s="165"/>
      <c r="S67" s="165"/>
      <c r="T67" s="165"/>
    </row>
    <row r="68" spans="15:20">
      <c r="O68" s="165"/>
      <c r="P68" s="165"/>
      <c r="Q68" s="165"/>
      <c r="R68" s="165"/>
      <c r="S68" s="165"/>
      <c r="T68" s="165"/>
    </row>
  </sheetData>
  <mergeCells count="116">
    <mergeCell ref="H4:K4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B29:C29"/>
    <mergeCell ref="D29:E29"/>
    <mergeCell ref="F29:G2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N34:Q34"/>
    <mergeCell ref="B35:C35"/>
    <mergeCell ref="D35:E35"/>
    <mergeCell ref="F35:G35"/>
    <mergeCell ref="N35:Q35"/>
    <mergeCell ref="N37:Q37"/>
    <mergeCell ref="A39:B39"/>
    <mergeCell ref="C39:D39"/>
    <mergeCell ref="H39:J39"/>
    <mergeCell ref="N39:Q39"/>
    <mergeCell ref="A41:B41"/>
    <mergeCell ref="C41:D41"/>
    <mergeCell ref="H41:J41"/>
    <mergeCell ref="N41:Q41"/>
    <mergeCell ref="H43:J43"/>
    <mergeCell ref="N43:Q43"/>
    <mergeCell ref="N45:Q45"/>
    <mergeCell ref="A6:A7"/>
    <mergeCell ref="A33:A34"/>
    <mergeCell ref="H6:H7"/>
    <mergeCell ref="H33:H34"/>
    <mergeCell ref="I6:I7"/>
    <mergeCell ref="I33:I34"/>
    <mergeCell ref="J6:J7"/>
    <mergeCell ref="K6:K7"/>
    <mergeCell ref="L6:L7"/>
    <mergeCell ref="M6:M7"/>
    <mergeCell ref="N6:N7"/>
    <mergeCell ref="O6:O7"/>
    <mergeCell ref="T6:T7"/>
    <mergeCell ref="U6:U7"/>
    <mergeCell ref="B33:C34"/>
    <mergeCell ref="D33:E34"/>
    <mergeCell ref="F33:G34"/>
  </mergeCells>
  <conditionalFormatting sqref="O8">
    <cfRule type="cellIs" dxfId="0" priority="10" operator="equal">
      <formula>"N/A"</formula>
    </cfRule>
  </conditionalFormatting>
  <conditionalFormatting sqref="A30">
    <cfRule type="cellIs" dxfId="1" priority="11" operator="equal">
      <formula>"STB"</formula>
    </cfRule>
    <cfRule type="cellIs" dxfId="0" priority="12" operator="equal">
      <formula>"BD"</formula>
    </cfRule>
  </conditionalFormatting>
  <conditionalFormatting sqref="B8:B31">
    <cfRule type="cellIs" dxfId="1" priority="1" operator="equal">
      <formula>"STB"</formula>
    </cfRule>
    <cfRule type="cellIs" dxfId="0" priority="2" operator="equal">
      <formula>"BD"</formula>
    </cfRule>
  </conditionalFormatting>
  <conditionalFormatting sqref="D8:D31">
    <cfRule type="cellIs" dxfId="1" priority="8" operator="equal">
      <formula>"STB"</formula>
    </cfRule>
    <cfRule type="cellIs" dxfId="0" priority="9" operator="equal">
      <formula>"BD"</formula>
    </cfRule>
  </conditionalFormatting>
  <conditionalFormatting sqref="F8:F31">
    <cfRule type="cellIs" dxfId="1" priority="3" operator="equal">
      <formula>"STB"</formula>
    </cfRule>
    <cfRule type="cellIs" dxfId="0" priority="4" operator="equal">
      <formula>"BD"</formula>
    </cfRule>
  </conditionalFormatting>
  <conditionalFormatting sqref="H8:H31">
    <cfRule type="top10" dxfId="2" priority="5" bottom="1" rank="1"/>
    <cfRule type="top10" dxfId="3" priority="6" rank="1"/>
    <cfRule type="cellIs" dxfId="4" priority="7" stopIfTrue="1" operator="equal">
      <formula>28000</formula>
    </cfRule>
  </conditionalFormatting>
  <conditionalFormatting sqref="H32:H33">
    <cfRule type="top10" dxfId="2" priority="14" bottom="1" rank="1"/>
    <cfRule type="top10" dxfId="3" priority="15" rank="1"/>
    <cfRule type="cellIs" dxfId="4" priority="17" stopIfTrue="1" operator="equal">
      <formula>28000</formula>
    </cfRule>
  </conditionalFormatting>
  <conditionalFormatting sqref="Y8:Y31">
    <cfRule type="containsText" dxfId="5" priority="13" operator="between" text="-">
      <formula>NOT(ISERROR(SEARCH("-",Y8)))</formula>
    </cfRule>
  </conditionalFormatting>
  <conditionalFormatting sqref="N8 N9:O31">
    <cfRule type="cellIs" dxfId="0" priority="16" operator="equal">
      <formula>"BD"</formula>
    </cfRule>
  </conditionalFormatting>
  <pageMargins left="0.7" right="0.7" top="0.75" bottom="0.75" header="0.3" footer="0.3"/>
  <pageSetup paperSize="1" orientation="portrait" verticalDpi="360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C68"/>
  <sheetViews>
    <sheetView zoomScale="80" zoomScaleNormal="80" workbookViewId="0">
      <pane ySplit="7" topLeftCell="A16" activePane="bottomLeft" state="frozen"/>
      <selection/>
      <selection pane="bottomLeft" activeCell="A3" sqref="$A3:$XFD3"/>
    </sheetView>
  </sheetViews>
  <sheetFormatPr defaultColWidth="8.81666666666667" defaultRowHeight="14.25"/>
  <cols>
    <col min="1" max="1" width="16.725" customWidth="1"/>
    <col min="2" max="2" width="8.725" customWidth="1"/>
    <col min="3" max="7" width="5.725" customWidth="1"/>
    <col min="8" max="8" width="14.2666666666667" customWidth="1"/>
    <col min="9" max="9" width="15.1833333333333" customWidth="1"/>
    <col min="10" max="10" width="15.5416666666667" customWidth="1"/>
    <col min="11" max="11" width="7" customWidth="1"/>
    <col min="12" max="12" width="8.54166666666667" customWidth="1"/>
    <col min="13" max="13" width="11.725" style="5" customWidth="1"/>
    <col min="14" max="14" width="17.1833333333333" customWidth="1"/>
    <col min="15" max="15" width="15.45" customWidth="1"/>
    <col min="16" max="16" width="7.45" customWidth="1"/>
    <col min="17" max="17" width="9.54166666666667" customWidth="1"/>
    <col min="18" max="18" width="10" customWidth="1"/>
    <col min="19" max="20" width="9.81666666666667" customWidth="1"/>
    <col min="21" max="21" width="6.725" customWidth="1"/>
    <col min="22" max="22" width="13.8166666666667" customWidth="1"/>
    <col min="23" max="23" width="11.2666666666667" customWidth="1"/>
    <col min="24" max="24" width="9.26666666666667" customWidth="1"/>
    <col min="25" max="25" width="3.725" customWidth="1"/>
    <col min="26" max="29" width="7.725" customWidth="1"/>
    <col min="30" max="30" width="6.725" customWidth="1"/>
  </cols>
  <sheetData>
    <row r="1" ht="3" customHeight="1"/>
    <row r="2" ht="6" customHeight="1" spans="1:2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="1" customFormat="1" ht="6.75" customHeight="1" spans="1:29">
      <c r="K3" s="7"/>
      <c r="L3" s="8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17.25" customHeight="1" spans="1:29">
      <c r="A4" s="1"/>
      <c r="B4" s="10"/>
      <c r="C4" s="10"/>
      <c r="D4" s="10"/>
      <c r="E4" s="11"/>
      <c r="F4" s="11"/>
      <c r="G4" s="11"/>
      <c r="H4" s="12">
        <f>'[27]Taniwel daily'!C4</f>
        <v>45318</v>
      </c>
      <c r="I4" s="13"/>
      <c r="J4" s="13"/>
      <c r="K4" s="14"/>
      <c r="L4" s="15"/>
      <c r="M4" s="16"/>
      <c r="N4" s="10"/>
      <c r="O4" s="10"/>
      <c r="P4" s="10"/>
      <c r="Q4" s="10"/>
      <c r="R4" s="10"/>
      <c r="S4" s="10"/>
      <c r="T4" s="10"/>
      <c r="U4" s="10"/>
      <c r="V4" s="7"/>
      <c r="W4" s="7"/>
      <c r="X4" s="7"/>
      <c r="Y4" s="7"/>
      <c r="Z4" s="7"/>
      <c r="AA4" s="7"/>
      <c r="AB4" s="7"/>
      <c r="AC4" s="7"/>
    </row>
    <row r="5" ht="7.5" customHeight="1" spans="1:29">
      <c r="A5" s="1"/>
      <c r="B5" s="17"/>
      <c r="C5" s="1"/>
      <c r="D5" s="1"/>
      <c r="E5" s="1"/>
      <c r="F5" s="1"/>
      <c r="G5" s="1"/>
      <c r="H5" s="1"/>
      <c r="I5" s="1"/>
      <c r="J5" s="1"/>
      <c r="K5" s="18"/>
      <c r="L5" s="7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ht="17.25" customHeight="1" spans="1:29">
      <c r="A6" s="19" t="s">
        <v>0</v>
      </c>
      <c r="B6" s="20" t="s">
        <v>1</v>
      </c>
      <c r="C6" s="21"/>
      <c r="D6" s="20" t="s">
        <v>2</v>
      </c>
      <c r="E6" s="21"/>
      <c r="F6" s="20" t="s">
        <v>3</v>
      </c>
      <c r="G6" s="21"/>
      <c r="H6" s="22" t="s">
        <v>4</v>
      </c>
      <c r="I6" s="22" t="s">
        <v>5</v>
      </c>
      <c r="J6" s="23" t="s">
        <v>6</v>
      </c>
      <c r="K6" s="19" t="s">
        <v>0</v>
      </c>
      <c r="L6" s="24" t="s">
        <v>7</v>
      </c>
      <c r="M6" s="25" t="s">
        <v>8</v>
      </c>
      <c r="N6" s="26" t="s">
        <v>9</v>
      </c>
      <c r="O6" s="25" t="s">
        <v>10</v>
      </c>
      <c r="P6" s="27"/>
      <c r="Q6" s="28"/>
      <c r="R6" s="28"/>
      <c r="S6" s="28"/>
      <c r="T6" s="28"/>
      <c r="U6" s="29"/>
    </row>
    <row r="7" ht="15.75" customHeight="1" spans="1:29">
      <c r="A7" s="30"/>
      <c r="B7" s="31">
        <v>1</v>
      </c>
      <c r="C7" s="32"/>
      <c r="D7" s="31">
        <v>2</v>
      </c>
      <c r="E7" s="32"/>
      <c r="F7" s="31">
        <v>3</v>
      </c>
      <c r="G7" s="32"/>
      <c r="H7" s="33"/>
      <c r="I7" s="33"/>
      <c r="J7" s="34"/>
      <c r="K7" s="30"/>
      <c r="L7" s="35"/>
      <c r="M7" s="36"/>
      <c r="N7" s="37"/>
      <c r="O7" s="38"/>
      <c r="P7" s="27"/>
      <c r="Q7" s="28"/>
      <c r="R7" s="28"/>
      <c r="S7" s="28"/>
      <c r="T7" s="28"/>
      <c r="U7" s="29"/>
      <c r="X7" s="39"/>
    </row>
    <row r="8" s="2" customFormat="1" ht="15" customHeight="1" spans="1:29">
      <c r="A8" s="40">
        <v>0.0416666666666666</v>
      </c>
      <c r="B8" s="41" t="s">
        <v>11</v>
      </c>
      <c r="C8" s="42"/>
      <c r="D8" s="41">
        <v>243</v>
      </c>
      <c r="E8" s="42"/>
      <c r="F8" s="41">
        <v>221</v>
      </c>
      <c r="G8" s="42"/>
      <c r="H8" s="43">
        <f t="shared" ref="H8:H31" si="0">IF(SUM(B8:G8)/1000=0,"0",SUM(B8:G8))</f>
        <v>464</v>
      </c>
      <c r="I8" s="44">
        <f t="shared" ref="I8:I31" si="1">IFERROR(AVERAGE(B8:G8),"0")</f>
        <v>232</v>
      </c>
      <c r="J8" s="45">
        <f t="shared" ref="J8:J31" si="2">COUNT(B8:G8)</f>
        <v>2</v>
      </c>
      <c r="K8" s="46">
        <v>0.0416666666666667</v>
      </c>
      <c r="L8" s="47">
        <v>4500</v>
      </c>
      <c r="M8" s="48">
        <v>181.53</v>
      </c>
      <c r="N8" s="49">
        <f>(M9-M8)*12000</f>
        <v>479.999999999905</v>
      </c>
      <c r="O8" s="50"/>
      <c r="P8" s="51"/>
      <c r="Q8" s="52"/>
      <c r="R8" s="52"/>
      <c r="S8" s="52"/>
      <c r="T8" s="52"/>
      <c r="U8" s="53"/>
    </row>
    <row r="9" s="3" customFormat="1" ht="15" customHeight="1" spans="1:29">
      <c r="A9" s="40">
        <v>0.0833333333333333</v>
      </c>
      <c r="B9" s="41" t="s">
        <v>11</v>
      </c>
      <c r="C9" s="42"/>
      <c r="D9" s="41">
        <v>226</v>
      </c>
      <c r="E9" s="42"/>
      <c r="F9" s="41">
        <v>225</v>
      </c>
      <c r="G9" s="42"/>
      <c r="H9" s="43">
        <f t="shared" si="0"/>
        <v>451</v>
      </c>
      <c r="I9" s="44">
        <f t="shared" si="1"/>
        <v>225.5</v>
      </c>
      <c r="J9" s="45">
        <f t="shared" si="2"/>
        <v>2</v>
      </c>
      <c r="K9" s="46">
        <v>0.0833333333333333</v>
      </c>
      <c r="L9" s="47">
        <v>4200</v>
      </c>
      <c r="M9" s="54">
        <v>181.57</v>
      </c>
      <c r="N9" s="49">
        <f t="shared" ref="N9:N30" si="3">(M10-M9)*12000</f>
        <v>480.000000000246</v>
      </c>
      <c r="O9" s="55"/>
      <c r="P9" s="51"/>
      <c r="Q9" s="52"/>
      <c r="R9" s="52"/>
      <c r="S9" s="52"/>
      <c r="T9" s="52"/>
      <c r="U9" s="53"/>
    </row>
    <row r="10" s="3" customFormat="1" ht="15" customHeight="1" spans="1:29">
      <c r="A10" s="40">
        <v>0.125</v>
      </c>
      <c r="B10" s="41" t="s">
        <v>11</v>
      </c>
      <c r="C10" s="42"/>
      <c r="D10" s="41">
        <v>436</v>
      </c>
      <c r="E10" s="42"/>
      <c r="F10" s="41" t="s">
        <v>26</v>
      </c>
      <c r="G10" s="42"/>
      <c r="H10" s="43">
        <f t="shared" si="0"/>
        <v>436</v>
      </c>
      <c r="I10" s="44">
        <f t="shared" si="1"/>
        <v>436</v>
      </c>
      <c r="J10" s="45">
        <f t="shared" si="2"/>
        <v>1</v>
      </c>
      <c r="K10" s="46">
        <v>0.125</v>
      </c>
      <c r="L10" s="47">
        <v>4200</v>
      </c>
      <c r="M10" s="54">
        <v>181.61</v>
      </c>
      <c r="N10" s="49">
        <f t="shared" si="3"/>
        <v>599.999999999795</v>
      </c>
      <c r="O10" s="56"/>
      <c r="P10" s="51"/>
      <c r="Q10" s="52"/>
      <c r="R10" s="52"/>
      <c r="S10" s="52"/>
      <c r="T10" s="52"/>
      <c r="U10" s="53"/>
    </row>
    <row r="11" s="3" customFormat="1" ht="15" customHeight="1" spans="1:29">
      <c r="A11" s="40">
        <v>0.166666666666667</v>
      </c>
      <c r="B11" s="41" t="s">
        <v>11</v>
      </c>
      <c r="C11" s="42"/>
      <c r="D11" s="41">
        <v>392</v>
      </c>
      <c r="E11" s="42"/>
      <c r="F11" s="41" t="s">
        <v>26</v>
      </c>
      <c r="G11" s="42"/>
      <c r="H11" s="43">
        <f t="shared" si="0"/>
        <v>392</v>
      </c>
      <c r="I11" s="44">
        <f t="shared" si="1"/>
        <v>392</v>
      </c>
      <c r="J11" s="45">
        <f t="shared" si="2"/>
        <v>1</v>
      </c>
      <c r="K11" s="46">
        <v>0.166666666666667</v>
      </c>
      <c r="L11" s="47">
        <v>4000</v>
      </c>
      <c r="M11" s="54">
        <v>181.66</v>
      </c>
      <c r="N11" s="49">
        <f t="shared" si="3"/>
        <v>479.999999999905</v>
      </c>
      <c r="O11" s="56"/>
      <c r="P11" s="51"/>
      <c r="Q11" s="52"/>
      <c r="R11" s="52"/>
      <c r="S11" s="52"/>
      <c r="T11" s="52"/>
      <c r="U11" s="53"/>
    </row>
    <row r="12" s="3" customFormat="1" ht="15" customHeight="1" spans="1:29">
      <c r="A12" s="40">
        <v>0.208333333333333</v>
      </c>
      <c r="B12" s="41" t="s">
        <v>11</v>
      </c>
      <c r="C12" s="42"/>
      <c r="D12" s="41">
        <v>401</v>
      </c>
      <c r="E12" s="42"/>
      <c r="F12" s="41" t="s">
        <v>26</v>
      </c>
      <c r="G12" s="42"/>
      <c r="H12" s="43">
        <f t="shared" si="0"/>
        <v>401</v>
      </c>
      <c r="I12" s="44">
        <f t="shared" si="1"/>
        <v>401</v>
      </c>
      <c r="J12" s="45">
        <f t="shared" si="2"/>
        <v>1</v>
      </c>
      <c r="K12" s="46">
        <v>0.208333333333333</v>
      </c>
      <c r="L12" s="47">
        <v>3900</v>
      </c>
      <c r="M12" s="54">
        <v>181.7</v>
      </c>
      <c r="N12" s="49">
        <f t="shared" si="3"/>
        <v>360.000000000014</v>
      </c>
      <c r="O12" s="56"/>
      <c r="P12" s="51"/>
      <c r="Q12" s="52"/>
      <c r="R12" s="52"/>
      <c r="S12" s="52"/>
      <c r="T12" s="52"/>
      <c r="U12" s="53"/>
    </row>
    <row r="13" s="3" customFormat="1" ht="15" customHeight="1" spans="1:29">
      <c r="A13" s="40">
        <v>0.25</v>
      </c>
      <c r="B13" s="41" t="s">
        <v>11</v>
      </c>
      <c r="C13" s="42"/>
      <c r="D13" s="41">
        <v>426</v>
      </c>
      <c r="E13" s="42"/>
      <c r="F13" s="41" t="s">
        <v>26</v>
      </c>
      <c r="G13" s="42"/>
      <c r="H13" s="43">
        <f t="shared" si="0"/>
        <v>426</v>
      </c>
      <c r="I13" s="44">
        <f t="shared" si="1"/>
        <v>426</v>
      </c>
      <c r="J13" s="45">
        <f t="shared" si="2"/>
        <v>1</v>
      </c>
      <c r="K13" s="46">
        <v>0.25</v>
      </c>
      <c r="L13" s="47">
        <v>3600</v>
      </c>
      <c r="M13" s="54">
        <v>181.73</v>
      </c>
      <c r="N13" s="49">
        <f t="shared" si="3"/>
        <v>480.000000000246</v>
      </c>
      <c r="O13" s="56"/>
      <c r="P13" s="51"/>
      <c r="Q13" s="52"/>
      <c r="R13" s="52"/>
      <c r="S13" s="52"/>
      <c r="T13" s="52"/>
      <c r="U13" s="53"/>
    </row>
    <row r="14" s="3" customFormat="1" ht="15" customHeight="1" spans="1:29">
      <c r="A14" s="40">
        <v>0.291666666666667</v>
      </c>
      <c r="B14" s="41" t="s">
        <v>11</v>
      </c>
      <c r="C14" s="42"/>
      <c r="D14" s="41">
        <v>237</v>
      </c>
      <c r="E14" s="42"/>
      <c r="F14" s="41">
        <v>228</v>
      </c>
      <c r="G14" s="42"/>
      <c r="H14" s="43">
        <f t="shared" si="0"/>
        <v>465</v>
      </c>
      <c r="I14" s="44">
        <f t="shared" si="1"/>
        <v>232.5</v>
      </c>
      <c r="J14" s="45">
        <f t="shared" si="2"/>
        <v>2</v>
      </c>
      <c r="K14" s="46">
        <v>0.291666666666667</v>
      </c>
      <c r="L14" s="47">
        <v>3600</v>
      </c>
      <c r="M14" s="54">
        <v>181.77</v>
      </c>
      <c r="N14" s="49">
        <f t="shared" si="3"/>
        <v>479.999999999905</v>
      </c>
      <c r="O14" s="56"/>
      <c r="P14" s="51"/>
      <c r="Q14" s="52"/>
      <c r="R14" s="52"/>
      <c r="S14" s="52"/>
      <c r="T14" s="52"/>
      <c r="U14" s="53"/>
    </row>
    <row r="15" s="3" customFormat="1" ht="15" customHeight="1" spans="1:29">
      <c r="A15" s="40">
        <v>0.333333333333333</v>
      </c>
      <c r="B15" s="41" t="s">
        <v>11</v>
      </c>
      <c r="C15" s="42"/>
      <c r="D15" s="41">
        <v>224</v>
      </c>
      <c r="E15" s="42"/>
      <c r="F15" s="41">
        <v>245</v>
      </c>
      <c r="G15" s="42"/>
      <c r="H15" s="43">
        <f t="shared" si="0"/>
        <v>469</v>
      </c>
      <c r="I15" s="44">
        <f t="shared" si="1"/>
        <v>234.5</v>
      </c>
      <c r="J15" s="45">
        <f t="shared" si="2"/>
        <v>2</v>
      </c>
      <c r="K15" s="46">
        <v>0.333333333333333</v>
      </c>
      <c r="L15" s="47">
        <v>3600</v>
      </c>
      <c r="M15" s="54">
        <v>181.81</v>
      </c>
      <c r="N15" s="49">
        <f t="shared" si="3"/>
        <v>600.000000000136</v>
      </c>
      <c r="O15" s="56"/>
      <c r="P15" s="51"/>
      <c r="Q15" s="52"/>
      <c r="R15" s="52"/>
      <c r="S15" s="52"/>
      <c r="T15" s="52"/>
      <c r="U15" s="53"/>
    </row>
    <row r="16" s="3" customFormat="1" ht="15" customHeight="1" spans="1:29">
      <c r="A16" s="40">
        <v>0.375</v>
      </c>
      <c r="B16" s="41" t="s">
        <v>11</v>
      </c>
      <c r="C16" s="42"/>
      <c r="D16" s="41">
        <v>221</v>
      </c>
      <c r="E16" s="42"/>
      <c r="F16" s="41">
        <v>225</v>
      </c>
      <c r="G16" s="42"/>
      <c r="H16" s="43">
        <f t="shared" si="0"/>
        <v>446</v>
      </c>
      <c r="I16" s="44">
        <f t="shared" si="1"/>
        <v>223</v>
      </c>
      <c r="J16" s="45">
        <f t="shared" si="2"/>
        <v>2</v>
      </c>
      <c r="K16" s="46">
        <v>0.375</v>
      </c>
      <c r="L16" s="47">
        <v>3600</v>
      </c>
      <c r="M16" s="54">
        <v>181.86</v>
      </c>
      <c r="N16" s="49">
        <f t="shared" si="3"/>
        <v>479.999999999905</v>
      </c>
      <c r="O16" s="56"/>
      <c r="P16" s="51"/>
      <c r="Q16" s="52"/>
      <c r="R16" s="52"/>
      <c r="S16" s="52"/>
      <c r="T16" s="52"/>
      <c r="U16" s="53"/>
    </row>
    <row r="17" s="3" customFormat="1" ht="15" customHeight="1" spans="1:21">
      <c r="A17" s="40">
        <v>0.416666666666667</v>
      </c>
      <c r="B17" s="41" t="s">
        <v>11</v>
      </c>
      <c r="C17" s="42"/>
      <c r="D17" s="41" t="s">
        <v>26</v>
      </c>
      <c r="E17" s="42"/>
      <c r="F17" s="41">
        <v>416</v>
      </c>
      <c r="G17" s="42"/>
      <c r="H17" s="43">
        <f t="shared" si="0"/>
        <v>416</v>
      </c>
      <c r="I17" s="44">
        <f t="shared" si="1"/>
        <v>416</v>
      </c>
      <c r="J17" s="45">
        <f t="shared" si="2"/>
        <v>1</v>
      </c>
      <c r="K17" s="46">
        <v>0.416666666666666</v>
      </c>
      <c r="L17" s="47">
        <v>3400</v>
      </c>
      <c r="M17" s="54">
        <v>181.9</v>
      </c>
      <c r="N17" s="49">
        <f>(M22-M17)*12000</f>
        <v>2279.99999999997</v>
      </c>
      <c r="O17" s="56"/>
      <c r="P17" s="51"/>
      <c r="Q17" s="52"/>
      <c r="R17" s="52"/>
      <c r="S17" s="52"/>
      <c r="T17" s="52"/>
      <c r="U17" s="53"/>
    </row>
    <row r="18" s="3" customFormat="1" ht="15" customHeight="1" spans="1:21">
      <c r="A18" s="40">
        <v>0.458333333333333</v>
      </c>
      <c r="B18" s="41" t="s">
        <v>11</v>
      </c>
      <c r="C18" s="42"/>
      <c r="D18" s="41" t="s">
        <v>26</v>
      </c>
      <c r="E18" s="42"/>
      <c r="F18" s="41">
        <v>408</v>
      </c>
      <c r="G18" s="42"/>
      <c r="H18" s="43">
        <f t="shared" si="0"/>
        <v>408</v>
      </c>
      <c r="I18" s="44">
        <f t="shared" si="1"/>
        <v>408</v>
      </c>
      <c r="J18" s="45">
        <f t="shared" si="2"/>
        <v>1</v>
      </c>
      <c r="K18" s="46">
        <v>0.458333333333333</v>
      </c>
      <c r="L18" s="47">
        <v>3300</v>
      </c>
      <c r="M18" s="54">
        <v>181.94</v>
      </c>
      <c r="N18" s="49">
        <f t="shared" si="3"/>
        <v>479.999999999905</v>
      </c>
      <c r="O18" s="56"/>
      <c r="P18" s="51"/>
      <c r="Q18" s="52"/>
      <c r="R18" s="52"/>
      <c r="S18" s="52"/>
      <c r="T18" s="52"/>
      <c r="U18" s="53"/>
    </row>
    <row r="19" s="3" customFormat="1" ht="15" customHeight="1" spans="1:21">
      <c r="A19" s="40">
        <v>0.5</v>
      </c>
      <c r="B19" s="41" t="s">
        <v>11</v>
      </c>
      <c r="C19" s="42"/>
      <c r="D19" s="41" t="s">
        <v>26</v>
      </c>
      <c r="E19" s="42"/>
      <c r="F19" s="41">
        <v>407</v>
      </c>
      <c r="G19" s="42"/>
      <c r="H19" s="43">
        <f t="shared" si="0"/>
        <v>407</v>
      </c>
      <c r="I19" s="44">
        <f t="shared" si="1"/>
        <v>407</v>
      </c>
      <c r="J19" s="45">
        <f t="shared" si="2"/>
        <v>1</v>
      </c>
      <c r="K19" s="46">
        <v>0.5</v>
      </c>
      <c r="L19" s="47">
        <v>3300</v>
      </c>
      <c r="M19" s="54">
        <v>181.98</v>
      </c>
      <c r="N19" s="49">
        <f t="shared" si="3"/>
        <v>480.000000000246</v>
      </c>
      <c r="O19" s="56"/>
      <c r="P19" s="51"/>
      <c r="Q19" s="52"/>
      <c r="R19" s="52"/>
      <c r="S19" s="52"/>
      <c r="T19" s="52"/>
      <c r="U19" s="53"/>
    </row>
    <row r="20" s="3" customFormat="1" ht="15" customHeight="1" spans="1:21">
      <c r="A20" s="40">
        <v>0.541666666666667</v>
      </c>
      <c r="B20" s="41" t="s">
        <v>11</v>
      </c>
      <c r="C20" s="42"/>
      <c r="D20" s="41" t="s">
        <v>26</v>
      </c>
      <c r="E20" s="42"/>
      <c r="F20" s="41">
        <v>396</v>
      </c>
      <c r="G20" s="42"/>
      <c r="H20" s="43">
        <f t="shared" si="0"/>
        <v>396</v>
      </c>
      <c r="I20" s="44">
        <f t="shared" si="1"/>
        <v>396</v>
      </c>
      <c r="J20" s="45">
        <f t="shared" si="2"/>
        <v>1</v>
      </c>
      <c r="K20" s="46">
        <v>0.541666666666667</v>
      </c>
      <c r="L20" s="47">
        <v>3000</v>
      </c>
      <c r="M20" s="54">
        <v>182.02</v>
      </c>
      <c r="N20" s="49">
        <f t="shared" si="3"/>
        <v>360.000000000014</v>
      </c>
      <c r="O20" s="56"/>
      <c r="P20" s="51"/>
      <c r="Q20" s="52"/>
      <c r="R20" s="52"/>
      <c r="S20" s="52"/>
      <c r="T20" s="52"/>
      <c r="U20" s="53"/>
    </row>
    <row r="21" s="3" customFormat="1" ht="15" customHeight="1" spans="1:21">
      <c r="A21" s="40">
        <v>0.583333333333333</v>
      </c>
      <c r="B21" s="41" t="s">
        <v>11</v>
      </c>
      <c r="C21" s="42"/>
      <c r="D21" s="41" t="s">
        <v>26</v>
      </c>
      <c r="E21" s="42"/>
      <c r="F21" s="41">
        <v>384</v>
      </c>
      <c r="G21" s="42"/>
      <c r="H21" s="43">
        <f t="shared" si="0"/>
        <v>384</v>
      </c>
      <c r="I21" s="44">
        <f t="shared" si="1"/>
        <v>384</v>
      </c>
      <c r="J21" s="45">
        <f t="shared" si="2"/>
        <v>1</v>
      </c>
      <c r="K21" s="46">
        <v>0.583333333333333</v>
      </c>
      <c r="L21" s="47">
        <v>3000</v>
      </c>
      <c r="M21" s="54">
        <v>182.05</v>
      </c>
      <c r="N21" s="49">
        <v>0</v>
      </c>
      <c r="O21" s="56"/>
      <c r="P21" s="51"/>
      <c r="Q21" s="52"/>
      <c r="R21" s="52"/>
      <c r="S21" s="52"/>
      <c r="T21" s="52"/>
      <c r="U21" s="53"/>
    </row>
    <row r="22" s="3" customFormat="1" ht="15" customHeight="1" spans="1:21">
      <c r="A22" s="40">
        <v>0.625</v>
      </c>
      <c r="B22" s="41" t="s">
        <v>11</v>
      </c>
      <c r="C22" s="42"/>
      <c r="D22" s="41">
        <v>377</v>
      </c>
      <c r="E22" s="42"/>
      <c r="F22" s="41" t="s">
        <v>26</v>
      </c>
      <c r="G22" s="42"/>
      <c r="H22" s="43">
        <f t="shared" si="0"/>
        <v>377</v>
      </c>
      <c r="I22" s="44">
        <f t="shared" si="1"/>
        <v>377</v>
      </c>
      <c r="J22" s="45">
        <f t="shared" si="2"/>
        <v>1</v>
      </c>
      <c r="K22" s="46">
        <v>0.625</v>
      </c>
      <c r="L22" s="47">
        <v>3000</v>
      </c>
      <c r="M22" s="54">
        <v>182.09</v>
      </c>
      <c r="N22" s="49">
        <f t="shared" si="3"/>
        <v>360.000000000014</v>
      </c>
      <c r="O22" s="56"/>
      <c r="P22" s="51"/>
      <c r="Q22" s="52"/>
      <c r="R22" s="52"/>
      <c r="S22" s="52"/>
      <c r="T22" s="52"/>
      <c r="U22" s="53"/>
    </row>
    <row r="23" s="3" customFormat="1" ht="15" customHeight="1" spans="1:21">
      <c r="A23" s="40">
        <v>0.666666666666667</v>
      </c>
      <c r="B23" s="41" t="s">
        <v>11</v>
      </c>
      <c r="C23" s="42"/>
      <c r="D23" s="41">
        <v>376</v>
      </c>
      <c r="E23" s="42"/>
      <c r="F23" s="41" t="s">
        <v>26</v>
      </c>
      <c r="G23" s="42"/>
      <c r="H23" s="43">
        <f t="shared" si="0"/>
        <v>376</v>
      </c>
      <c r="I23" s="44">
        <f t="shared" si="1"/>
        <v>376</v>
      </c>
      <c r="J23" s="45">
        <f t="shared" si="2"/>
        <v>1</v>
      </c>
      <c r="K23" s="46">
        <v>0.666666666666666</v>
      </c>
      <c r="L23" s="47">
        <v>3000</v>
      </c>
      <c r="M23" s="54">
        <v>182.12</v>
      </c>
      <c r="N23" s="49">
        <f t="shared" si="3"/>
        <v>479.999999999905</v>
      </c>
      <c r="O23" s="56"/>
      <c r="P23" s="51"/>
      <c r="Q23" s="52"/>
      <c r="R23" s="52"/>
      <c r="S23" s="52"/>
      <c r="T23" s="52"/>
      <c r="U23" s="53"/>
    </row>
    <row r="24" s="3" customFormat="1" ht="15" customHeight="1" spans="1:21">
      <c r="A24" s="40">
        <v>0.708333333333334</v>
      </c>
      <c r="B24" s="41" t="s">
        <v>11</v>
      </c>
      <c r="C24" s="42"/>
      <c r="D24" s="41">
        <v>384</v>
      </c>
      <c r="E24" s="42"/>
      <c r="F24" s="41" t="s">
        <v>26</v>
      </c>
      <c r="G24" s="42"/>
      <c r="H24" s="43">
        <f t="shared" si="0"/>
        <v>384</v>
      </c>
      <c r="I24" s="44">
        <f t="shared" si="1"/>
        <v>384</v>
      </c>
      <c r="J24" s="45">
        <f t="shared" si="2"/>
        <v>1</v>
      </c>
      <c r="K24" s="46">
        <v>0.708333333333333</v>
      </c>
      <c r="L24" s="47">
        <v>2700</v>
      </c>
      <c r="M24" s="54">
        <v>182.16</v>
      </c>
      <c r="N24" s="49">
        <f t="shared" si="3"/>
        <v>479.999999999905</v>
      </c>
      <c r="O24" s="56"/>
      <c r="P24" s="51"/>
      <c r="Q24" s="52"/>
      <c r="R24" s="52"/>
      <c r="S24" s="52"/>
      <c r="T24" s="52"/>
      <c r="U24" s="53"/>
    </row>
    <row r="25" s="3" customFormat="1" ht="15" customHeight="1" spans="1:21">
      <c r="A25" s="40">
        <v>0.75</v>
      </c>
      <c r="B25" s="41" t="s">
        <v>11</v>
      </c>
      <c r="C25" s="42"/>
      <c r="D25" s="41">
        <v>401</v>
      </c>
      <c r="E25" s="42"/>
      <c r="F25" s="41" t="s">
        <v>26</v>
      </c>
      <c r="G25" s="42"/>
      <c r="H25" s="43">
        <f t="shared" si="0"/>
        <v>401</v>
      </c>
      <c r="I25" s="44">
        <f t="shared" si="1"/>
        <v>401</v>
      </c>
      <c r="J25" s="45">
        <f t="shared" si="2"/>
        <v>1</v>
      </c>
      <c r="K25" s="46">
        <v>0.75</v>
      </c>
      <c r="L25" s="47">
        <v>2400</v>
      </c>
      <c r="M25" s="54">
        <v>182.2</v>
      </c>
      <c r="N25" s="49">
        <f t="shared" si="3"/>
        <v>480.000000000246</v>
      </c>
      <c r="O25" s="56"/>
      <c r="P25" s="51"/>
      <c r="Q25" s="52"/>
      <c r="R25" s="52"/>
      <c r="S25" s="52"/>
      <c r="T25" s="52"/>
      <c r="U25" s="53"/>
    </row>
    <row r="26" s="3" customFormat="1" ht="15" customHeight="1" spans="1:21">
      <c r="A26" s="40">
        <v>0.791666666666667</v>
      </c>
      <c r="B26" s="41" t="s">
        <v>11</v>
      </c>
      <c r="C26" s="42"/>
      <c r="D26" s="41">
        <v>278</v>
      </c>
      <c r="E26" s="42"/>
      <c r="F26" s="41">
        <v>263</v>
      </c>
      <c r="G26" s="42"/>
      <c r="H26" s="43">
        <f t="shared" si="0"/>
        <v>541</v>
      </c>
      <c r="I26" s="44">
        <f t="shared" si="1"/>
        <v>270.5</v>
      </c>
      <c r="J26" s="45">
        <f t="shared" si="2"/>
        <v>2</v>
      </c>
      <c r="K26" s="46">
        <v>0.791666666666666</v>
      </c>
      <c r="L26" s="47">
        <v>2100</v>
      </c>
      <c r="M26" s="54">
        <v>182.24</v>
      </c>
      <c r="N26" s="49">
        <f t="shared" si="3"/>
        <v>720.000000000027</v>
      </c>
      <c r="O26" s="56"/>
      <c r="P26" s="51"/>
      <c r="Q26" s="52"/>
      <c r="R26" s="52"/>
      <c r="S26" s="52"/>
      <c r="T26" s="52"/>
      <c r="U26" s="53"/>
    </row>
    <row r="27" s="3" customFormat="1" ht="15" customHeight="1" spans="1:21">
      <c r="A27" s="40">
        <v>0.833333333333334</v>
      </c>
      <c r="B27" s="41" t="s">
        <v>11</v>
      </c>
      <c r="C27" s="42"/>
      <c r="D27" s="41">
        <v>305</v>
      </c>
      <c r="E27" s="42"/>
      <c r="F27" s="41">
        <v>305</v>
      </c>
      <c r="G27" s="42"/>
      <c r="H27" s="43">
        <f t="shared" si="0"/>
        <v>610</v>
      </c>
      <c r="I27" s="44">
        <f t="shared" si="1"/>
        <v>305</v>
      </c>
      <c r="J27" s="45">
        <f t="shared" si="2"/>
        <v>2</v>
      </c>
      <c r="K27" s="46">
        <v>0.833333333333333</v>
      </c>
      <c r="L27" s="47">
        <v>2100</v>
      </c>
      <c r="M27" s="54">
        <v>182.3</v>
      </c>
      <c r="N27" s="49">
        <f t="shared" si="3"/>
        <v>720.000000000027</v>
      </c>
      <c r="O27" s="56"/>
      <c r="P27" s="51"/>
      <c r="Q27" s="52"/>
      <c r="R27" s="52"/>
      <c r="S27" s="52"/>
      <c r="T27" s="52"/>
      <c r="U27" s="53"/>
    </row>
    <row r="28" s="4" customFormat="1" ht="15" customHeight="1" spans="1:21">
      <c r="A28" s="40">
        <v>0.875</v>
      </c>
      <c r="B28" s="41" t="s">
        <v>11</v>
      </c>
      <c r="C28" s="42"/>
      <c r="D28" s="41">
        <v>272</v>
      </c>
      <c r="E28" s="42"/>
      <c r="F28" s="41">
        <v>283</v>
      </c>
      <c r="G28" s="42"/>
      <c r="H28" s="43">
        <f t="shared" si="0"/>
        <v>555</v>
      </c>
      <c r="I28" s="44">
        <f t="shared" si="1"/>
        <v>277.5</v>
      </c>
      <c r="J28" s="45">
        <f t="shared" si="2"/>
        <v>2</v>
      </c>
      <c r="K28" s="46">
        <v>0.875</v>
      </c>
      <c r="L28" s="47">
        <v>1800</v>
      </c>
      <c r="M28" s="54">
        <v>182.36</v>
      </c>
      <c r="N28" s="49">
        <f t="shared" si="3"/>
        <v>599.999999999795</v>
      </c>
      <c r="O28" s="56"/>
      <c r="P28" s="51"/>
      <c r="Q28" s="52"/>
      <c r="R28" s="52"/>
      <c r="S28" s="52"/>
      <c r="T28" s="52"/>
      <c r="U28" s="53"/>
    </row>
    <row r="29" s="3" customFormat="1" ht="15" customHeight="1" spans="1:21">
      <c r="A29" s="40">
        <v>0.916666666666667</v>
      </c>
      <c r="B29" s="41" t="s">
        <v>11</v>
      </c>
      <c r="C29" s="42"/>
      <c r="D29" s="41">
        <v>265</v>
      </c>
      <c r="E29" s="42"/>
      <c r="F29" s="41">
        <v>256</v>
      </c>
      <c r="G29" s="42"/>
      <c r="H29" s="43">
        <f t="shared" si="0"/>
        <v>521</v>
      </c>
      <c r="I29" s="44">
        <f t="shared" si="1"/>
        <v>260.5</v>
      </c>
      <c r="J29" s="45">
        <f t="shared" si="2"/>
        <v>2</v>
      </c>
      <c r="K29" s="46">
        <v>0.916666666666666</v>
      </c>
      <c r="L29" s="47">
        <v>1800</v>
      </c>
      <c r="M29" s="54">
        <v>182.41</v>
      </c>
      <c r="N29" s="49">
        <f t="shared" si="3"/>
        <v>479.999999999905</v>
      </c>
      <c r="O29" s="56"/>
      <c r="P29" s="51"/>
      <c r="Q29" s="52"/>
      <c r="R29" s="52"/>
      <c r="S29" s="52"/>
      <c r="T29" s="52"/>
      <c r="U29" s="53"/>
    </row>
    <row r="30" s="3" customFormat="1" ht="15" customHeight="1" spans="1:21">
      <c r="A30" s="40">
        <v>0.958333333333334</v>
      </c>
      <c r="B30" s="41" t="s">
        <v>11</v>
      </c>
      <c r="C30" s="42"/>
      <c r="D30" s="41">
        <v>269</v>
      </c>
      <c r="E30" s="42"/>
      <c r="F30" s="41">
        <v>230</v>
      </c>
      <c r="G30" s="42"/>
      <c r="H30" s="43">
        <f t="shared" si="0"/>
        <v>499</v>
      </c>
      <c r="I30" s="44">
        <f t="shared" si="1"/>
        <v>249.5</v>
      </c>
      <c r="J30" s="45">
        <f t="shared" si="2"/>
        <v>2</v>
      </c>
      <c r="K30" s="46">
        <v>0.958333333333333</v>
      </c>
      <c r="L30" s="47">
        <v>1800</v>
      </c>
      <c r="M30" s="54">
        <v>182.45</v>
      </c>
      <c r="N30" s="49">
        <f t="shared" si="3"/>
        <v>600.000000000136</v>
      </c>
      <c r="O30" s="56"/>
      <c r="P30" s="51"/>
      <c r="Q30" s="52"/>
      <c r="R30" s="52"/>
      <c r="S30" s="52"/>
      <c r="T30" s="52"/>
      <c r="U30" s="53"/>
    </row>
    <row r="31" s="2" customFormat="1" ht="15" customHeight="1" spans="1:21">
      <c r="A31" s="57">
        <v>1</v>
      </c>
      <c r="B31" s="41" t="s">
        <v>11</v>
      </c>
      <c r="C31" s="42"/>
      <c r="D31" s="41">
        <v>225</v>
      </c>
      <c r="E31" s="42"/>
      <c r="F31" s="41">
        <v>241</v>
      </c>
      <c r="G31" s="42"/>
      <c r="H31" s="43">
        <f t="shared" si="0"/>
        <v>466</v>
      </c>
      <c r="I31" s="58">
        <f t="shared" si="1"/>
        <v>233</v>
      </c>
      <c r="J31" s="59">
        <f t="shared" si="2"/>
        <v>2</v>
      </c>
      <c r="K31" s="60">
        <v>1</v>
      </c>
      <c r="L31" s="47">
        <v>4500</v>
      </c>
      <c r="M31" s="61">
        <v>182.5</v>
      </c>
      <c r="N31" s="49">
        <f>H31</f>
        <v>466</v>
      </c>
      <c r="O31" s="56"/>
      <c r="P31" s="51"/>
      <c r="Q31" s="52"/>
      <c r="R31" s="52"/>
      <c r="S31" s="52"/>
      <c r="T31" s="52"/>
      <c r="U31" s="53"/>
    </row>
    <row r="32" s="3" customFormat="1" ht="23.25" customHeight="1" spans="1:21">
      <c r="A32" s="62" t="s">
        <v>12</v>
      </c>
      <c r="B32" s="63">
        <f>SUM(B8:B31)/1000</f>
        <v>0</v>
      </c>
      <c r="C32" s="64"/>
      <c r="D32" s="63">
        <f>SUM(D8:D31)/1000</f>
        <v>5.958</v>
      </c>
      <c r="E32" s="64"/>
      <c r="F32" s="63">
        <f>SUM(F8:F31)/1000</f>
        <v>4.733</v>
      </c>
      <c r="G32" s="64"/>
      <c r="H32" s="65">
        <f>SUM(H8:H31)</f>
        <v>10691</v>
      </c>
      <c r="I32" s="66" t="s">
        <v>13</v>
      </c>
      <c r="J32" s="67"/>
      <c r="K32" s="68"/>
      <c r="L32" s="69"/>
      <c r="M32" s="70">
        <f>SUM(M31-M8+N8)</f>
        <v>480.969999999905</v>
      </c>
      <c r="N32" s="71">
        <f>SUM(N8:N31)</f>
        <v>13426.0000000002</v>
      </c>
      <c r="O32" s="72">
        <f>SUM(O8:O31)</f>
        <v>0</v>
      </c>
      <c r="P32" s="73"/>
      <c r="Q32" s="74"/>
      <c r="R32" s="74"/>
      <c r="S32" s="74"/>
      <c r="T32" s="74"/>
      <c r="U32" s="75"/>
    </row>
    <row r="33" ht="15" customHeight="1" spans="1:29">
      <c r="A33" s="76" t="s">
        <v>14</v>
      </c>
      <c r="B33" s="77" t="str">
        <f>IFERROR((AVERAGE(B8:B31)),"0")</f>
        <v>0</v>
      </c>
      <c r="C33" s="78"/>
      <c r="D33" s="79">
        <f>IFERROR((AVERAGE(D8:D31)),"0")</f>
        <v>313.578947368421</v>
      </c>
      <c r="E33" s="78"/>
      <c r="F33" s="79">
        <f>IFERROR((AVERAGE(F8:F31)),"0")</f>
        <v>295.8125</v>
      </c>
      <c r="G33" s="80"/>
      <c r="H33" s="81">
        <f>H32*1000</f>
        <v>10691000</v>
      </c>
      <c r="I33" s="82" t="s">
        <v>15</v>
      </c>
      <c r="J33" s="83"/>
      <c r="K33" s="84"/>
      <c r="L33" s="85"/>
      <c r="M33" s="86"/>
      <c r="N33" s="85"/>
      <c r="O33" s="87"/>
      <c r="P33" s="87"/>
      <c r="Q33" s="88"/>
      <c r="R33" s="88"/>
      <c r="S33" s="89"/>
      <c r="T33" s="89"/>
      <c r="U33" s="89"/>
      <c r="V33" s="89"/>
    </row>
    <row r="34" ht="18.75" customHeight="1" spans="1:29">
      <c r="A34" s="90"/>
      <c r="B34" s="91"/>
      <c r="C34" s="92"/>
      <c r="D34" s="93"/>
      <c r="E34" s="92"/>
      <c r="F34" s="93"/>
      <c r="G34" s="94"/>
      <c r="H34" s="95"/>
      <c r="I34" s="96"/>
      <c r="J34" s="97"/>
      <c r="K34" s="98"/>
      <c r="L34" s="85"/>
      <c r="M34" s="86"/>
      <c r="N34" s="99"/>
      <c r="O34" s="99"/>
      <c r="P34" s="99"/>
      <c r="Q34" s="99"/>
      <c r="R34" s="88"/>
      <c r="S34" s="89"/>
      <c r="T34" s="89"/>
      <c r="U34" s="89"/>
      <c r="V34" s="89"/>
    </row>
    <row r="35" ht="22.5" customHeight="1" spans="1:29">
      <c r="A35" s="100" t="s">
        <v>16</v>
      </c>
      <c r="B35" s="101">
        <f>COUNT(B8:B31)</f>
        <v>0</v>
      </c>
      <c r="C35" s="102"/>
      <c r="D35" s="103">
        <f>COUNT(D8:D31)</f>
        <v>19</v>
      </c>
      <c r="E35" s="102"/>
      <c r="F35" s="103">
        <f>COUNT(F8:F31)</f>
        <v>16</v>
      </c>
      <c r="G35" s="104"/>
      <c r="H35" s="105"/>
      <c r="I35" s="106"/>
      <c r="J35" s="107"/>
      <c r="K35" s="107"/>
      <c r="L35" s="107"/>
      <c r="M35" s="107"/>
      <c r="N35" s="99"/>
      <c r="O35" s="99"/>
      <c r="P35" s="99"/>
      <c r="Q35" s="99"/>
      <c r="R35" s="108"/>
      <c r="S35" s="89"/>
      <c r="T35" s="89"/>
      <c r="U35" s="89"/>
      <c r="V35" s="89"/>
    </row>
    <row r="36" ht="9" customHeight="1" spans="1:29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10"/>
      <c r="N36" s="106"/>
      <c r="O36" s="107"/>
      <c r="P36" s="107"/>
      <c r="Q36" s="107"/>
      <c r="R36" s="107"/>
      <c r="S36" s="107"/>
      <c r="T36" s="107"/>
      <c r="U36" s="111"/>
      <c r="V36" s="112"/>
      <c r="W36" s="108"/>
      <c r="X36" s="108"/>
      <c r="Y36" s="108"/>
      <c r="Z36" s="89"/>
      <c r="AA36" s="89"/>
      <c r="AB36" s="89"/>
      <c r="AC36" s="89"/>
    </row>
    <row r="37" ht="24" customHeight="1" spans="1:29">
      <c r="D37" s="113"/>
      <c r="E37" s="113"/>
      <c r="F37" s="113"/>
      <c r="G37" s="113"/>
      <c r="H37" s="113"/>
      <c r="I37" s="113"/>
      <c r="J37" s="113"/>
      <c r="K37" s="114"/>
      <c r="L37" s="114"/>
      <c r="N37" s="115" t="s">
        <v>17</v>
      </c>
      <c r="O37" s="116"/>
      <c r="P37" s="116"/>
      <c r="Q37" s="117"/>
      <c r="R37" s="118">
        <f>SUM(B35:F35)</f>
        <v>35</v>
      </c>
      <c r="S37" s="69"/>
      <c r="T37" s="69"/>
      <c r="U37" s="69"/>
      <c r="V37" s="69"/>
      <c r="X37" s="119"/>
      <c r="Y37" s="119"/>
      <c r="Z37" s="119"/>
      <c r="AA37" s="119"/>
      <c r="AB37" s="119"/>
      <c r="AC37" s="114"/>
    </row>
    <row r="38" ht="15" spans="1:29">
      <c r="D38" s="113"/>
      <c r="E38" s="113"/>
      <c r="F38" s="113"/>
      <c r="G38" s="113"/>
      <c r="H38" s="113"/>
      <c r="I38" s="113"/>
      <c r="J38" s="113"/>
      <c r="K38" s="114"/>
      <c r="L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</row>
    <row r="39" ht="24.75" customHeight="1" spans="1:29">
      <c r="A39" s="120" t="s">
        <v>18</v>
      </c>
      <c r="B39" s="121"/>
      <c r="C39" s="122">
        <f>MAX(H8:H31)</f>
        <v>610</v>
      </c>
      <c r="D39" s="123"/>
      <c r="E39" s="124">
        <f>VLOOKUP(C39,H8:L31,4,FALSE)</f>
        <v>0.833333333333333</v>
      </c>
      <c r="F39" s="125"/>
      <c r="G39" s="125"/>
      <c r="H39" s="126" t="s">
        <v>19</v>
      </c>
      <c r="I39" s="127"/>
      <c r="J39" s="128"/>
      <c r="K39" s="129">
        <f>MAX(J8:J31)</f>
        <v>2</v>
      </c>
      <c r="L39" s="130"/>
      <c r="N39" s="131" t="s">
        <v>20</v>
      </c>
      <c r="O39" s="132"/>
      <c r="P39" s="132"/>
      <c r="Q39" s="133"/>
      <c r="R39" s="134">
        <f>AVERAGE(H8:H31)</f>
        <v>445.458333333333</v>
      </c>
      <c r="S39" s="135"/>
      <c r="T39" s="135"/>
    </row>
    <row r="40" ht="15" spans="1:29">
      <c r="C40" s="136"/>
      <c r="D40" s="137"/>
      <c r="E40" s="138"/>
      <c r="F40" s="138"/>
      <c r="G40" s="138"/>
      <c r="H40" s="138"/>
      <c r="I40" s="139"/>
      <c r="J40" s="106"/>
      <c r="K40" s="110"/>
      <c r="L40" s="110"/>
      <c r="N40" s="140"/>
      <c r="O40" s="140"/>
      <c r="P40" s="140"/>
      <c r="Q40" s="140"/>
      <c r="R40" s="140"/>
      <c r="X40" s="5"/>
      <c r="Y40" s="5"/>
      <c r="Z40" s="5"/>
      <c r="AA40" s="5"/>
      <c r="AB40" s="5"/>
      <c r="AC40" s="141"/>
    </row>
    <row r="41" ht="24.75" customHeight="1" spans="1:29">
      <c r="A41" s="120" t="s">
        <v>21</v>
      </c>
      <c r="B41" s="121"/>
      <c r="C41" s="122">
        <f>MIN(H8:H31)</f>
        <v>376</v>
      </c>
      <c r="D41" s="123"/>
      <c r="E41" s="124">
        <f>VLOOKUP(C41,H8:L31,4,FALSE)</f>
        <v>0.666666666666666</v>
      </c>
      <c r="F41" s="142"/>
      <c r="G41" s="125"/>
      <c r="H41" s="126" t="s">
        <v>22</v>
      </c>
      <c r="I41" s="127"/>
      <c r="J41" s="128"/>
      <c r="K41" s="129">
        <f>MIN(J8:J31)</f>
        <v>1</v>
      </c>
      <c r="L41" s="130"/>
      <c r="N41" s="126" t="s">
        <v>23</v>
      </c>
      <c r="O41" s="127"/>
      <c r="P41" s="127"/>
      <c r="Q41" s="128"/>
      <c r="R41" s="143">
        <f>AVERAGE(I8:I31)</f>
        <v>331.145833333333</v>
      </c>
      <c r="S41" s="144"/>
      <c r="T41" s="144"/>
      <c r="U41" s="144"/>
      <c r="V41" s="144"/>
      <c r="X41" s="145"/>
    </row>
    <row r="42" ht="15" spans="1:29">
      <c r="D42" s="138"/>
      <c r="E42" s="138"/>
      <c r="F42" s="138"/>
      <c r="G42" s="138"/>
      <c r="H42" s="138"/>
      <c r="I42" s="146"/>
      <c r="J42" s="138"/>
      <c r="K42" s="147"/>
      <c r="L42" s="147"/>
      <c r="V42" s="148"/>
      <c r="W42" s="148"/>
      <c r="X42" s="149"/>
      <c r="Y42" s="149"/>
      <c r="Z42" s="150"/>
      <c r="AA42" s="150"/>
      <c r="AB42" s="150"/>
      <c r="AC42" s="150"/>
    </row>
    <row r="43" ht="24.75" customHeight="1" spans="1:29">
      <c r="C43" s="136"/>
      <c r="H43" s="151"/>
      <c r="I43" s="151"/>
      <c r="J43" s="151"/>
      <c r="K43" s="145"/>
      <c r="L43" s="139"/>
      <c r="N43" s="152" t="s">
        <v>24</v>
      </c>
      <c r="O43" s="153"/>
      <c r="P43" s="153"/>
      <c r="Q43" s="154"/>
      <c r="R43" s="155" t="e">
        <f>AVERAGE(T8:T31)</f>
        <v>#DIV/0!</v>
      </c>
      <c r="X43" s="156"/>
      <c r="Z43" s="157"/>
      <c r="AA43" s="157"/>
      <c r="AB43" s="157"/>
      <c r="AC43" s="157"/>
    </row>
    <row r="44" ht="19.5" spans="1:29">
      <c r="I44" s="158"/>
      <c r="K44" s="159"/>
      <c r="L44" s="159"/>
      <c r="Z44" s="160"/>
      <c r="AA44" s="160"/>
      <c r="AB44" s="160"/>
      <c r="AC44" s="160"/>
    </row>
    <row r="45" ht="24.75" customHeight="1" spans="1:29">
      <c r="D45" s="158"/>
      <c r="E45" s="158"/>
      <c r="F45" s="158"/>
      <c r="G45" s="158"/>
      <c r="H45" s="158"/>
      <c r="N45" s="126" t="s">
        <v>25</v>
      </c>
      <c r="O45" s="127"/>
      <c r="P45" s="127"/>
      <c r="Q45" s="128"/>
      <c r="R45" s="161">
        <f>SUM(M32-H32)/24</f>
        <v>-425.417916666671</v>
      </c>
      <c r="X45" s="162"/>
      <c r="Z45" s="163"/>
      <c r="AA45" s="163"/>
      <c r="AB45" s="163"/>
      <c r="AC45" s="163"/>
    </row>
    <row r="46" spans="1:29">
      <c r="Z46" s="164"/>
      <c r="AA46" s="164"/>
      <c r="AB46" s="164"/>
      <c r="AC46" s="164"/>
    </row>
    <row r="47" spans="1:29">
      <c r="Z47" s="139"/>
      <c r="AA47" s="139"/>
      <c r="AB47" s="139"/>
      <c r="AC47" s="139"/>
    </row>
    <row r="48" spans="1:29">
      <c r="Z48" s="139"/>
      <c r="AA48" s="139"/>
      <c r="AB48" s="139"/>
      <c r="AC48" s="139"/>
    </row>
    <row r="49" spans="11:29">
      <c r="Z49" s="157"/>
      <c r="AA49" s="157"/>
      <c r="AB49" s="157"/>
      <c r="AC49" s="157"/>
    </row>
    <row r="50" spans="11:29">
      <c r="Z50" s="157"/>
      <c r="AA50" s="157"/>
      <c r="AB50" s="157"/>
      <c r="AC50" s="157"/>
    </row>
    <row r="51" spans="11:29">
      <c r="K51" s="150"/>
      <c r="L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0"/>
      <c r="AC51" s="150"/>
    </row>
    <row r="52" spans="11:29">
      <c r="K52" s="150"/>
      <c r="L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  <c r="AB52" s="150"/>
      <c r="AC52" s="150"/>
    </row>
    <row r="53" spans="11:29">
      <c r="K53" s="150"/>
      <c r="L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50"/>
      <c r="AB53" s="150"/>
      <c r="AC53" s="150"/>
    </row>
    <row r="60" spans="11:29">
      <c r="O60" s="165"/>
      <c r="P60" s="165"/>
      <c r="Q60" s="165"/>
      <c r="R60" s="165"/>
      <c r="S60" s="165"/>
      <c r="T60" s="165"/>
    </row>
    <row r="61" spans="11:29">
      <c r="O61" s="165"/>
      <c r="P61" s="165"/>
      <c r="Q61" s="165"/>
      <c r="R61" s="165"/>
      <c r="S61" s="165"/>
      <c r="T61" s="165"/>
    </row>
    <row r="62" spans="11:29">
      <c r="O62" s="165"/>
      <c r="P62" s="165"/>
      <c r="Q62" s="165"/>
      <c r="R62" s="165"/>
      <c r="S62" s="165"/>
      <c r="T62" s="165"/>
    </row>
    <row r="63" spans="11:29">
      <c r="O63" s="165"/>
      <c r="P63" s="165"/>
      <c r="Q63" s="165"/>
      <c r="R63" s="165"/>
      <c r="S63" s="165"/>
      <c r="T63" s="165"/>
    </row>
    <row r="64" spans="11:29">
      <c r="O64" s="165"/>
      <c r="P64" s="165"/>
      <c r="Q64" s="165"/>
      <c r="R64" s="165"/>
      <c r="S64" s="165"/>
      <c r="T64" s="165"/>
    </row>
    <row r="65" spans="15:20">
      <c r="O65" s="165"/>
      <c r="P65" s="165"/>
      <c r="Q65" s="165"/>
      <c r="R65" s="165"/>
      <c r="S65" s="165"/>
      <c r="T65" s="165"/>
    </row>
    <row r="66" spans="15:20">
      <c r="O66" s="165"/>
      <c r="P66" s="165"/>
      <c r="Q66" s="165"/>
      <c r="R66" s="165"/>
      <c r="S66" s="165"/>
      <c r="T66" s="165"/>
    </row>
    <row r="67" spans="15:20">
      <c r="O67" s="165"/>
      <c r="P67" s="165"/>
      <c r="Q67" s="165"/>
      <c r="R67" s="165"/>
      <c r="S67" s="165"/>
      <c r="T67" s="165"/>
    </row>
    <row r="68" spans="15:20">
      <c r="O68" s="165"/>
      <c r="P68" s="165"/>
      <c r="Q68" s="165"/>
      <c r="R68" s="165"/>
      <c r="S68" s="165"/>
      <c r="T68" s="165"/>
    </row>
  </sheetData>
  <mergeCells count="116">
    <mergeCell ref="H4:K4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B29:C29"/>
    <mergeCell ref="D29:E29"/>
    <mergeCell ref="F29:G2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N34:Q34"/>
    <mergeCell ref="B35:C35"/>
    <mergeCell ref="D35:E35"/>
    <mergeCell ref="F35:G35"/>
    <mergeCell ref="N35:Q35"/>
    <mergeCell ref="N37:Q37"/>
    <mergeCell ref="A39:B39"/>
    <mergeCell ref="C39:D39"/>
    <mergeCell ref="H39:J39"/>
    <mergeCell ref="N39:Q39"/>
    <mergeCell ref="A41:B41"/>
    <mergeCell ref="C41:D41"/>
    <mergeCell ref="H41:J41"/>
    <mergeCell ref="N41:Q41"/>
    <mergeCell ref="H43:J43"/>
    <mergeCell ref="N43:Q43"/>
    <mergeCell ref="N45:Q45"/>
    <mergeCell ref="A6:A7"/>
    <mergeCell ref="A33:A34"/>
    <mergeCell ref="H6:H7"/>
    <mergeCell ref="H33:H34"/>
    <mergeCell ref="I6:I7"/>
    <mergeCell ref="I33:I34"/>
    <mergeCell ref="J6:J7"/>
    <mergeCell ref="K6:K7"/>
    <mergeCell ref="L6:L7"/>
    <mergeCell ref="M6:M7"/>
    <mergeCell ref="N6:N7"/>
    <mergeCell ref="O6:O7"/>
    <mergeCell ref="T6:T7"/>
    <mergeCell ref="U6:U7"/>
    <mergeCell ref="B33:C34"/>
    <mergeCell ref="D33:E34"/>
    <mergeCell ref="F33:G34"/>
  </mergeCells>
  <conditionalFormatting sqref="O8">
    <cfRule type="cellIs" dxfId="0" priority="10" operator="equal">
      <formula>"N/A"</formula>
    </cfRule>
  </conditionalFormatting>
  <conditionalFormatting sqref="A30">
    <cfRule type="cellIs" dxfId="1" priority="11" operator="equal">
      <formula>"STB"</formula>
    </cfRule>
    <cfRule type="cellIs" dxfId="0" priority="12" operator="equal">
      <formula>"BD"</formula>
    </cfRule>
  </conditionalFormatting>
  <conditionalFormatting sqref="B8:B31">
    <cfRule type="cellIs" dxfId="1" priority="1" operator="equal">
      <formula>"STB"</formula>
    </cfRule>
    <cfRule type="cellIs" dxfId="0" priority="2" operator="equal">
      <formula>"BD"</formula>
    </cfRule>
  </conditionalFormatting>
  <conditionalFormatting sqref="D8:D31">
    <cfRule type="cellIs" dxfId="1" priority="8" operator="equal">
      <formula>"STB"</formula>
    </cfRule>
    <cfRule type="cellIs" dxfId="0" priority="9" operator="equal">
      <formula>"BD"</formula>
    </cfRule>
  </conditionalFormatting>
  <conditionalFormatting sqref="F8:F31">
    <cfRule type="cellIs" dxfId="1" priority="3" operator="equal">
      <formula>"STB"</formula>
    </cfRule>
    <cfRule type="cellIs" dxfId="0" priority="4" operator="equal">
      <formula>"BD"</formula>
    </cfRule>
  </conditionalFormatting>
  <conditionalFormatting sqref="H8:H31">
    <cfRule type="top10" dxfId="2" priority="5" bottom="1" rank="1"/>
    <cfRule type="top10" dxfId="3" priority="6" rank="1"/>
    <cfRule type="cellIs" dxfId="4" priority="7" stopIfTrue="1" operator="equal">
      <formula>28000</formula>
    </cfRule>
  </conditionalFormatting>
  <conditionalFormatting sqref="H32:H33">
    <cfRule type="top10" dxfId="2" priority="14" bottom="1" rank="1"/>
    <cfRule type="top10" dxfId="3" priority="15" rank="1"/>
    <cfRule type="cellIs" dxfId="4" priority="17" stopIfTrue="1" operator="equal">
      <formula>28000</formula>
    </cfRule>
  </conditionalFormatting>
  <conditionalFormatting sqref="Y8:Y31">
    <cfRule type="containsText" dxfId="5" priority="13" operator="between" text="-">
      <formula>NOT(ISERROR(SEARCH("-",Y8)))</formula>
    </cfRule>
  </conditionalFormatting>
  <conditionalFormatting sqref="N8 N9:O31">
    <cfRule type="cellIs" dxfId="0" priority="16" operator="equal">
      <formula>"BD"</formula>
    </cfRule>
  </conditionalFormatting>
  <pageMargins left="0.7" right="0.7" top="0.75" bottom="0.75" header="0.3" footer="0.3"/>
  <pageSetup paperSize="1" orientation="portrait" verticalDpi="360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C68"/>
  <sheetViews>
    <sheetView zoomScale="80" zoomScaleNormal="80" workbookViewId="0">
      <pane ySplit="7" topLeftCell="A16" activePane="bottomLeft" state="frozen"/>
      <selection/>
      <selection pane="bottomLeft" activeCell="A3" sqref="$A3:$XFD3"/>
    </sheetView>
  </sheetViews>
  <sheetFormatPr defaultColWidth="8.81666666666667" defaultRowHeight="14.25"/>
  <cols>
    <col min="1" max="1" width="16.725" customWidth="1"/>
    <col min="2" max="2" width="8.725" customWidth="1"/>
    <col min="3" max="7" width="5.725" customWidth="1"/>
    <col min="8" max="8" width="14.2666666666667" customWidth="1"/>
    <col min="9" max="9" width="15.1833333333333" customWidth="1"/>
    <col min="10" max="10" width="15.5416666666667" customWidth="1"/>
    <col min="11" max="11" width="7" customWidth="1"/>
    <col min="12" max="12" width="8.54166666666667" customWidth="1"/>
    <col min="13" max="13" width="11.725" style="5" customWidth="1"/>
    <col min="14" max="14" width="17.1833333333333" customWidth="1"/>
    <col min="15" max="15" width="15.45" customWidth="1"/>
    <col min="16" max="16" width="7.45" customWidth="1"/>
    <col min="17" max="17" width="9.54166666666667" customWidth="1"/>
    <col min="18" max="18" width="10" customWidth="1"/>
    <col min="19" max="20" width="9.81666666666667" customWidth="1"/>
    <col min="21" max="21" width="6.725" customWidth="1"/>
    <col min="22" max="22" width="13.8166666666667" customWidth="1"/>
    <col min="23" max="23" width="11.2666666666667" customWidth="1"/>
    <col min="24" max="24" width="9.26666666666667" customWidth="1"/>
    <col min="25" max="25" width="3.725" customWidth="1"/>
    <col min="26" max="29" width="7.725" customWidth="1"/>
    <col min="30" max="30" width="6.725" customWidth="1"/>
  </cols>
  <sheetData>
    <row r="1" ht="3" customHeight="1"/>
    <row r="2" ht="6" customHeight="1" spans="1:2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="1" customFormat="1" ht="6.75" customHeight="1" spans="1:29">
      <c r="K3" s="7"/>
      <c r="L3" s="8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17.25" customHeight="1" spans="1:29">
      <c r="A4" s="1"/>
      <c r="B4" s="10"/>
      <c r="C4" s="10"/>
      <c r="D4" s="10"/>
      <c r="E4" s="11"/>
      <c r="F4" s="11"/>
      <c r="G4" s="11"/>
      <c r="H4" s="12">
        <f>'[28]Taniwel daily'!C4</f>
        <v>45319</v>
      </c>
      <c r="I4" s="13"/>
      <c r="J4" s="13"/>
      <c r="K4" s="14"/>
      <c r="L4" s="15"/>
      <c r="M4" s="16"/>
      <c r="N4" s="10"/>
      <c r="O4" s="10"/>
      <c r="P4" s="10"/>
      <c r="Q4" s="10"/>
      <c r="R4" s="10"/>
      <c r="S4" s="10"/>
      <c r="T4" s="10"/>
      <c r="U4" s="10"/>
      <c r="V4" s="7"/>
      <c r="W4" s="7"/>
      <c r="X4" s="7"/>
      <c r="Y4" s="7"/>
      <c r="Z4" s="7"/>
      <c r="AA4" s="7"/>
      <c r="AB4" s="7"/>
      <c r="AC4" s="7"/>
    </row>
    <row r="5" ht="7.5" customHeight="1" spans="1:29">
      <c r="A5" s="1"/>
      <c r="B5" s="17"/>
      <c r="C5" s="1"/>
      <c r="D5" s="1"/>
      <c r="E5" s="1"/>
      <c r="F5" s="1"/>
      <c r="G5" s="1"/>
      <c r="H5" s="1"/>
      <c r="I5" s="1"/>
      <c r="J5" s="1"/>
      <c r="K5" s="18"/>
      <c r="L5" s="7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ht="17.25" customHeight="1" spans="1:29">
      <c r="A6" s="19" t="s">
        <v>0</v>
      </c>
      <c r="B6" s="20" t="s">
        <v>1</v>
      </c>
      <c r="C6" s="21"/>
      <c r="D6" s="20" t="s">
        <v>2</v>
      </c>
      <c r="E6" s="21"/>
      <c r="F6" s="20" t="s">
        <v>3</v>
      </c>
      <c r="G6" s="21"/>
      <c r="H6" s="22" t="s">
        <v>4</v>
      </c>
      <c r="I6" s="22" t="s">
        <v>5</v>
      </c>
      <c r="J6" s="23" t="s">
        <v>6</v>
      </c>
      <c r="K6" s="19" t="s">
        <v>0</v>
      </c>
      <c r="L6" s="24" t="s">
        <v>7</v>
      </c>
      <c r="M6" s="25" t="s">
        <v>8</v>
      </c>
      <c r="N6" s="26" t="s">
        <v>9</v>
      </c>
      <c r="O6" s="25" t="s">
        <v>10</v>
      </c>
      <c r="P6" s="27"/>
      <c r="Q6" s="28"/>
      <c r="R6" s="28"/>
      <c r="S6" s="28"/>
      <c r="T6" s="28"/>
      <c r="U6" s="29"/>
    </row>
    <row r="7" ht="15.75" customHeight="1" spans="1:29">
      <c r="A7" s="30"/>
      <c r="B7" s="31">
        <v>1</v>
      </c>
      <c r="C7" s="32"/>
      <c r="D7" s="31">
        <v>2</v>
      </c>
      <c r="E7" s="32"/>
      <c r="F7" s="31">
        <v>3</v>
      </c>
      <c r="G7" s="32"/>
      <c r="H7" s="33"/>
      <c r="I7" s="33"/>
      <c r="J7" s="34"/>
      <c r="K7" s="30"/>
      <c r="L7" s="35"/>
      <c r="M7" s="36"/>
      <c r="N7" s="37"/>
      <c r="O7" s="38"/>
      <c r="P7" s="27"/>
      <c r="Q7" s="28"/>
      <c r="R7" s="28"/>
      <c r="S7" s="28"/>
      <c r="T7" s="28"/>
      <c r="U7" s="29"/>
      <c r="X7" s="39"/>
    </row>
    <row r="8" s="2" customFormat="1" ht="15" customHeight="1" spans="1:29">
      <c r="A8" s="40">
        <v>0.0416666666666666</v>
      </c>
      <c r="B8" s="41" t="s">
        <v>11</v>
      </c>
      <c r="C8" s="42"/>
      <c r="D8" s="41">
        <v>407</v>
      </c>
      <c r="E8" s="42"/>
      <c r="F8" s="41" t="s">
        <v>26</v>
      </c>
      <c r="G8" s="42"/>
      <c r="H8" s="43">
        <f t="shared" ref="H8:H31" si="0">IF(SUM(B8:G8)/1000=0,"0",SUM(B8:G8))</f>
        <v>407</v>
      </c>
      <c r="I8" s="44">
        <f t="shared" ref="I8:I31" si="1">IFERROR(AVERAGE(B8:G8),"0")</f>
        <v>407</v>
      </c>
      <c r="J8" s="45">
        <f t="shared" ref="J8:J31" si="2">COUNT(B8:G8)</f>
        <v>1</v>
      </c>
      <c r="K8" s="46">
        <v>0.0416666666666667</v>
      </c>
      <c r="L8" s="47">
        <v>4500</v>
      </c>
      <c r="M8" s="48">
        <v>182.54</v>
      </c>
      <c r="N8" s="49">
        <f>(M9-M8)*12000</f>
        <v>480.000000000246</v>
      </c>
      <c r="O8" s="50"/>
      <c r="P8" s="51"/>
      <c r="Q8" s="52"/>
      <c r="R8" s="52"/>
      <c r="S8" s="52"/>
      <c r="T8" s="52"/>
      <c r="U8" s="53"/>
    </row>
    <row r="9" s="3" customFormat="1" ht="15" customHeight="1" spans="1:29">
      <c r="A9" s="40">
        <v>0.0833333333333333</v>
      </c>
      <c r="B9" s="41" t="s">
        <v>11</v>
      </c>
      <c r="C9" s="42"/>
      <c r="D9" s="41">
        <v>399</v>
      </c>
      <c r="E9" s="42"/>
      <c r="F9" s="41" t="s">
        <v>26</v>
      </c>
      <c r="G9" s="42"/>
      <c r="H9" s="43">
        <f t="shared" si="0"/>
        <v>399</v>
      </c>
      <c r="I9" s="44">
        <f t="shared" si="1"/>
        <v>399</v>
      </c>
      <c r="J9" s="45">
        <f t="shared" si="2"/>
        <v>1</v>
      </c>
      <c r="K9" s="46">
        <v>0.0833333333333333</v>
      </c>
      <c r="L9" s="47">
        <v>4200</v>
      </c>
      <c r="M9" s="54">
        <v>182.58</v>
      </c>
      <c r="N9" s="49">
        <f t="shared" ref="N9:N30" si="3">(M10-M9)*12000</f>
        <v>360.000000000014</v>
      </c>
      <c r="O9" s="55"/>
      <c r="P9" s="51"/>
      <c r="Q9" s="52"/>
      <c r="R9" s="52"/>
      <c r="S9" s="52"/>
      <c r="T9" s="52"/>
      <c r="U9" s="53"/>
    </row>
    <row r="10" s="3" customFormat="1" ht="15" customHeight="1" spans="1:29">
      <c r="A10" s="40">
        <v>0.125</v>
      </c>
      <c r="B10" s="41" t="s">
        <v>11</v>
      </c>
      <c r="C10" s="42"/>
      <c r="D10" s="41">
        <v>387</v>
      </c>
      <c r="E10" s="42"/>
      <c r="F10" s="41" t="s">
        <v>26</v>
      </c>
      <c r="G10" s="42"/>
      <c r="H10" s="43">
        <f t="shared" si="0"/>
        <v>387</v>
      </c>
      <c r="I10" s="44">
        <f t="shared" si="1"/>
        <v>387</v>
      </c>
      <c r="J10" s="45">
        <f t="shared" si="2"/>
        <v>1</v>
      </c>
      <c r="K10" s="46">
        <v>0.125</v>
      </c>
      <c r="L10" s="47">
        <v>4200</v>
      </c>
      <c r="M10" s="54">
        <v>182.61</v>
      </c>
      <c r="N10" s="49">
        <f t="shared" si="3"/>
        <v>479.999999999905</v>
      </c>
      <c r="O10" s="56"/>
      <c r="P10" s="51"/>
      <c r="Q10" s="52"/>
      <c r="R10" s="52"/>
      <c r="S10" s="52"/>
      <c r="T10" s="52"/>
      <c r="U10" s="53"/>
    </row>
    <row r="11" s="3" customFormat="1" ht="15" customHeight="1" spans="1:29">
      <c r="A11" s="40">
        <v>0.166666666666667</v>
      </c>
      <c r="B11" s="41" t="s">
        <v>11</v>
      </c>
      <c r="C11" s="42"/>
      <c r="D11" s="41">
        <v>382</v>
      </c>
      <c r="E11" s="42"/>
      <c r="F11" s="41" t="s">
        <v>26</v>
      </c>
      <c r="G11" s="42"/>
      <c r="H11" s="43">
        <f t="shared" si="0"/>
        <v>382</v>
      </c>
      <c r="I11" s="44">
        <f t="shared" si="1"/>
        <v>382</v>
      </c>
      <c r="J11" s="45">
        <f t="shared" si="2"/>
        <v>1</v>
      </c>
      <c r="K11" s="46">
        <v>0.166666666666667</v>
      </c>
      <c r="L11" s="47">
        <v>4000</v>
      </c>
      <c r="M11" s="54">
        <v>182.65</v>
      </c>
      <c r="N11" s="49">
        <f t="shared" si="3"/>
        <v>479.999999999905</v>
      </c>
      <c r="O11" s="56"/>
      <c r="P11" s="51"/>
      <c r="Q11" s="52"/>
      <c r="R11" s="52"/>
      <c r="S11" s="52"/>
      <c r="T11" s="52"/>
      <c r="U11" s="53"/>
    </row>
    <row r="12" s="3" customFormat="1" ht="15" customHeight="1" spans="1:29">
      <c r="A12" s="40">
        <v>0.208333333333333</v>
      </c>
      <c r="B12" s="41" t="s">
        <v>11</v>
      </c>
      <c r="C12" s="42"/>
      <c r="D12" s="41">
        <v>379</v>
      </c>
      <c r="E12" s="42"/>
      <c r="F12" s="41" t="s">
        <v>26</v>
      </c>
      <c r="G12" s="42"/>
      <c r="H12" s="43">
        <f t="shared" si="0"/>
        <v>379</v>
      </c>
      <c r="I12" s="44">
        <f t="shared" si="1"/>
        <v>379</v>
      </c>
      <c r="J12" s="45">
        <f t="shared" si="2"/>
        <v>1</v>
      </c>
      <c r="K12" s="46">
        <v>0.208333333333333</v>
      </c>
      <c r="L12" s="47">
        <v>3900</v>
      </c>
      <c r="M12" s="54">
        <v>182.69</v>
      </c>
      <c r="N12" s="49">
        <f t="shared" si="3"/>
        <v>479.999999999905</v>
      </c>
      <c r="O12" s="56"/>
      <c r="P12" s="51"/>
      <c r="Q12" s="52"/>
      <c r="R12" s="52"/>
      <c r="S12" s="52"/>
      <c r="T12" s="52"/>
      <c r="U12" s="53"/>
    </row>
    <row r="13" s="3" customFormat="1" ht="15" customHeight="1" spans="1:29">
      <c r="A13" s="40">
        <v>0.25</v>
      </c>
      <c r="B13" s="41" t="s">
        <v>11</v>
      </c>
      <c r="C13" s="42"/>
      <c r="D13" s="41">
        <v>401</v>
      </c>
      <c r="E13" s="42"/>
      <c r="F13" s="41" t="s">
        <v>26</v>
      </c>
      <c r="G13" s="42"/>
      <c r="H13" s="43">
        <f t="shared" si="0"/>
        <v>401</v>
      </c>
      <c r="I13" s="44">
        <f t="shared" si="1"/>
        <v>401</v>
      </c>
      <c r="J13" s="45">
        <f t="shared" si="2"/>
        <v>1</v>
      </c>
      <c r="K13" s="46">
        <v>0.25</v>
      </c>
      <c r="L13" s="47">
        <v>3600</v>
      </c>
      <c r="M13" s="54">
        <v>182.73</v>
      </c>
      <c r="N13" s="49">
        <f t="shared" si="3"/>
        <v>480.000000000246</v>
      </c>
      <c r="O13" s="56"/>
      <c r="P13" s="51"/>
      <c r="Q13" s="52"/>
      <c r="R13" s="52"/>
      <c r="S13" s="52"/>
      <c r="T13" s="52"/>
      <c r="U13" s="53"/>
    </row>
    <row r="14" s="3" customFormat="1" ht="15" customHeight="1" spans="1:29">
      <c r="A14" s="40">
        <v>0.291666666666667</v>
      </c>
      <c r="B14" s="41" t="s">
        <v>11</v>
      </c>
      <c r="C14" s="42"/>
      <c r="D14" s="41">
        <v>440</v>
      </c>
      <c r="E14" s="42"/>
      <c r="F14" s="41" t="s">
        <v>26</v>
      </c>
      <c r="G14" s="42"/>
      <c r="H14" s="43">
        <f t="shared" si="0"/>
        <v>440</v>
      </c>
      <c r="I14" s="44">
        <f t="shared" si="1"/>
        <v>440</v>
      </c>
      <c r="J14" s="45">
        <f t="shared" si="2"/>
        <v>1</v>
      </c>
      <c r="K14" s="46">
        <v>0.291666666666667</v>
      </c>
      <c r="L14" s="47">
        <v>3600</v>
      </c>
      <c r="M14" s="54">
        <v>182.77</v>
      </c>
      <c r="N14" s="49">
        <f t="shared" si="3"/>
        <v>479.999999999905</v>
      </c>
      <c r="O14" s="56"/>
      <c r="P14" s="51"/>
      <c r="Q14" s="52"/>
      <c r="R14" s="52"/>
      <c r="S14" s="52"/>
      <c r="T14" s="52"/>
      <c r="U14" s="53"/>
    </row>
    <row r="15" s="3" customFormat="1" ht="15" customHeight="1" spans="1:29">
      <c r="A15" s="40">
        <v>0.333333333333333</v>
      </c>
      <c r="B15" s="41" t="s">
        <v>11</v>
      </c>
      <c r="C15" s="42"/>
      <c r="D15" s="41">
        <v>261</v>
      </c>
      <c r="E15" s="42"/>
      <c r="F15" s="41">
        <v>234</v>
      </c>
      <c r="G15" s="42"/>
      <c r="H15" s="43">
        <f t="shared" si="0"/>
        <v>495</v>
      </c>
      <c r="I15" s="44">
        <f t="shared" si="1"/>
        <v>247.5</v>
      </c>
      <c r="J15" s="45">
        <f t="shared" si="2"/>
        <v>2</v>
      </c>
      <c r="K15" s="46">
        <v>0.333333333333333</v>
      </c>
      <c r="L15" s="47">
        <v>3600</v>
      </c>
      <c r="M15" s="54">
        <v>182.81</v>
      </c>
      <c r="N15" s="49">
        <f t="shared" si="3"/>
        <v>600.000000000136</v>
      </c>
      <c r="O15" s="56"/>
      <c r="P15" s="51"/>
      <c r="Q15" s="52"/>
      <c r="R15" s="52"/>
      <c r="S15" s="52"/>
      <c r="T15" s="52"/>
      <c r="U15" s="53"/>
    </row>
    <row r="16" s="3" customFormat="1" ht="15" customHeight="1" spans="1:29">
      <c r="A16" s="40">
        <v>0.375</v>
      </c>
      <c r="B16" s="41" t="s">
        <v>11</v>
      </c>
      <c r="C16" s="42"/>
      <c r="D16" s="41">
        <v>250</v>
      </c>
      <c r="E16" s="42"/>
      <c r="F16" s="41">
        <v>231</v>
      </c>
      <c r="G16" s="42"/>
      <c r="H16" s="43">
        <f t="shared" si="0"/>
        <v>481</v>
      </c>
      <c r="I16" s="44">
        <f t="shared" si="1"/>
        <v>240.5</v>
      </c>
      <c r="J16" s="45">
        <f t="shared" si="2"/>
        <v>2</v>
      </c>
      <c r="K16" s="46">
        <v>0.375</v>
      </c>
      <c r="L16" s="47">
        <v>3600</v>
      </c>
      <c r="M16" s="54">
        <v>182.86</v>
      </c>
      <c r="N16" s="49">
        <f t="shared" si="3"/>
        <v>479.999999999905</v>
      </c>
      <c r="O16" s="56"/>
      <c r="P16" s="51"/>
      <c r="Q16" s="52"/>
      <c r="R16" s="52"/>
      <c r="S16" s="52"/>
      <c r="T16" s="52"/>
      <c r="U16" s="53"/>
    </row>
    <row r="17" s="3" customFormat="1" ht="15" customHeight="1" spans="1:21">
      <c r="A17" s="40">
        <v>0.416666666666667</v>
      </c>
      <c r="B17" s="41" t="s">
        <v>11</v>
      </c>
      <c r="C17" s="42"/>
      <c r="D17" s="41">
        <v>443</v>
      </c>
      <c r="E17" s="42"/>
      <c r="F17" s="41" t="s">
        <v>26</v>
      </c>
      <c r="G17" s="42"/>
      <c r="H17" s="43">
        <f t="shared" si="0"/>
        <v>443</v>
      </c>
      <c r="I17" s="44">
        <f t="shared" si="1"/>
        <v>443</v>
      </c>
      <c r="J17" s="45">
        <f t="shared" si="2"/>
        <v>1</v>
      </c>
      <c r="K17" s="46">
        <v>0.416666666666666</v>
      </c>
      <c r="L17" s="47">
        <v>3400</v>
      </c>
      <c r="M17" s="54">
        <v>182.9</v>
      </c>
      <c r="N17" s="49">
        <f>(M22-M17)*12000</f>
        <v>2279.99999999997</v>
      </c>
      <c r="O17" s="56"/>
      <c r="P17" s="51"/>
      <c r="Q17" s="52"/>
      <c r="R17" s="52"/>
      <c r="S17" s="52"/>
      <c r="T17" s="52"/>
      <c r="U17" s="53"/>
    </row>
    <row r="18" s="3" customFormat="1" ht="15" customHeight="1" spans="1:21">
      <c r="A18" s="40">
        <v>0.458333333333333</v>
      </c>
      <c r="B18" s="41" t="s">
        <v>11</v>
      </c>
      <c r="C18" s="42"/>
      <c r="D18" s="41">
        <v>428</v>
      </c>
      <c r="E18" s="42"/>
      <c r="F18" s="41" t="s">
        <v>26</v>
      </c>
      <c r="G18" s="42"/>
      <c r="H18" s="43">
        <f t="shared" si="0"/>
        <v>428</v>
      </c>
      <c r="I18" s="44">
        <f t="shared" si="1"/>
        <v>428</v>
      </c>
      <c r="J18" s="45">
        <f t="shared" si="2"/>
        <v>1</v>
      </c>
      <c r="K18" s="46">
        <v>0.458333333333333</v>
      </c>
      <c r="L18" s="47">
        <v>3300</v>
      </c>
      <c r="M18" s="54">
        <v>182.94</v>
      </c>
      <c r="N18" s="49">
        <f t="shared" si="3"/>
        <v>479.999999999905</v>
      </c>
      <c r="O18" s="56"/>
      <c r="P18" s="51"/>
      <c r="Q18" s="52"/>
      <c r="R18" s="52"/>
      <c r="S18" s="52"/>
      <c r="T18" s="52"/>
      <c r="U18" s="53"/>
    </row>
    <row r="19" s="3" customFormat="1" ht="15" customHeight="1" spans="1:21">
      <c r="A19" s="40">
        <v>0.5</v>
      </c>
      <c r="B19" s="41" t="s">
        <v>11</v>
      </c>
      <c r="C19" s="42"/>
      <c r="D19" s="41">
        <v>412</v>
      </c>
      <c r="E19" s="42"/>
      <c r="F19" s="41" t="s">
        <v>26</v>
      </c>
      <c r="G19" s="42"/>
      <c r="H19" s="43">
        <f t="shared" si="0"/>
        <v>412</v>
      </c>
      <c r="I19" s="44">
        <f t="shared" si="1"/>
        <v>412</v>
      </c>
      <c r="J19" s="45">
        <f t="shared" si="2"/>
        <v>1</v>
      </c>
      <c r="K19" s="46">
        <v>0.5</v>
      </c>
      <c r="L19" s="47">
        <v>3300</v>
      </c>
      <c r="M19" s="54">
        <v>182.98</v>
      </c>
      <c r="N19" s="49">
        <f t="shared" si="3"/>
        <v>480.000000000246</v>
      </c>
      <c r="O19" s="56"/>
      <c r="P19" s="51"/>
      <c r="Q19" s="52"/>
      <c r="R19" s="52"/>
      <c r="S19" s="52"/>
      <c r="T19" s="52"/>
      <c r="U19" s="53"/>
    </row>
    <row r="20" s="3" customFormat="1" ht="15" customHeight="1" spans="1:21">
      <c r="A20" s="40">
        <v>0.541666666666667</v>
      </c>
      <c r="B20" s="41" t="s">
        <v>11</v>
      </c>
      <c r="C20" s="42"/>
      <c r="D20" s="41">
        <v>388</v>
      </c>
      <c r="E20" s="42"/>
      <c r="F20" s="41" t="s">
        <v>26</v>
      </c>
      <c r="G20" s="42"/>
      <c r="H20" s="43">
        <f t="shared" si="0"/>
        <v>388</v>
      </c>
      <c r="I20" s="44">
        <f t="shared" si="1"/>
        <v>388</v>
      </c>
      <c r="J20" s="45">
        <f t="shared" si="2"/>
        <v>1</v>
      </c>
      <c r="K20" s="46">
        <v>0.541666666666667</v>
      </c>
      <c r="L20" s="47">
        <v>3000</v>
      </c>
      <c r="M20" s="54">
        <v>183.02</v>
      </c>
      <c r="N20" s="49">
        <f t="shared" si="3"/>
        <v>360.000000000014</v>
      </c>
      <c r="O20" s="56"/>
      <c r="P20" s="51"/>
      <c r="Q20" s="52"/>
      <c r="R20" s="52"/>
      <c r="S20" s="52"/>
      <c r="T20" s="52"/>
      <c r="U20" s="53"/>
    </row>
    <row r="21" s="3" customFormat="1" ht="15" customHeight="1" spans="1:21">
      <c r="A21" s="40">
        <v>0.583333333333333</v>
      </c>
      <c r="B21" s="41" t="s">
        <v>11</v>
      </c>
      <c r="C21" s="42"/>
      <c r="D21" s="41">
        <v>371</v>
      </c>
      <c r="E21" s="42"/>
      <c r="F21" s="41" t="s">
        <v>26</v>
      </c>
      <c r="G21" s="42"/>
      <c r="H21" s="43">
        <f t="shared" si="0"/>
        <v>371</v>
      </c>
      <c r="I21" s="44">
        <f t="shared" si="1"/>
        <v>371</v>
      </c>
      <c r="J21" s="45">
        <f t="shared" si="2"/>
        <v>1</v>
      </c>
      <c r="K21" s="46">
        <v>0.583333333333333</v>
      </c>
      <c r="L21" s="47">
        <v>3000</v>
      </c>
      <c r="M21" s="54">
        <v>183.05</v>
      </c>
      <c r="N21" s="49">
        <v>0</v>
      </c>
      <c r="O21" s="56"/>
      <c r="P21" s="51"/>
      <c r="Q21" s="52"/>
      <c r="R21" s="52"/>
      <c r="S21" s="52"/>
      <c r="T21" s="52"/>
      <c r="U21" s="53"/>
    </row>
    <row r="22" s="3" customFormat="1" ht="15" customHeight="1" spans="1:21">
      <c r="A22" s="40">
        <v>0.625</v>
      </c>
      <c r="B22" s="41" t="s">
        <v>11</v>
      </c>
      <c r="C22" s="42"/>
      <c r="D22" s="41">
        <v>363</v>
      </c>
      <c r="E22" s="42"/>
      <c r="F22" s="41" t="s">
        <v>26</v>
      </c>
      <c r="G22" s="42"/>
      <c r="H22" s="43">
        <f t="shared" si="0"/>
        <v>363</v>
      </c>
      <c r="I22" s="44">
        <f t="shared" si="1"/>
        <v>363</v>
      </c>
      <c r="J22" s="45">
        <f t="shared" si="2"/>
        <v>1</v>
      </c>
      <c r="K22" s="46">
        <v>0.625</v>
      </c>
      <c r="L22" s="47">
        <v>3000</v>
      </c>
      <c r="M22" s="54">
        <v>183.09</v>
      </c>
      <c r="N22" s="49">
        <f t="shared" si="3"/>
        <v>360.000000000014</v>
      </c>
      <c r="O22" s="56"/>
      <c r="P22" s="51"/>
      <c r="Q22" s="52"/>
      <c r="R22" s="52"/>
      <c r="S22" s="52"/>
      <c r="T22" s="52"/>
      <c r="U22" s="53"/>
    </row>
    <row r="23" s="3" customFormat="1" ht="15" customHeight="1" spans="1:21">
      <c r="A23" s="40">
        <v>0.666666666666667</v>
      </c>
      <c r="B23" s="41" t="s">
        <v>11</v>
      </c>
      <c r="C23" s="42"/>
      <c r="D23" s="41">
        <v>365</v>
      </c>
      <c r="E23" s="42"/>
      <c r="F23" s="41" t="s">
        <v>26</v>
      </c>
      <c r="G23" s="42"/>
      <c r="H23" s="43">
        <f t="shared" si="0"/>
        <v>365</v>
      </c>
      <c r="I23" s="44">
        <f t="shared" si="1"/>
        <v>365</v>
      </c>
      <c r="J23" s="45">
        <f t="shared" si="2"/>
        <v>1</v>
      </c>
      <c r="K23" s="46">
        <v>0.666666666666666</v>
      </c>
      <c r="L23" s="47">
        <v>3000</v>
      </c>
      <c r="M23" s="54">
        <v>183.12</v>
      </c>
      <c r="N23" s="49">
        <f t="shared" si="3"/>
        <v>479.999999999905</v>
      </c>
      <c r="O23" s="56"/>
      <c r="P23" s="51"/>
      <c r="Q23" s="52"/>
      <c r="R23" s="52"/>
      <c r="S23" s="52"/>
      <c r="T23" s="52"/>
      <c r="U23" s="53"/>
    </row>
    <row r="24" s="3" customFormat="1" ht="15" customHeight="1" spans="1:21">
      <c r="A24" s="40">
        <v>0.708333333333334</v>
      </c>
      <c r="B24" s="41" t="s">
        <v>11</v>
      </c>
      <c r="C24" s="42"/>
      <c r="D24" s="41" t="s">
        <v>26</v>
      </c>
      <c r="E24" s="42"/>
      <c r="F24" s="41">
        <v>379</v>
      </c>
      <c r="G24" s="42"/>
      <c r="H24" s="43">
        <f t="shared" si="0"/>
        <v>379</v>
      </c>
      <c r="I24" s="44">
        <f t="shared" si="1"/>
        <v>379</v>
      </c>
      <c r="J24" s="45">
        <f t="shared" si="2"/>
        <v>1</v>
      </c>
      <c r="K24" s="46">
        <v>0.708333333333333</v>
      </c>
      <c r="L24" s="47">
        <v>2700</v>
      </c>
      <c r="M24" s="54">
        <v>183.16</v>
      </c>
      <c r="N24" s="49">
        <f t="shared" si="3"/>
        <v>479.999999999905</v>
      </c>
      <c r="O24" s="56"/>
      <c r="P24" s="51"/>
      <c r="Q24" s="52"/>
      <c r="R24" s="52"/>
      <c r="S24" s="52"/>
      <c r="T24" s="52"/>
      <c r="U24" s="53"/>
    </row>
    <row r="25" s="3" customFormat="1" ht="15" customHeight="1" spans="1:21">
      <c r="A25" s="40">
        <v>0.75</v>
      </c>
      <c r="B25" s="41" t="s">
        <v>11</v>
      </c>
      <c r="C25" s="42"/>
      <c r="D25" s="41" t="s">
        <v>26</v>
      </c>
      <c r="E25" s="42"/>
      <c r="F25" s="41">
        <v>394</v>
      </c>
      <c r="G25" s="42"/>
      <c r="H25" s="43">
        <f t="shared" si="0"/>
        <v>394</v>
      </c>
      <c r="I25" s="44">
        <f t="shared" si="1"/>
        <v>394</v>
      </c>
      <c r="J25" s="45">
        <f t="shared" si="2"/>
        <v>1</v>
      </c>
      <c r="K25" s="46">
        <v>0.75</v>
      </c>
      <c r="L25" s="47">
        <v>2400</v>
      </c>
      <c r="M25" s="54">
        <v>183.2</v>
      </c>
      <c r="N25" s="49">
        <f t="shared" si="3"/>
        <v>480.000000000246</v>
      </c>
      <c r="O25" s="56"/>
      <c r="P25" s="51"/>
      <c r="Q25" s="52"/>
      <c r="R25" s="52"/>
      <c r="S25" s="52"/>
      <c r="T25" s="52"/>
      <c r="U25" s="53"/>
    </row>
    <row r="26" s="3" customFormat="1" ht="15" customHeight="1" spans="1:21">
      <c r="A26" s="40">
        <v>0.791666666666667</v>
      </c>
      <c r="B26" s="41" t="s">
        <v>11</v>
      </c>
      <c r="C26" s="42"/>
      <c r="D26" s="41">
        <v>264</v>
      </c>
      <c r="E26" s="42"/>
      <c r="F26" s="41">
        <v>274</v>
      </c>
      <c r="G26" s="42"/>
      <c r="H26" s="43">
        <f t="shared" si="0"/>
        <v>538</v>
      </c>
      <c r="I26" s="44">
        <f t="shared" si="1"/>
        <v>269</v>
      </c>
      <c r="J26" s="45">
        <f t="shared" si="2"/>
        <v>2</v>
      </c>
      <c r="K26" s="46">
        <v>0.791666666666666</v>
      </c>
      <c r="L26" s="47">
        <v>2100</v>
      </c>
      <c r="M26" s="54">
        <v>183.24</v>
      </c>
      <c r="N26" s="49">
        <f t="shared" si="3"/>
        <v>599.999999999795</v>
      </c>
      <c r="O26" s="56"/>
      <c r="P26" s="51"/>
      <c r="Q26" s="52"/>
      <c r="R26" s="52"/>
      <c r="S26" s="52"/>
      <c r="T26" s="52"/>
      <c r="U26" s="53"/>
    </row>
    <row r="27" s="3" customFormat="1" ht="15" customHeight="1" spans="1:21">
      <c r="A27" s="40">
        <v>0.833333333333334</v>
      </c>
      <c r="B27" s="41" t="s">
        <v>11</v>
      </c>
      <c r="C27" s="42"/>
      <c r="D27" s="41">
        <v>298</v>
      </c>
      <c r="E27" s="42"/>
      <c r="F27" s="41">
        <v>303</v>
      </c>
      <c r="G27" s="42"/>
      <c r="H27" s="43">
        <f t="shared" si="0"/>
        <v>601</v>
      </c>
      <c r="I27" s="44">
        <f t="shared" si="1"/>
        <v>300.5</v>
      </c>
      <c r="J27" s="45">
        <f t="shared" si="2"/>
        <v>2</v>
      </c>
      <c r="K27" s="46">
        <v>0.833333333333333</v>
      </c>
      <c r="L27" s="47">
        <v>2100</v>
      </c>
      <c r="M27" s="54">
        <v>183.29</v>
      </c>
      <c r="N27" s="49">
        <f t="shared" si="3"/>
        <v>480.000000000246</v>
      </c>
      <c r="O27" s="56"/>
      <c r="P27" s="51"/>
      <c r="Q27" s="52"/>
      <c r="R27" s="52"/>
      <c r="S27" s="52"/>
      <c r="T27" s="52"/>
      <c r="U27" s="53"/>
    </row>
    <row r="28" s="4" customFormat="1" ht="15" customHeight="1" spans="1:21">
      <c r="A28" s="40">
        <v>0.875</v>
      </c>
      <c r="B28" s="41" t="s">
        <v>11</v>
      </c>
      <c r="C28" s="42"/>
      <c r="D28" s="41">
        <v>283</v>
      </c>
      <c r="E28" s="42"/>
      <c r="F28" s="41">
        <v>280</v>
      </c>
      <c r="G28" s="42"/>
      <c r="H28" s="43">
        <f t="shared" si="0"/>
        <v>563</v>
      </c>
      <c r="I28" s="44">
        <f t="shared" si="1"/>
        <v>281.5</v>
      </c>
      <c r="J28" s="45">
        <f t="shared" si="2"/>
        <v>2</v>
      </c>
      <c r="K28" s="46">
        <v>0.875</v>
      </c>
      <c r="L28" s="47">
        <v>1800</v>
      </c>
      <c r="M28" s="54">
        <v>183.33</v>
      </c>
      <c r="N28" s="49">
        <f t="shared" si="3"/>
        <v>599.999999999795</v>
      </c>
      <c r="O28" s="56"/>
      <c r="P28" s="51"/>
      <c r="Q28" s="52"/>
      <c r="R28" s="52"/>
      <c r="S28" s="52"/>
      <c r="T28" s="52"/>
      <c r="U28" s="53"/>
    </row>
    <row r="29" s="3" customFormat="1" ht="15" customHeight="1" spans="1:21">
      <c r="A29" s="40">
        <v>0.916666666666667</v>
      </c>
      <c r="B29" s="41" t="s">
        <v>11</v>
      </c>
      <c r="C29" s="42"/>
      <c r="D29" s="41">
        <v>404</v>
      </c>
      <c r="E29" s="42"/>
      <c r="F29" s="41" t="s">
        <v>26</v>
      </c>
      <c r="G29" s="42"/>
      <c r="H29" s="43">
        <f t="shared" si="0"/>
        <v>404</v>
      </c>
      <c r="I29" s="44">
        <f t="shared" si="1"/>
        <v>404</v>
      </c>
      <c r="J29" s="45">
        <f t="shared" si="2"/>
        <v>1</v>
      </c>
      <c r="K29" s="46">
        <v>0.916666666666666</v>
      </c>
      <c r="L29" s="47">
        <v>1800</v>
      </c>
      <c r="M29" s="54">
        <v>183.38</v>
      </c>
      <c r="N29" s="49">
        <f t="shared" si="3"/>
        <v>479.999999999905</v>
      </c>
      <c r="O29" s="56"/>
      <c r="P29" s="51"/>
      <c r="Q29" s="52"/>
      <c r="R29" s="52"/>
      <c r="S29" s="52"/>
      <c r="T29" s="52"/>
      <c r="U29" s="53"/>
    </row>
    <row r="30" s="3" customFormat="1" ht="15" customHeight="1" spans="1:21">
      <c r="A30" s="40">
        <v>0.958333333333334</v>
      </c>
      <c r="B30" s="41" t="s">
        <v>11</v>
      </c>
      <c r="C30" s="42"/>
      <c r="D30" s="41">
        <v>378</v>
      </c>
      <c r="E30" s="42"/>
      <c r="F30" s="41" t="s">
        <v>26</v>
      </c>
      <c r="G30" s="42"/>
      <c r="H30" s="43">
        <f t="shared" si="0"/>
        <v>378</v>
      </c>
      <c r="I30" s="44">
        <f t="shared" si="1"/>
        <v>378</v>
      </c>
      <c r="J30" s="45">
        <f t="shared" si="2"/>
        <v>1</v>
      </c>
      <c r="K30" s="46">
        <v>0.958333333333333</v>
      </c>
      <c r="L30" s="47">
        <v>1800</v>
      </c>
      <c r="M30" s="54">
        <v>183.42</v>
      </c>
      <c r="N30" s="49">
        <f t="shared" si="3"/>
        <v>360.000000000014</v>
      </c>
      <c r="O30" s="56"/>
      <c r="P30" s="51"/>
      <c r="Q30" s="52"/>
      <c r="R30" s="52"/>
      <c r="S30" s="52"/>
      <c r="T30" s="52"/>
      <c r="U30" s="53"/>
    </row>
    <row r="31" s="2" customFormat="1" ht="15" customHeight="1" spans="1:21">
      <c r="A31" s="57">
        <v>1</v>
      </c>
      <c r="B31" s="41" t="s">
        <v>11</v>
      </c>
      <c r="C31" s="42"/>
      <c r="D31" s="41">
        <v>347</v>
      </c>
      <c r="E31" s="42"/>
      <c r="F31" s="41" t="s">
        <v>26</v>
      </c>
      <c r="G31" s="42"/>
      <c r="H31" s="43">
        <f t="shared" si="0"/>
        <v>347</v>
      </c>
      <c r="I31" s="58">
        <f t="shared" si="1"/>
        <v>347</v>
      </c>
      <c r="J31" s="59">
        <f t="shared" si="2"/>
        <v>1</v>
      </c>
      <c r="K31" s="60">
        <v>1</v>
      </c>
      <c r="L31" s="47">
        <v>4500</v>
      </c>
      <c r="M31" s="61">
        <v>183.45</v>
      </c>
      <c r="N31" s="49">
        <f>H31</f>
        <v>347</v>
      </c>
      <c r="O31" s="56"/>
      <c r="P31" s="51"/>
      <c r="Q31" s="52"/>
      <c r="R31" s="52"/>
      <c r="S31" s="52"/>
      <c r="T31" s="52"/>
      <c r="U31" s="53"/>
    </row>
    <row r="32" s="3" customFormat="1" ht="23.25" customHeight="1" spans="1:21">
      <c r="A32" s="62" t="s">
        <v>12</v>
      </c>
      <c r="B32" s="63">
        <f>SUM(B8:B31)/1000</f>
        <v>0</v>
      </c>
      <c r="C32" s="64"/>
      <c r="D32" s="63">
        <f>SUM(D8:D31)/1000</f>
        <v>8.05</v>
      </c>
      <c r="E32" s="64"/>
      <c r="F32" s="63">
        <f>SUM(F8:F31)/1000</f>
        <v>2.095</v>
      </c>
      <c r="G32" s="64"/>
      <c r="H32" s="65">
        <f>SUM(H8:H31)</f>
        <v>10145</v>
      </c>
      <c r="I32" s="66" t="s">
        <v>13</v>
      </c>
      <c r="J32" s="67"/>
      <c r="K32" s="68"/>
      <c r="L32" s="69"/>
      <c r="M32" s="70">
        <f>SUM(M31-M8+N8)</f>
        <v>480.910000000246</v>
      </c>
      <c r="N32" s="71">
        <f>SUM(N8:N31)</f>
        <v>12587.0000000001</v>
      </c>
      <c r="O32" s="72">
        <f>SUM(O8:O31)</f>
        <v>0</v>
      </c>
      <c r="P32" s="73"/>
      <c r="Q32" s="74"/>
      <c r="R32" s="74"/>
      <c r="S32" s="74"/>
      <c r="T32" s="74"/>
      <c r="U32" s="75"/>
    </row>
    <row r="33" ht="15" customHeight="1" spans="1:29">
      <c r="A33" s="76" t="s">
        <v>14</v>
      </c>
      <c r="B33" s="77" t="str">
        <f>IFERROR((AVERAGE(B8:B31)),"0")</f>
        <v>0</v>
      </c>
      <c r="C33" s="78"/>
      <c r="D33" s="79">
        <f>IFERROR((AVERAGE(D8:D31)),"0")</f>
        <v>365.909090909091</v>
      </c>
      <c r="E33" s="78"/>
      <c r="F33" s="79">
        <f>IFERROR((AVERAGE(F8:F31)),"0")</f>
        <v>299.285714285714</v>
      </c>
      <c r="G33" s="80"/>
      <c r="H33" s="81">
        <f>H32*1000</f>
        <v>10145000</v>
      </c>
      <c r="I33" s="82" t="s">
        <v>15</v>
      </c>
      <c r="J33" s="83"/>
      <c r="K33" s="84"/>
      <c r="L33" s="85"/>
      <c r="M33" s="86"/>
      <c r="N33" s="85"/>
      <c r="O33" s="87"/>
      <c r="P33" s="87"/>
      <c r="Q33" s="88"/>
      <c r="R33" s="88"/>
      <c r="S33" s="89"/>
      <c r="T33" s="89"/>
      <c r="U33" s="89"/>
      <c r="V33" s="89"/>
    </row>
    <row r="34" ht="18.75" customHeight="1" spans="1:29">
      <c r="A34" s="90"/>
      <c r="B34" s="91"/>
      <c r="C34" s="92"/>
      <c r="D34" s="93"/>
      <c r="E34" s="92"/>
      <c r="F34" s="93"/>
      <c r="G34" s="94"/>
      <c r="H34" s="95"/>
      <c r="I34" s="96"/>
      <c r="J34" s="97"/>
      <c r="K34" s="98"/>
      <c r="L34" s="85"/>
      <c r="M34" s="86"/>
      <c r="N34" s="99"/>
      <c r="O34" s="99"/>
      <c r="P34" s="99"/>
      <c r="Q34" s="99"/>
      <c r="R34" s="88"/>
      <c r="S34" s="89"/>
      <c r="T34" s="89"/>
      <c r="U34" s="89"/>
      <c r="V34" s="89"/>
    </row>
    <row r="35" ht="22.5" customHeight="1" spans="1:29">
      <c r="A35" s="100" t="s">
        <v>16</v>
      </c>
      <c r="B35" s="101">
        <f>COUNT(B8:B31)</f>
        <v>0</v>
      </c>
      <c r="C35" s="102"/>
      <c r="D35" s="103">
        <f>COUNT(D8:D31)</f>
        <v>22</v>
      </c>
      <c r="E35" s="102"/>
      <c r="F35" s="103">
        <f>COUNT(F8:F31)</f>
        <v>7</v>
      </c>
      <c r="G35" s="104"/>
      <c r="H35" s="105"/>
      <c r="I35" s="106"/>
      <c r="J35" s="107"/>
      <c r="K35" s="107"/>
      <c r="L35" s="107"/>
      <c r="M35" s="107"/>
      <c r="N35" s="99"/>
      <c r="O35" s="99"/>
      <c r="P35" s="99"/>
      <c r="Q35" s="99"/>
      <c r="R35" s="108"/>
      <c r="S35" s="89"/>
      <c r="T35" s="89"/>
      <c r="U35" s="89"/>
      <c r="V35" s="89"/>
    </row>
    <row r="36" ht="9" customHeight="1" spans="1:29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10"/>
      <c r="N36" s="106"/>
      <c r="O36" s="107"/>
      <c r="P36" s="107"/>
      <c r="Q36" s="107"/>
      <c r="R36" s="107"/>
      <c r="S36" s="107"/>
      <c r="T36" s="107"/>
      <c r="U36" s="111"/>
      <c r="V36" s="112"/>
      <c r="W36" s="108"/>
      <c r="X36" s="108"/>
      <c r="Y36" s="108"/>
      <c r="Z36" s="89"/>
      <c r="AA36" s="89"/>
      <c r="AB36" s="89"/>
      <c r="AC36" s="89"/>
    </row>
    <row r="37" ht="24" customHeight="1" spans="1:29">
      <c r="D37" s="113"/>
      <c r="E37" s="113"/>
      <c r="F37" s="113"/>
      <c r="G37" s="113"/>
      <c r="H37" s="113"/>
      <c r="I37" s="113"/>
      <c r="J37" s="113"/>
      <c r="K37" s="114"/>
      <c r="L37" s="114"/>
      <c r="N37" s="115" t="s">
        <v>17</v>
      </c>
      <c r="O37" s="116"/>
      <c r="P37" s="116"/>
      <c r="Q37" s="117"/>
      <c r="R37" s="118">
        <f>SUM(B35:F35)</f>
        <v>29</v>
      </c>
      <c r="S37" s="69"/>
      <c r="T37" s="69"/>
      <c r="U37" s="69"/>
      <c r="V37" s="69"/>
      <c r="X37" s="119"/>
      <c r="Y37" s="119"/>
      <c r="Z37" s="119"/>
      <c r="AA37" s="119"/>
      <c r="AB37" s="119"/>
      <c r="AC37" s="114"/>
    </row>
    <row r="38" ht="15" spans="1:29">
      <c r="D38" s="113"/>
      <c r="E38" s="113"/>
      <c r="F38" s="113"/>
      <c r="G38" s="113"/>
      <c r="H38" s="113"/>
      <c r="I38" s="113"/>
      <c r="J38" s="113"/>
      <c r="K38" s="114"/>
      <c r="L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</row>
    <row r="39" ht="24.75" customHeight="1" spans="1:29">
      <c r="A39" s="120" t="s">
        <v>18</v>
      </c>
      <c r="B39" s="121"/>
      <c r="C39" s="122">
        <f>MAX(H8:H31)</f>
        <v>601</v>
      </c>
      <c r="D39" s="123"/>
      <c r="E39" s="124">
        <f>VLOOKUP(C39,H8:L31,4,FALSE)</f>
        <v>0.833333333333333</v>
      </c>
      <c r="F39" s="125"/>
      <c r="G39" s="125"/>
      <c r="H39" s="126" t="s">
        <v>19</v>
      </c>
      <c r="I39" s="127"/>
      <c r="J39" s="128"/>
      <c r="K39" s="129">
        <f>MAX(J8:J31)</f>
        <v>2</v>
      </c>
      <c r="L39" s="130"/>
      <c r="N39" s="131" t="s">
        <v>20</v>
      </c>
      <c r="O39" s="132"/>
      <c r="P39" s="132"/>
      <c r="Q39" s="133"/>
      <c r="R39" s="134">
        <f>AVERAGE(H8:H31)</f>
        <v>422.708333333333</v>
      </c>
      <c r="S39" s="135"/>
      <c r="T39" s="135"/>
    </row>
    <row r="40" ht="15" spans="1:29">
      <c r="C40" s="136"/>
      <c r="D40" s="137"/>
      <c r="E40" s="138"/>
      <c r="F40" s="138"/>
      <c r="G40" s="138"/>
      <c r="H40" s="138"/>
      <c r="I40" s="139"/>
      <c r="J40" s="106"/>
      <c r="K40" s="110"/>
      <c r="L40" s="110"/>
      <c r="N40" s="140"/>
      <c r="O40" s="140"/>
      <c r="P40" s="140"/>
      <c r="Q40" s="140"/>
      <c r="R40" s="140"/>
      <c r="X40" s="5"/>
      <c r="Y40" s="5"/>
      <c r="Z40" s="5"/>
      <c r="AA40" s="5"/>
      <c r="AB40" s="5"/>
      <c r="AC40" s="141"/>
    </row>
    <row r="41" ht="24.75" customHeight="1" spans="1:29">
      <c r="A41" s="120" t="s">
        <v>21</v>
      </c>
      <c r="B41" s="121"/>
      <c r="C41" s="122">
        <f>MIN(H8:H31)</f>
        <v>347</v>
      </c>
      <c r="D41" s="123"/>
      <c r="E41" s="124">
        <f>VLOOKUP(C41,H8:L31,4,FALSE)</f>
        <v>1</v>
      </c>
      <c r="F41" s="142"/>
      <c r="G41" s="125"/>
      <c r="H41" s="126" t="s">
        <v>22</v>
      </c>
      <c r="I41" s="127"/>
      <c r="J41" s="128"/>
      <c r="K41" s="129">
        <f>MIN(J8:J31)</f>
        <v>1</v>
      </c>
      <c r="L41" s="130"/>
      <c r="N41" s="126" t="s">
        <v>23</v>
      </c>
      <c r="O41" s="127"/>
      <c r="P41" s="127"/>
      <c r="Q41" s="128"/>
      <c r="R41" s="143">
        <f>AVERAGE(I8:I31)</f>
        <v>366.916666666667</v>
      </c>
      <c r="S41" s="144"/>
      <c r="T41" s="144"/>
      <c r="U41" s="144"/>
      <c r="V41" s="144"/>
      <c r="X41" s="145"/>
    </row>
    <row r="42" ht="15" spans="1:29">
      <c r="D42" s="138"/>
      <c r="E42" s="138"/>
      <c r="F42" s="138"/>
      <c r="G42" s="138"/>
      <c r="H42" s="138"/>
      <c r="I42" s="146"/>
      <c r="J42" s="138"/>
      <c r="K42" s="147"/>
      <c r="L42" s="147"/>
      <c r="V42" s="148"/>
      <c r="W42" s="148"/>
      <c r="X42" s="149"/>
      <c r="Y42" s="149"/>
      <c r="Z42" s="150"/>
      <c r="AA42" s="150"/>
      <c r="AB42" s="150"/>
      <c r="AC42" s="150"/>
    </row>
    <row r="43" ht="24.75" customHeight="1" spans="1:29">
      <c r="C43" s="136"/>
      <c r="H43" s="151"/>
      <c r="I43" s="151"/>
      <c r="J43" s="151"/>
      <c r="K43" s="145"/>
      <c r="L43" s="139"/>
      <c r="N43" s="152" t="s">
        <v>24</v>
      </c>
      <c r="O43" s="153"/>
      <c r="P43" s="153"/>
      <c r="Q43" s="154"/>
      <c r="R43" s="155" t="e">
        <f>AVERAGE(T8:T31)</f>
        <v>#DIV/0!</v>
      </c>
      <c r="X43" s="156"/>
      <c r="Z43" s="157"/>
      <c r="AA43" s="157"/>
      <c r="AB43" s="157"/>
      <c r="AC43" s="157"/>
    </row>
    <row r="44" ht="19.5" spans="1:29">
      <c r="I44" s="158"/>
      <c r="K44" s="159"/>
      <c r="L44" s="159"/>
      <c r="Z44" s="160"/>
      <c r="AA44" s="160"/>
      <c r="AB44" s="160"/>
      <c r="AC44" s="160"/>
    </row>
    <row r="45" ht="24.75" customHeight="1" spans="1:29">
      <c r="D45" s="158"/>
      <c r="E45" s="158"/>
      <c r="F45" s="158"/>
      <c r="G45" s="158"/>
      <c r="H45" s="158"/>
      <c r="N45" s="126" t="s">
        <v>25</v>
      </c>
      <c r="O45" s="127"/>
      <c r="P45" s="127"/>
      <c r="Q45" s="128"/>
      <c r="R45" s="161">
        <f>SUM(M32-H32)/24</f>
        <v>-402.670416666656</v>
      </c>
      <c r="X45" s="162"/>
      <c r="Z45" s="163"/>
      <c r="AA45" s="163"/>
      <c r="AB45" s="163"/>
      <c r="AC45" s="163"/>
    </row>
    <row r="46" spans="1:29">
      <c r="Z46" s="164"/>
      <c r="AA46" s="164"/>
      <c r="AB46" s="164"/>
      <c r="AC46" s="164"/>
    </row>
    <row r="47" spans="1:29">
      <c r="Z47" s="139"/>
      <c r="AA47" s="139"/>
      <c r="AB47" s="139"/>
      <c r="AC47" s="139"/>
    </row>
    <row r="48" spans="1:29">
      <c r="Z48" s="139"/>
      <c r="AA48" s="139"/>
      <c r="AB48" s="139"/>
      <c r="AC48" s="139"/>
    </row>
    <row r="49" spans="11:29">
      <c r="Z49" s="157"/>
      <c r="AA49" s="157"/>
      <c r="AB49" s="157"/>
      <c r="AC49" s="157"/>
    </row>
    <row r="50" spans="11:29">
      <c r="Z50" s="157"/>
      <c r="AA50" s="157"/>
      <c r="AB50" s="157"/>
      <c r="AC50" s="157"/>
    </row>
    <row r="51" spans="11:29">
      <c r="K51" s="150"/>
      <c r="L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0"/>
      <c r="AC51" s="150"/>
    </row>
    <row r="52" spans="11:29">
      <c r="K52" s="150"/>
      <c r="L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  <c r="AB52" s="150"/>
      <c r="AC52" s="150"/>
    </row>
    <row r="53" spans="11:29">
      <c r="K53" s="150"/>
      <c r="L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50"/>
      <c r="AB53" s="150"/>
      <c r="AC53" s="150"/>
    </row>
    <row r="60" spans="11:29">
      <c r="O60" s="165"/>
      <c r="P60" s="165"/>
      <c r="Q60" s="165"/>
      <c r="R60" s="165"/>
      <c r="S60" s="165"/>
      <c r="T60" s="165"/>
    </row>
    <row r="61" spans="11:29">
      <c r="O61" s="165"/>
      <c r="P61" s="165"/>
      <c r="Q61" s="165"/>
      <c r="R61" s="165"/>
      <c r="S61" s="165"/>
      <c r="T61" s="165"/>
    </row>
    <row r="62" spans="11:29">
      <c r="O62" s="165"/>
      <c r="P62" s="165"/>
      <c r="Q62" s="165"/>
      <c r="R62" s="165"/>
      <c r="S62" s="165"/>
      <c r="T62" s="165"/>
    </row>
    <row r="63" spans="11:29">
      <c r="O63" s="165"/>
      <c r="P63" s="165"/>
      <c r="Q63" s="165"/>
      <c r="R63" s="165"/>
      <c r="S63" s="165"/>
      <c r="T63" s="165"/>
    </row>
    <row r="64" spans="11:29">
      <c r="O64" s="165"/>
      <c r="P64" s="165"/>
      <c r="Q64" s="165"/>
      <c r="R64" s="165"/>
      <c r="S64" s="165"/>
      <c r="T64" s="165"/>
    </row>
    <row r="65" spans="15:20">
      <c r="O65" s="165"/>
      <c r="P65" s="165"/>
      <c r="Q65" s="165"/>
      <c r="R65" s="165"/>
      <c r="S65" s="165"/>
      <c r="T65" s="165"/>
    </row>
    <row r="66" spans="15:20">
      <c r="O66" s="165"/>
      <c r="P66" s="165"/>
      <c r="Q66" s="165"/>
      <c r="R66" s="165"/>
      <c r="S66" s="165"/>
      <c r="T66" s="165"/>
    </row>
    <row r="67" spans="15:20">
      <c r="O67" s="165"/>
      <c r="P67" s="165"/>
      <c r="Q67" s="165"/>
      <c r="R67" s="165"/>
      <c r="S67" s="165"/>
      <c r="T67" s="165"/>
    </row>
    <row r="68" spans="15:20">
      <c r="O68" s="165"/>
      <c r="P68" s="165"/>
      <c r="Q68" s="165"/>
      <c r="R68" s="165"/>
      <c r="S68" s="165"/>
      <c r="T68" s="165"/>
    </row>
  </sheetData>
  <mergeCells count="116">
    <mergeCell ref="H4:K4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B29:C29"/>
    <mergeCell ref="D29:E29"/>
    <mergeCell ref="F29:G2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N34:Q34"/>
    <mergeCell ref="B35:C35"/>
    <mergeCell ref="D35:E35"/>
    <mergeCell ref="F35:G35"/>
    <mergeCell ref="N35:Q35"/>
    <mergeCell ref="N37:Q37"/>
    <mergeCell ref="A39:B39"/>
    <mergeCell ref="C39:D39"/>
    <mergeCell ref="H39:J39"/>
    <mergeCell ref="N39:Q39"/>
    <mergeCell ref="A41:B41"/>
    <mergeCell ref="C41:D41"/>
    <mergeCell ref="H41:J41"/>
    <mergeCell ref="N41:Q41"/>
    <mergeCell ref="H43:J43"/>
    <mergeCell ref="N43:Q43"/>
    <mergeCell ref="N45:Q45"/>
    <mergeCell ref="A6:A7"/>
    <mergeCell ref="A33:A34"/>
    <mergeCell ref="H6:H7"/>
    <mergeCell ref="H33:H34"/>
    <mergeCell ref="I6:I7"/>
    <mergeCell ref="I33:I34"/>
    <mergeCell ref="J6:J7"/>
    <mergeCell ref="K6:K7"/>
    <mergeCell ref="L6:L7"/>
    <mergeCell ref="M6:M7"/>
    <mergeCell ref="N6:N7"/>
    <mergeCell ref="O6:O7"/>
    <mergeCell ref="T6:T7"/>
    <mergeCell ref="U6:U7"/>
    <mergeCell ref="B33:C34"/>
    <mergeCell ref="D33:E34"/>
    <mergeCell ref="F33:G34"/>
  </mergeCells>
  <conditionalFormatting sqref="O8">
    <cfRule type="cellIs" dxfId="0" priority="10" operator="equal">
      <formula>"N/A"</formula>
    </cfRule>
  </conditionalFormatting>
  <conditionalFormatting sqref="A30">
    <cfRule type="cellIs" dxfId="1" priority="11" operator="equal">
      <formula>"STB"</formula>
    </cfRule>
    <cfRule type="cellIs" dxfId="0" priority="12" operator="equal">
      <formula>"BD"</formula>
    </cfRule>
  </conditionalFormatting>
  <conditionalFormatting sqref="B8:B31">
    <cfRule type="cellIs" dxfId="1" priority="1" operator="equal">
      <formula>"STB"</formula>
    </cfRule>
    <cfRule type="cellIs" dxfId="0" priority="2" operator="equal">
      <formula>"BD"</formula>
    </cfRule>
  </conditionalFormatting>
  <conditionalFormatting sqref="D8:D31">
    <cfRule type="cellIs" dxfId="1" priority="8" operator="equal">
      <formula>"STB"</formula>
    </cfRule>
    <cfRule type="cellIs" dxfId="0" priority="9" operator="equal">
      <formula>"BD"</formula>
    </cfRule>
  </conditionalFormatting>
  <conditionalFormatting sqref="F8:F31">
    <cfRule type="cellIs" dxfId="1" priority="3" operator="equal">
      <formula>"STB"</formula>
    </cfRule>
    <cfRule type="cellIs" dxfId="0" priority="4" operator="equal">
      <formula>"BD"</formula>
    </cfRule>
  </conditionalFormatting>
  <conditionalFormatting sqref="H8:H31">
    <cfRule type="top10" dxfId="2" priority="5" bottom="1" rank="1"/>
    <cfRule type="top10" dxfId="3" priority="6" rank="1"/>
    <cfRule type="cellIs" dxfId="4" priority="7" stopIfTrue="1" operator="equal">
      <formula>28000</formula>
    </cfRule>
  </conditionalFormatting>
  <conditionalFormatting sqref="H32:H33">
    <cfRule type="top10" dxfId="2" priority="14" bottom="1" rank="1"/>
    <cfRule type="top10" dxfId="3" priority="15" rank="1"/>
    <cfRule type="cellIs" dxfId="4" priority="17" stopIfTrue="1" operator="equal">
      <formula>28000</formula>
    </cfRule>
  </conditionalFormatting>
  <conditionalFormatting sqref="Y8:Y31">
    <cfRule type="containsText" dxfId="5" priority="13" operator="between" text="-">
      <formula>NOT(ISERROR(SEARCH("-",Y8)))</formula>
    </cfRule>
  </conditionalFormatting>
  <conditionalFormatting sqref="N8 N9:O31">
    <cfRule type="cellIs" dxfId="0" priority="16" operator="equal">
      <formula>"BD"</formula>
    </cfRule>
  </conditionalFormatting>
  <pageMargins left="0.7" right="0.7" top="0.75" bottom="0.75" header="0.3" footer="0.3"/>
  <pageSetup paperSize="1" orientation="portrait" verticalDpi="360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C68"/>
  <sheetViews>
    <sheetView zoomScale="80" zoomScaleNormal="80" workbookViewId="0">
      <pane ySplit="7" topLeftCell="A21" activePane="bottomLeft" state="frozen"/>
      <selection/>
      <selection pane="bottomLeft" activeCell="A3" sqref="$A3:$XFD3"/>
    </sheetView>
  </sheetViews>
  <sheetFormatPr defaultColWidth="8.81666666666667" defaultRowHeight="14.25"/>
  <cols>
    <col min="1" max="1" width="16.725" customWidth="1"/>
    <col min="2" max="2" width="8.725" customWidth="1"/>
    <col min="3" max="7" width="5.725" customWidth="1"/>
    <col min="8" max="8" width="14.2666666666667" customWidth="1"/>
    <col min="9" max="9" width="15.1833333333333" customWidth="1"/>
    <col min="10" max="10" width="15.5416666666667" customWidth="1"/>
    <col min="11" max="11" width="7" customWidth="1"/>
    <col min="12" max="12" width="8.54166666666667" customWidth="1"/>
    <col min="13" max="13" width="11.725" style="5" customWidth="1"/>
    <col min="14" max="14" width="17.1833333333333" customWidth="1"/>
    <col min="15" max="15" width="15.45" customWidth="1"/>
    <col min="16" max="16" width="7.45" customWidth="1"/>
    <col min="17" max="17" width="9.54166666666667" customWidth="1"/>
    <col min="18" max="18" width="10" customWidth="1"/>
    <col min="19" max="20" width="9.81666666666667" customWidth="1"/>
    <col min="21" max="21" width="6.725" customWidth="1"/>
    <col min="22" max="22" width="13.8166666666667" customWidth="1"/>
    <col min="23" max="23" width="11.2666666666667" customWidth="1"/>
    <col min="24" max="24" width="9.26666666666667" customWidth="1"/>
    <col min="25" max="25" width="3.725" customWidth="1"/>
    <col min="26" max="29" width="7.725" customWidth="1"/>
    <col min="30" max="30" width="6.725" customWidth="1"/>
  </cols>
  <sheetData>
    <row r="1" ht="3" customHeight="1"/>
    <row r="2" ht="6" customHeight="1" spans="1:2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="1" customFormat="1" ht="6.75" customHeight="1" spans="1:29">
      <c r="K3" s="7"/>
      <c r="L3" s="8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17.25" customHeight="1" spans="1:29">
      <c r="A4" s="1"/>
      <c r="B4" s="10"/>
      <c r="C4" s="10"/>
      <c r="D4" s="10"/>
      <c r="E4" s="11"/>
      <c r="F4" s="11"/>
      <c r="G4" s="11"/>
      <c r="H4" s="12">
        <f>'[29]Taniwel daily'!C4</f>
        <v>45320</v>
      </c>
      <c r="I4" s="13"/>
      <c r="J4" s="13"/>
      <c r="K4" s="14"/>
      <c r="L4" s="15"/>
      <c r="M4" s="16"/>
      <c r="N4" s="10"/>
      <c r="O4" s="10"/>
      <c r="P4" s="10"/>
      <c r="Q4" s="10"/>
      <c r="R4" s="10"/>
      <c r="S4" s="10"/>
      <c r="T4" s="10"/>
      <c r="U4" s="10"/>
      <c r="V4" s="7"/>
      <c r="W4" s="7"/>
      <c r="X4" s="7"/>
      <c r="Y4" s="7"/>
      <c r="Z4" s="7"/>
      <c r="AA4" s="7"/>
      <c r="AB4" s="7"/>
      <c r="AC4" s="7"/>
    </row>
    <row r="5" ht="7.5" customHeight="1" spans="1:29">
      <c r="A5" s="1"/>
      <c r="B5" s="17"/>
      <c r="C5" s="1"/>
      <c r="D5" s="1"/>
      <c r="E5" s="1"/>
      <c r="F5" s="1"/>
      <c r="G5" s="1"/>
      <c r="H5" s="1"/>
      <c r="I5" s="1"/>
      <c r="J5" s="1"/>
      <c r="K5" s="18"/>
      <c r="L5" s="7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ht="17.25" customHeight="1" spans="1:29">
      <c r="A6" s="19" t="s">
        <v>0</v>
      </c>
      <c r="B6" s="20" t="s">
        <v>1</v>
      </c>
      <c r="C6" s="21"/>
      <c r="D6" s="20" t="s">
        <v>2</v>
      </c>
      <c r="E6" s="21"/>
      <c r="F6" s="20" t="s">
        <v>3</v>
      </c>
      <c r="G6" s="21"/>
      <c r="H6" s="22" t="s">
        <v>4</v>
      </c>
      <c r="I6" s="22" t="s">
        <v>5</v>
      </c>
      <c r="J6" s="23" t="s">
        <v>6</v>
      </c>
      <c r="K6" s="19" t="s">
        <v>0</v>
      </c>
      <c r="L6" s="24" t="s">
        <v>7</v>
      </c>
      <c r="M6" s="25" t="s">
        <v>8</v>
      </c>
      <c r="N6" s="26" t="s">
        <v>9</v>
      </c>
      <c r="O6" s="25" t="s">
        <v>10</v>
      </c>
      <c r="P6" s="27"/>
      <c r="Q6" s="28"/>
      <c r="R6" s="28"/>
      <c r="S6" s="28"/>
      <c r="T6" s="28"/>
      <c r="U6" s="29"/>
    </row>
    <row r="7" ht="15.75" customHeight="1" spans="1:29">
      <c r="A7" s="30"/>
      <c r="B7" s="31">
        <v>1</v>
      </c>
      <c r="C7" s="32"/>
      <c r="D7" s="31">
        <v>2</v>
      </c>
      <c r="E7" s="32"/>
      <c r="F7" s="31">
        <v>3</v>
      </c>
      <c r="G7" s="32"/>
      <c r="H7" s="33"/>
      <c r="I7" s="33"/>
      <c r="J7" s="34"/>
      <c r="K7" s="30"/>
      <c r="L7" s="35"/>
      <c r="M7" s="36"/>
      <c r="N7" s="37"/>
      <c r="O7" s="38"/>
      <c r="P7" s="27"/>
      <c r="Q7" s="28"/>
      <c r="R7" s="28"/>
      <c r="S7" s="28"/>
      <c r="T7" s="28"/>
      <c r="U7" s="29"/>
      <c r="X7" s="39"/>
    </row>
    <row r="8" s="2" customFormat="1" ht="15" customHeight="1" spans="1:29">
      <c r="A8" s="40">
        <v>0.0416666666666666</v>
      </c>
      <c r="B8" s="41" t="s">
        <v>11</v>
      </c>
      <c r="C8" s="42"/>
      <c r="D8" s="41">
        <v>218</v>
      </c>
      <c r="E8" s="42"/>
      <c r="F8" s="41">
        <v>232</v>
      </c>
      <c r="G8" s="42"/>
      <c r="H8" s="43">
        <f t="shared" ref="H8:H31" si="0">IF(SUM(B8:G8)/1000=0,"0",SUM(B8:G8))</f>
        <v>450</v>
      </c>
      <c r="I8" s="44">
        <f t="shared" ref="I8:I31" si="1">IFERROR(AVERAGE(B8:G8),"0")</f>
        <v>225</v>
      </c>
      <c r="J8" s="45">
        <f t="shared" ref="J8:J31" si="2">COUNT(B8:G8)</f>
        <v>2</v>
      </c>
      <c r="K8" s="46">
        <v>0.0416666666666667</v>
      </c>
      <c r="L8" s="47">
        <v>4500</v>
      </c>
      <c r="M8" s="48">
        <v>183.49</v>
      </c>
      <c r="N8" s="49">
        <f>(M9-M8)*12000</f>
        <v>479.999999999905</v>
      </c>
      <c r="O8" s="50"/>
      <c r="P8" s="51"/>
      <c r="Q8" s="52"/>
      <c r="R8" s="52"/>
      <c r="S8" s="52"/>
      <c r="T8" s="52"/>
      <c r="U8" s="53"/>
    </row>
    <row r="9" s="3" customFormat="1" ht="15" customHeight="1" spans="1:29">
      <c r="A9" s="40">
        <v>0.0833333333333333</v>
      </c>
      <c r="B9" s="41" t="s">
        <v>11</v>
      </c>
      <c r="C9" s="42"/>
      <c r="D9" s="41" t="s">
        <v>26</v>
      </c>
      <c r="E9" s="42"/>
      <c r="F9" s="41">
        <v>434</v>
      </c>
      <c r="G9" s="42"/>
      <c r="H9" s="43">
        <f t="shared" si="0"/>
        <v>434</v>
      </c>
      <c r="I9" s="44">
        <f t="shared" si="1"/>
        <v>434</v>
      </c>
      <c r="J9" s="45">
        <f t="shared" si="2"/>
        <v>1</v>
      </c>
      <c r="K9" s="46">
        <v>0.0833333333333333</v>
      </c>
      <c r="L9" s="47">
        <v>4200</v>
      </c>
      <c r="M9" s="54">
        <v>183.53</v>
      </c>
      <c r="N9" s="49">
        <f t="shared" ref="N9:N15" si="3">(M10-M9)*12000</f>
        <v>360.000000000014</v>
      </c>
      <c r="O9" s="55"/>
      <c r="P9" s="51"/>
      <c r="Q9" s="52"/>
      <c r="R9" s="52"/>
      <c r="S9" s="52"/>
      <c r="T9" s="52"/>
      <c r="U9" s="53"/>
    </row>
    <row r="10" s="3" customFormat="1" ht="15" customHeight="1" spans="1:29">
      <c r="A10" s="40">
        <v>0.125</v>
      </c>
      <c r="B10" s="41" t="s">
        <v>11</v>
      </c>
      <c r="C10" s="42"/>
      <c r="D10" s="41" t="s">
        <v>26</v>
      </c>
      <c r="E10" s="42"/>
      <c r="F10" s="41">
        <v>119</v>
      </c>
      <c r="G10" s="42"/>
      <c r="H10" s="43">
        <f t="shared" si="0"/>
        <v>119</v>
      </c>
      <c r="I10" s="44">
        <f t="shared" si="1"/>
        <v>119</v>
      </c>
      <c r="J10" s="45">
        <f t="shared" si="2"/>
        <v>1</v>
      </c>
      <c r="K10" s="46">
        <v>0.125</v>
      </c>
      <c r="L10" s="47">
        <v>4200</v>
      </c>
      <c r="M10" s="54">
        <v>183.56</v>
      </c>
      <c r="N10" s="49">
        <f t="shared" si="3"/>
        <v>240.000000000123</v>
      </c>
      <c r="O10" s="56"/>
      <c r="P10" s="51"/>
      <c r="Q10" s="52"/>
      <c r="R10" s="52"/>
      <c r="S10" s="52"/>
      <c r="T10" s="52"/>
      <c r="U10" s="53"/>
    </row>
    <row r="11" s="3" customFormat="1" ht="15" customHeight="1" spans="1:29">
      <c r="A11" s="40">
        <v>0.166666666666667</v>
      </c>
      <c r="B11" s="41" t="s">
        <v>11</v>
      </c>
      <c r="C11" s="42"/>
      <c r="D11" s="41" t="s">
        <v>26</v>
      </c>
      <c r="E11" s="42"/>
      <c r="F11" s="41">
        <v>299</v>
      </c>
      <c r="G11" s="42"/>
      <c r="H11" s="43">
        <f t="shared" si="0"/>
        <v>299</v>
      </c>
      <c r="I11" s="44">
        <f t="shared" si="1"/>
        <v>299</v>
      </c>
      <c r="J11" s="45">
        <f t="shared" si="2"/>
        <v>1</v>
      </c>
      <c r="K11" s="46">
        <v>0.166666666666667</v>
      </c>
      <c r="L11" s="47">
        <v>4000</v>
      </c>
      <c r="M11" s="54">
        <v>183.58</v>
      </c>
      <c r="N11" s="49">
        <f t="shared" si="3"/>
        <v>360.000000000014</v>
      </c>
      <c r="O11" s="56"/>
      <c r="P11" s="51"/>
      <c r="Q11" s="52"/>
      <c r="R11" s="52"/>
      <c r="S11" s="52"/>
      <c r="T11" s="52"/>
      <c r="U11" s="53"/>
    </row>
    <row r="12" s="3" customFormat="1" ht="15" customHeight="1" spans="1:29">
      <c r="A12" s="40">
        <v>0.208333333333333</v>
      </c>
      <c r="B12" s="41" t="s">
        <v>11</v>
      </c>
      <c r="C12" s="42"/>
      <c r="D12" s="41" t="s">
        <v>26</v>
      </c>
      <c r="E12" s="42"/>
      <c r="F12" s="41">
        <v>275</v>
      </c>
      <c r="G12" s="42"/>
      <c r="H12" s="43">
        <f t="shared" si="0"/>
        <v>275</v>
      </c>
      <c r="I12" s="44">
        <f t="shared" si="1"/>
        <v>275</v>
      </c>
      <c r="J12" s="45">
        <f t="shared" si="2"/>
        <v>1</v>
      </c>
      <c r="K12" s="46">
        <v>0.208333333333333</v>
      </c>
      <c r="L12" s="47">
        <v>3900</v>
      </c>
      <c r="M12" s="54">
        <v>183.61</v>
      </c>
      <c r="N12" s="49">
        <f t="shared" si="3"/>
        <v>359.999999999673</v>
      </c>
      <c r="O12" s="56"/>
      <c r="P12" s="51"/>
      <c r="Q12" s="52"/>
      <c r="R12" s="52"/>
      <c r="S12" s="52"/>
      <c r="T12" s="52"/>
      <c r="U12" s="53"/>
    </row>
    <row r="13" s="3" customFormat="1" ht="15" customHeight="1" spans="1:29">
      <c r="A13" s="40">
        <v>0.25</v>
      </c>
      <c r="B13" s="41" t="s">
        <v>11</v>
      </c>
      <c r="C13" s="42"/>
      <c r="D13" s="41" t="s">
        <v>26</v>
      </c>
      <c r="E13" s="42"/>
      <c r="F13" s="41">
        <v>297</v>
      </c>
      <c r="G13" s="42"/>
      <c r="H13" s="43">
        <f t="shared" si="0"/>
        <v>297</v>
      </c>
      <c r="I13" s="44">
        <f t="shared" si="1"/>
        <v>297</v>
      </c>
      <c r="J13" s="45">
        <f t="shared" si="2"/>
        <v>1</v>
      </c>
      <c r="K13" s="46">
        <v>0.25</v>
      </c>
      <c r="L13" s="47">
        <v>3600</v>
      </c>
      <c r="M13" s="54">
        <v>183.64</v>
      </c>
      <c r="N13" s="49">
        <f t="shared" si="3"/>
        <v>360.000000000014</v>
      </c>
      <c r="O13" s="56"/>
      <c r="P13" s="51"/>
      <c r="Q13" s="52"/>
      <c r="R13" s="52"/>
      <c r="S13" s="52"/>
      <c r="T13" s="52"/>
      <c r="U13" s="53"/>
    </row>
    <row r="14" s="3" customFormat="1" ht="15" customHeight="1" spans="1:29">
      <c r="A14" s="40">
        <v>0.291666666666667</v>
      </c>
      <c r="B14" s="41" t="s">
        <v>11</v>
      </c>
      <c r="C14" s="42"/>
      <c r="D14" s="41" t="s">
        <v>26</v>
      </c>
      <c r="E14" s="42"/>
      <c r="F14" s="41">
        <v>338</v>
      </c>
      <c r="G14" s="42"/>
      <c r="H14" s="43">
        <f t="shared" si="0"/>
        <v>338</v>
      </c>
      <c r="I14" s="44">
        <f t="shared" si="1"/>
        <v>338</v>
      </c>
      <c r="J14" s="45">
        <f t="shared" si="2"/>
        <v>1</v>
      </c>
      <c r="K14" s="46">
        <v>0.291666666666667</v>
      </c>
      <c r="L14" s="47">
        <v>3600</v>
      </c>
      <c r="M14" s="54">
        <v>183.67</v>
      </c>
      <c r="N14" s="49">
        <f t="shared" si="3"/>
        <v>360.000000000014</v>
      </c>
      <c r="O14" s="56"/>
      <c r="P14" s="51"/>
      <c r="Q14" s="52"/>
      <c r="R14" s="52"/>
      <c r="S14" s="52"/>
      <c r="T14" s="52"/>
      <c r="U14" s="53"/>
    </row>
    <row r="15" s="3" customFormat="1" ht="15" customHeight="1" spans="1:29">
      <c r="A15" s="40">
        <v>0.333333333333333</v>
      </c>
      <c r="B15" s="41" t="s">
        <v>11</v>
      </c>
      <c r="C15" s="42"/>
      <c r="D15" s="41" t="s">
        <v>26</v>
      </c>
      <c r="E15" s="42"/>
      <c r="F15" s="41">
        <v>286</v>
      </c>
      <c r="G15" s="42"/>
      <c r="H15" s="43">
        <f t="shared" si="0"/>
        <v>286</v>
      </c>
      <c r="I15" s="44">
        <f t="shared" si="1"/>
        <v>286</v>
      </c>
      <c r="J15" s="45">
        <f t="shared" si="2"/>
        <v>1</v>
      </c>
      <c r="K15" s="46">
        <v>0.333333333333333</v>
      </c>
      <c r="L15" s="47">
        <v>3600</v>
      </c>
      <c r="M15" s="54">
        <v>183.7</v>
      </c>
      <c r="N15" s="49">
        <f t="shared" si="3"/>
        <v>360.000000000014</v>
      </c>
      <c r="O15" s="56"/>
      <c r="P15" s="51"/>
      <c r="Q15" s="52"/>
      <c r="R15" s="52"/>
      <c r="S15" s="52"/>
      <c r="T15" s="52"/>
      <c r="U15" s="53"/>
    </row>
    <row r="16" s="3" customFormat="1" ht="15" customHeight="1" spans="1:29">
      <c r="A16" s="40">
        <v>0.375</v>
      </c>
      <c r="B16" s="41" t="s">
        <v>11</v>
      </c>
      <c r="C16" s="42"/>
      <c r="D16" s="41" t="s">
        <v>26</v>
      </c>
      <c r="E16" s="42"/>
      <c r="F16" s="41">
        <v>346</v>
      </c>
      <c r="G16" s="42"/>
      <c r="H16" s="43">
        <f t="shared" si="0"/>
        <v>346</v>
      </c>
      <c r="I16" s="44">
        <f t="shared" si="1"/>
        <v>346</v>
      </c>
      <c r="J16" s="45">
        <f t="shared" si="2"/>
        <v>1</v>
      </c>
      <c r="K16" s="46">
        <v>0.375</v>
      </c>
      <c r="L16" s="47">
        <v>3600</v>
      </c>
      <c r="M16" s="54">
        <v>183.73</v>
      </c>
      <c r="N16" s="49">
        <f t="shared" ref="N16:N30" si="4">(M17-M16)*12000</f>
        <v>360.000000000014</v>
      </c>
      <c r="O16" s="56"/>
      <c r="P16" s="51"/>
      <c r="Q16" s="52"/>
      <c r="R16" s="52"/>
      <c r="S16" s="52"/>
      <c r="T16" s="52"/>
      <c r="U16" s="53"/>
    </row>
    <row r="17" s="3" customFormat="1" ht="15" customHeight="1" spans="1:21">
      <c r="A17" s="40">
        <v>0.416666666666667</v>
      </c>
      <c r="B17" s="41" t="s">
        <v>11</v>
      </c>
      <c r="C17" s="42"/>
      <c r="D17" s="41" t="s">
        <v>26</v>
      </c>
      <c r="E17" s="42"/>
      <c r="F17" s="41">
        <v>341</v>
      </c>
      <c r="G17" s="42"/>
      <c r="H17" s="43">
        <f t="shared" si="0"/>
        <v>341</v>
      </c>
      <c r="I17" s="44">
        <f t="shared" si="1"/>
        <v>341</v>
      </c>
      <c r="J17" s="45">
        <f t="shared" si="2"/>
        <v>1</v>
      </c>
      <c r="K17" s="46">
        <v>0.416666666666666</v>
      </c>
      <c r="L17" s="47">
        <v>3400</v>
      </c>
      <c r="M17" s="54">
        <v>183.76</v>
      </c>
      <c r="N17" s="49">
        <f t="shared" si="4"/>
        <v>360.000000000014</v>
      </c>
      <c r="O17" s="56"/>
      <c r="P17" s="51"/>
      <c r="Q17" s="52"/>
      <c r="R17" s="52"/>
      <c r="S17" s="52"/>
      <c r="T17" s="52"/>
      <c r="U17" s="53"/>
    </row>
    <row r="18" s="3" customFormat="1" ht="15" customHeight="1" spans="1:21">
      <c r="A18" s="40">
        <v>0.458333333333333</v>
      </c>
      <c r="B18" s="41" t="s">
        <v>11</v>
      </c>
      <c r="C18" s="42"/>
      <c r="D18" s="41" t="s">
        <v>26</v>
      </c>
      <c r="E18" s="42"/>
      <c r="F18" s="41">
        <v>330</v>
      </c>
      <c r="G18" s="42"/>
      <c r="H18" s="43">
        <f t="shared" si="0"/>
        <v>330</v>
      </c>
      <c r="I18" s="44">
        <f t="shared" si="1"/>
        <v>330</v>
      </c>
      <c r="J18" s="45">
        <f t="shared" si="2"/>
        <v>1</v>
      </c>
      <c r="K18" s="46">
        <v>0.458333333333333</v>
      </c>
      <c r="L18" s="47">
        <v>3300</v>
      </c>
      <c r="M18" s="54">
        <v>183.79</v>
      </c>
      <c r="N18" s="49">
        <f t="shared" si="4"/>
        <v>360.000000000014</v>
      </c>
      <c r="O18" s="56"/>
      <c r="P18" s="51"/>
      <c r="Q18" s="52"/>
      <c r="R18" s="52"/>
      <c r="S18" s="52"/>
      <c r="T18" s="52"/>
      <c r="U18" s="53"/>
    </row>
    <row r="19" s="3" customFormat="1" ht="15" customHeight="1" spans="1:21">
      <c r="A19" s="40">
        <v>0.5</v>
      </c>
      <c r="B19" s="41" t="s">
        <v>11</v>
      </c>
      <c r="C19" s="42"/>
      <c r="D19" s="41" t="s">
        <v>26</v>
      </c>
      <c r="E19" s="42"/>
      <c r="F19" s="41">
        <v>354</v>
      </c>
      <c r="G19" s="42"/>
      <c r="H19" s="43">
        <f t="shared" si="0"/>
        <v>354</v>
      </c>
      <c r="I19" s="44">
        <f t="shared" si="1"/>
        <v>354</v>
      </c>
      <c r="J19" s="45">
        <f t="shared" si="2"/>
        <v>1</v>
      </c>
      <c r="K19" s="46">
        <v>0.5</v>
      </c>
      <c r="L19" s="47">
        <v>3300</v>
      </c>
      <c r="M19" s="54">
        <v>183.82</v>
      </c>
      <c r="N19" s="49">
        <f t="shared" si="4"/>
        <v>360.000000000014</v>
      </c>
      <c r="O19" s="56"/>
      <c r="P19" s="51"/>
      <c r="Q19" s="52"/>
      <c r="R19" s="52"/>
      <c r="S19" s="52"/>
      <c r="T19" s="52"/>
      <c r="U19" s="53"/>
    </row>
    <row r="20" s="3" customFormat="1" ht="15" customHeight="1" spans="1:21">
      <c r="A20" s="40">
        <v>0.541666666666667</v>
      </c>
      <c r="B20" s="41" t="s">
        <v>11</v>
      </c>
      <c r="C20" s="42"/>
      <c r="D20" s="41" t="s">
        <v>26</v>
      </c>
      <c r="E20" s="42"/>
      <c r="F20" s="41">
        <v>262</v>
      </c>
      <c r="G20" s="42"/>
      <c r="H20" s="43">
        <f t="shared" si="0"/>
        <v>262</v>
      </c>
      <c r="I20" s="44">
        <f t="shared" si="1"/>
        <v>262</v>
      </c>
      <c r="J20" s="45">
        <f t="shared" si="2"/>
        <v>1</v>
      </c>
      <c r="K20" s="46">
        <v>0.541666666666667</v>
      </c>
      <c r="L20" s="47">
        <v>3000</v>
      </c>
      <c r="M20" s="54">
        <v>183.85</v>
      </c>
      <c r="N20" s="49">
        <f t="shared" si="4"/>
        <v>360.000000000014</v>
      </c>
      <c r="O20" s="56"/>
      <c r="P20" s="51"/>
      <c r="Q20" s="52"/>
      <c r="R20" s="52"/>
      <c r="S20" s="52"/>
      <c r="T20" s="52"/>
      <c r="U20" s="53"/>
    </row>
    <row r="21" s="3" customFormat="1" ht="15" customHeight="1" spans="1:21">
      <c r="A21" s="40">
        <v>0.583333333333333</v>
      </c>
      <c r="B21" s="41" t="s">
        <v>11</v>
      </c>
      <c r="C21" s="42"/>
      <c r="D21" s="41">
        <v>357</v>
      </c>
      <c r="E21" s="42"/>
      <c r="F21" s="41" t="s">
        <v>26</v>
      </c>
      <c r="G21" s="42"/>
      <c r="H21" s="43">
        <f t="shared" si="0"/>
        <v>357</v>
      </c>
      <c r="I21" s="44">
        <f t="shared" si="1"/>
        <v>357</v>
      </c>
      <c r="J21" s="45">
        <f t="shared" si="2"/>
        <v>1</v>
      </c>
      <c r="K21" s="46">
        <v>0.583333333333333</v>
      </c>
      <c r="L21" s="47">
        <v>3000</v>
      </c>
      <c r="M21" s="54">
        <v>183.88</v>
      </c>
      <c r="N21" s="49">
        <f t="shared" si="4"/>
        <v>240.000000000123</v>
      </c>
      <c r="O21" s="56"/>
      <c r="P21" s="51"/>
      <c r="Q21" s="52"/>
      <c r="R21" s="52"/>
      <c r="S21" s="52"/>
      <c r="T21" s="52"/>
      <c r="U21" s="53"/>
    </row>
    <row r="22" s="3" customFormat="1" ht="15" customHeight="1" spans="1:21">
      <c r="A22" s="40">
        <v>0.625</v>
      </c>
      <c r="B22" s="41" t="s">
        <v>11</v>
      </c>
      <c r="C22" s="42"/>
      <c r="D22" s="41">
        <v>176</v>
      </c>
      <c r="E22" s="42"/>
      <c r="F22" s="41" t="s">
        <v>26</v>
      </c>
      <c r="G22" s="42"/>
      <c r="H22" s="43">
        <f t="shared" si="0"/>
        <v>176</v>
      </c>
      <c r="I22" s="44">
        <f t="shared" si="1"/>
        <v>176</v>
      </c>
      <c r="J22" s="45">
        <f t="shared" si="2"/>
        <v>1</v>
      </c>
      <c r="K22" s="46">
        <v>0.625</v>
      </c>
      <c r="L22" s="47">
        <v>3000</v>
      </c>
      <c r="M22" s="54">
        <v>183.9</v>
      </c>
      <c r="N22" s="49">
        <f t="shared" si="4"/>
        <v>119.999999999891</v>
      </c>
      <c r="O22" s="56"/>
      <c r="P22" s="51"/>
      <c r="Q22" s="52"/>
      <c r="R22" s="52"/>
      <c r="S22" s="52"/>
      <c r="T22" s="52"/>
      <c r="U22" s="53"/>
    </row>
    <row r="23" s="3" customFormat="1" ht="15" customHeight="1" spans="1:21">
      <c r="A23" s="40">
        <v>0.666666666666667</v>
      </c>
      <c r="B23" s="41" t="s">
        <v>11</v>
      </c>
      <c r="C23" s="42"/>
      <c r="D23" s="41">
        <v>242</v>
      </c>
      <c r="E23" s="42"/>
      <c r="F23" s="41" t="s">
        <v>26</v>
      </c>
      <c r="G23" s="42"/>
      <c r="H23" s="43">
        <f t="shared" si="0"/>
        <v>242</v>
      </c>
      <c r="I23" s="44">
        <f t="shared" si="1"/>
        <v>242</v>
      </c>
      <c r="J23" s="45">
        <f t="shared" si="2"/>
        <v>1</v>
      </c>
      <c r="K23" s="46">
        <v>0.666666666666666</v>
      </c>
      <c r="L23" s="47">
        <v>3000</v>
      </c>
      <c r="M23" s="54">
        <v>183.91</v>
      </c>
      <c r="N23" s="49">
        <f t="shared" si="4"/>
        <v>360.000000000014</v>
      </c>
      <c r="O23" s="56"/>
      <c r="P23" s="51"/>
      <c r="Q23" s="52"/>
      <c r="R23" s="52"/>
      <c r="S23" s="52"/>
      <c r="T23" s="52"/>
      <c r="U23" s="53"/>
    </row>
    <row r="24" s="3" customFormat="1" ht="15" customHeight="1" spans="1:21">
      <c r="A24" s="40">
        <v>0.708333333333334</v>
      </c>
      <c r="B24" s="41" t="s">
        <v>11</v>
      </c>
      <c r="C24" s="42"/>
      <c r="D24" s="41">
        <v>192</v>
      </c>
      <c r="E24" s="42"/>
      <c r="F24" s="41">
        <v>183</v>
      </c>
      <c r="G24" s="42"/>
      <c r="H24" s="43">
        <f t="shared" si="0"/>
        <v>375</v>
      </c>
      <c r="I24" s="44">
        <f t="shared" si="1"/>
        <v>187.5</v>
      </c>
      <c r="J24" s="45">
        <f t="shared" si="2"/>
        <v>2</v>
      </c>
      <c r="K24" s="46">
        <v>0.708333333333333</v>
      </c>
      <c r="L24" s="47">
        <v>2700</v>
      </c>
      <c r="M24" s="54">
        <v>183.94</v>
      </c>
      <c r="N24" s="49">
        <f t="shared" si="4"/>
        <v>479.999999999905</v>
      </c>
      <c r="O24" s="56"/>
      <c r="P24" s="51"/>
      <c r="Q24" s="52"/>
      <c r="R24" s="52"/>
      <c r="S24" s="52"/>
      <c r="T24" s="52"/>
      <c r="U24" s="53"/>
    </row>
    <row r="25" s="3" customFormat="1" ht="15" customHeight="1" spans="1:21">
      <c r="A25" s="40">
        <v>0.75</v>
      </c>
      <c r="B25" s="41" t="s">
        <v>11</v>
      </c>
      <c r="C25" s="42"/>
      <c r="D25" s="41">
        <v>210</v>
      </c>
      <c r="E25" s="42"/>
      <c r="F25" s="41">
        <v>213</v>
      </c>
      <c r="G25" s="42"/>
      <c r="H25" s="43">
        <f t="shared" si="0"/>
        <v>423</v>
      </c>
      <c r="I25" s="44">
        <f t="shared" si="1"/>
        <v>211.5</v>
      </c>
      <c r="J25" s="45">
        <f t="shared" si="2"/>
        <v>2</v>
      </c>
      <c r="K25" s="46">
        <v>0.75</v>
      </c>
      <c r="L25" s="47">
        <v>2400</v>
      </c>
      <c r="M25" s="54">
        <v>183.98</v>
      </c>
      <c r="N25" s="49">
        <f t="shared" si="4"/>
        <v>480.000000000246</v>
      </c>
      <c r="O25" s="56"/>
      <c r="P25" s="51"/>
      <c r="Q25" s="52"/>
      <c r="R25" s="52"/>
      <c r="S25" s="52"/>
      <c r="T25" s="52"/>
      <c r="U25" s="53"/>
    </row>
    <row r="26" s="3" customFormat="1" ht="15" customHeight="1" spans="1:21">
      <c r="A26" s="40">
        <v>0.791666666666667</v>
      </c>
      <c r="B26" s="41" t="s">
        <v>11</v>
      </c>
      <c r="C26" s="42"/>
      <c r="D26" s="41">
        <v>250</v>
      </c>
      <c r="E26" s="42"/>
      <c r="F26" s="41">
        <v>252</v>
      </c>
      <c r="G26" s="42"/>
      <c r="H26" s="43">
        <f t="shared" si="0"/>
        <v>502</v>
      </c>
      <c r="I26" s="44">
        <f t="shared" si="1"/>
        <v>251</v>
      </c>
      <c r="J26" s="45">
        <f t="shared" si="2"/>
        <v>2</v>
      </c>
      <c r="K26" s="46">
        <v>0.791666666666666</v>
      </c>
      <c r="L26" s="47">
        <v>2100</v>
      </c>
      <c r="M26" s="54">
        <v>184.02</v>
      </c>
      <c r="N26" s="49">
        <f t="shared" si="4"/>
        <v>599.999999999795</v>
      </c>
      <c r="O26" s="56"/>
      <c r="P26" s="51"/>
      <c r="Q26" s="52"/>
      <c r="R26" s="52"/>
      <c r="S26" s="52"/>
      <c r="T26" s="52"/>
      <c r="U26" s="53"/>
    </row>
    <row r="27" s="3" customFormat="1" ht="15" customHeight="1" spans="1:21">
      <c r="A27" s="40">
        <v>0.833333333333334</v>
      </c>
      <c r="B27" s="41" t="s">
        <v>11</v>
      </c>
      <c r="C27" s="42"/>
      <c r="D27" s="41">
        <v>288</v>
      </c>
      <c r="E27" s="42"/>
      <c r="F27" s="41">
        <v>271</v>
      </c>
      <c r="G27" s="42"/>
      <c r="H27" s="43">
        <f t="shared" si="0"/>
        <v>559</v>
      </c>
      <c r="I27" s="44">
        <f t="shared" si="1"/>
        <v>279.5</v>
      </c>
      <c r="J27" s="45">
        <f t="shared" si="2"/>
        <v>2</v>
      </c>
      <c r="K27" s="46">
        <v>0.833333333333333</v>
      </c>
      <c r="L27" s="47">
        <v>2100</v>
      </c>
      <c r="M27" s="54">
        <v>184.07</v>
      </c>
      <c r="N27" s="49">
        <f t="shared" si="4"/>
        <v>720.000000000027</v>
      </c>
      <c r="O27" s="56"/>
      <c r="P27" s="51"/>
      <c r="Q27" s="52"/>
      <c r="R27" s="52"/>
      <c r="S27" s="52"/>
      <c r="T27" s="52"/>
      <c r="U27" s="53"/>
    </row>
    <row r="28" s="4" customFormat="1" ht="15" customHeight="1" spans="1:21">
      <c r="A28" s="40">
        <v>0.875</v>
      </c>
      <c r="B28" s="41" t="s">
        <v>11</v>
      </c>
      <c r="C28" s="42"/>
      <c r="D28" s="41">
        <v>282</v>
      </c>
      <c r="E28" s="42"/>
      <c r="F28" s="41">
        <v>294</v>
      </c>
      <c r="G28" s="42"/>
      <c r="H28" s="43">
        <f t="shared" si="0"/>
        <v>576</v>
      </c>
      <c r="I28" s="44">
        <f t="shared" si="1"/>
        <v>288</v>
      </c>
      <c r="J28" s="45">
        <f t="shared" si="2"/>
        <v>2</v>
      </c>
      <c r="K28" s="46">
        <v>0.875</v>
      </c>
      <c r="L28" s="47">
        <v>1800</v>
      </c>
      <c r="M28" s="54">
        <v>184.13</v>
      </c>
      <c r="N28" s="49">
        <f t="shared" si="4"/>
        <v>720.000000000027</v>
      </c>
      <c r="O28" s="56"/>
      <c r="P28" s="51"/>
      <c r="Q28" s="52"/>
      <c r="R28" s="52"/>
      <c r="S28" s="52"/>
      <c r="T28" s="52"/>
      <c r="U28" s="53"/>
    </row>
    <row r="29" s="3" customFormat="1" ht="15" customHeight="1" spans="1:21">
      <c r="A29" s="40">
        <v>0.916666666666667</v>
      </c>
      <c r="B29" s="41" t="s">
        <v>11</v>
      </c>
      <c r="C29" s="42"/>
      <c r="D29" s="41">
        <v>302</v>
      </c>
      <c r="E29" s="42"/>
      <c r="F29" s="41">
        <v>308</v>
      </c>
      <c r="G29" s="42"/>
      <c r="H29" s="43">
        <f t="shared" si="0"/>
        <v>610</v>
      </c>
      <c r="I29" s="44">
        <f t="shared" si="1"/>
        <v>305</v>
      </c>
      <c r="J29" s="45">
        <f t="shared" si="2"/>
        <v>2</v>
      </c>
      <c r="K29" s="46">
        <v>0.916666666666666</v>
      </c>
      <c r="L29" s="47">
        <v>1800</v>
      </c>
      <c r="M29" s="54">
        <v>184.19</v>
      </c>
      <c r="N29" s="49">
        <f t="shared" si="4"/>
        <v>600.000000000136</v>
      </c>
      <c r="O29" s="56"/>
      <c r="P29" s="51"/>
      <c r="Q29" s="52"/>
      <c r="R29" s="52"/>
      <c r="S29" s="52"/>
      <c r="T29" s="52"/>
      <c r="U29" s="53"/>
    </row>
    <row r="30" s="3" customFormat="1" ht="15" customHeight="1" spans="1:21">
      <c r="A30" s="40">
        <v>0.958333333333334</v>
      </c>
      <c r="B30" s="41" t="s">
        <v>11</v>
      </c>
      <c r="C30" s="42"/>
      <c r="D30" s="41">
        <v>280</v>
      </c>
      <c r="E30" s="42"/>
      <c r="F30" s="41">
        <v>285</v>
      </c>
      <c r="G30" s="42"/>
      <c r="H30" s="43">
        <f t="shared" si="0"/>
        <v>565</v>
      </c>
      <c r="I30" s="44">
        <f t="shared" si="1"/>
        <v>282.5</v>
      </c>
      <c r="J30" s="45">
        <f t="shared" si="2"/>
        <v>2</v>
      </c>
      <c r="K30" s="46">
        <v>0.958333333333333</v>
      </c>
      <c r="L30" s="47">
        <v>1800</v>
      </c>
      <c r="M30" s="54">
        <v>184.24</v>
      </c>
      <c r="N30" s="49">
        <f t="shared" si="4"/>
        <v>599.999999999795</v>
      </c>
      <c r="O30" s="56"/>
      <c r="P30" s="51"/>
      <c r="Q30" s="52"/>
      <c r="R30" s="52"/>
      <c r="S30" s="52"/>
      <c r="T30" s="52"/>
      <c r="U30" s="53"/>
    </row>
    <row r="31" s="2" customFormat="1" ht="15" customHeight="1" spans="1:21">
      <c r="A31" s="57">
        <v>1</v>
      </c>
      <c r="B31" s="41" t="s">
        <v>11</v>
      </c>
      <c r="C31" s="42"/>
      <c r="D31" s="41">
        <v>261</v>
      </c>
      <c r="E31" s="42"/>
      <c r="F31" s="41">
        <v>267</v>
      </c>
      <c r="G31" s="42"/>
      <c r="H31" s="43">
        <f t="shared" si="0"/>
        <v>528</v>
      </c>
      <c r="I31" s="58">
        <f t="shared" si="1"/>
        <v>264</v>
      </c>
      <c r="J31" s="59">
        <f t="shared" si="2"/>
        <v>2</v>
      </c>
      <c r="K31" s="60">
        <v>1</v>
      </c>
      <c r="L31" s="47">
        <v>4500</v>
      </c>
      <c r="M31" s="61">
        <v>184.29</v>
      </c>
      <c r="N31" s="49">
        <f>H31</f>
        <v>528</v>
      </c>
      <c r="O31" s="56"/>
      <c r="P31" s="51"/>
      <c r="Q31" s="52"/>
      <c r="R31" s="52"/>
      <c r="S31" s="52"/>
      <c r="T31" s="52"/>
      <c r="U31" s="53"/>
    </row>
    <row r="32" s="3" customFormat="1" ht="23.25" customHeight="1" spans="1:21">
      <c r="A32" s="62" t="s">
        <v>12</v>
      </c>
      <c r="B32" s="63">
        <f>SUM(B8:B31)/1000</f>
        <v>0</v>
      </c>
      <c r="C32" s="64"/>
      <c r="D32" s="63">
        <f>SUM(D8:D31)/1000</f>
        <v>3.058</v>
      </c>
      <c r="E32" s="64"/>
      <c r="F32" s="63">
        <f>SUM(F8:F31)/1000</f>
        <v>5.986</v>
      </c>
      <c r="G32" s="64"/>
      <c r="H32" s="65">
        <f>SUM(H8:H31)</f>
        <v>9044</v>
      </c>
      <c r="I32" s="66" t="s">
        <v>13</v>
      </c>
      <c r="J32" s="67"/>
      <c r="K32" s="68"/>
      <c r="L32" s="69"/>
      <c r="M32" s="70">
        <f>SUM(M31-M8+N8)</f>
        <v>480.799999999904</v>
      </c>
      <c r="N32" s="71">
        <f>SUM(N8:N31)</f>
        <v>10127.9999999998</v>
      </c>
      <c r="O32" s="72">
        <f>SUM(O8:O31)</f>
        <v>0</v>
      </c>
      <c r="P32" s="73"/>
      <c r="Q32" s="74"/>
      <c r="R32" s="74"/>
      <c r="S32" s="74"/>
      <c r="T32" s="74"/>
      <c r="U32" s="75"/>
    </row>
    <row r="33" ht="15" customHeight="1" spans="1:29">
      <c r="A33" s="76" t="s">
        <v>14</v>
      </c>
      <c r="B33" s="77" t="str">
        <f>IFERROR((AVERAGE(B8:B31)),"0")</f>
        <v>0</v>
      </c>
      <c r="C33" s="78"/>
      <c r="D33" s="79">
        <f>IFERROR((AVERAGE(D8:D31)),"0")</f>
        <v>254.833333333333</v>
      </c>
      <c r="E33" s="78"/>
      <c r="F33" s="79">
        <f>IFERROR((AVERAGE(F8:F31)),"0")</f>
        <v>285.047619047619</v>
      </c>
      <c r="G33" s="80"/>
      <c r="H33" s="81">
        <f>H32*1000</f>
        <v>9044000</v>
      </c>
      <c r="I33" s="82" t="s">
        <v>15</v>
      </c>
      <c r="J33" s="83"/>
      <c r="K33" s="84"/>
      <c r="L33" s="85"/>
      <c r="M33" s="86"/>
      <c r="N33" s="85"/>
      <c r="O33" s="87"/>
      <c r="P33" s="87"/>
      <c r="Q33" s="88"/>
      <c r="R33" s="88"/>
      <c r="S33" s="89"/>
      <c r="T33" s="89"/>
      <c r="U33" s="89"/>
      <c r="V33" s="89"/>
    </row>
    <row r="34" ht="18.75" customHeight="1" spans="1:29">
      <c r="A34" s="90"/>
      <c r="B34" s="91"/>
      <c r="C34" s="92"/>
      <c r="D34" s="93"/>
      <c r="E34" s="92"/>
      <c r="F34" s="93"/>
      <c r="G34" s="94"/>
      <c r="H34" s="95"/>
      <c r="I34" s="96"/>
      <c r="J34" s="97"/>
      <c r="K34" s="98"/>
      <c r="L34" s="85"/>
      <c r="M34" s="86"/>
      <c r="N34" s="99"/>
      <c r="O34" s="99"/>
      <c r="P34" s="99"/>
      <c r="Q34" s="99"/>
      <c r="R34" s="88"/>
      <c r="S34" s="89"/>
      <c r="T34" s="89"/>
      <c r="U34" s="89"/>
      <c r="V34" s="89"/>
    </row>
    <row r="35" ht="22.5" customHeight="1" spans="1:29">
      <c r="A35" s="100" t="s">
        <v>16</v>
      </c>
      <c r="B35" s="101">
        <f>COUNT(B8:B31)</f>
        <v>0</v>
      </c>
      <c r="C35" s="102"/>
      <c r="D35" s="103">
        <f>COUNT(D8:D31)</f>
        <v>12</v>
      </c>
      <c r="E35" s="102"/>
      <c r="F35" s="103">
        <f>COUNT(F8:F31)</f>
        <v>21</v>
      </c>
      <c r="G35" s="104"/>
      <c r="H35" s="105"/>
      <c r="I35" s="106"/>
      <c r="J35" s="107"/>
      <c r="K35" s="107"/>
      <c r="L35" s="107"/>
      <c r="M35" s="107"/>
      <c r="N35" s="99"/>
      <c r="O35" s="99"/>
      <c r="P35" s="99"/>
      <c r="Q35" s="99"/>
      <c r="R35" s="108"/>
      <c r="S35" s="89"/>
      <c r="T35" s="89"/>
      <c r="U35" s="89"/>
      <c r="V35" s="89"/>
    </row>
    <row r="36" ht="9" customHeight="1" spans="1:29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10"/>
      <c r="N36" s="106"/>
      <c r="O36" s="107"/>
      <c r="P36" s="107"/>
      <c r="Q36" s="107"/>
      <c r="R36" s="107"/>
      <c r="S36" s="107"/>
      <c r="T36" s="107"/>
      <c r="U36" s="111"/>
      <c r="V36" s="112"/>
      <c r="W36" s="108"/>
      <c r="X36" s="108"/>
      <c r="Y36" s="108"/>
      <c r="Z36" s="89"/>
      <c r="AA36" s="89"/>
      <c r="AB36" s="89"/>
      <c r="AC36" s="89"/>
    </row>
    <row r="37" ht="24" customHeight="1" spans="1:29">
      <c r="D37" s="113"/>
      <c r="E37" s="113"/>
      <c r="F37" s="113"/>
      <c r="G37" s="113"/>
      <c r="H37" s="113"/>
      <c r="I37" s="113"/>
      <c r="J37" s="113"/>
      <c r="K37" s="114"/>
      <c r="L37" s="114"/>
      <c r="N37" s="115" t="s">
        <v>17</v>
      </c>
      <c r="O37" s="116"/>
      <c r="P37" s="116"/>
      <c r="Q37" s="117"/>
      <c r="R37" s="118">
        <f>SUM(B35:F35)</f>
        <v>33</v>
      </c>
      <c r="S37" s="69"/>
      <c r="T37" s="69"/>
      <c r="U37" s="69"/>
      <c r="V37" s="69"/>
      <c r="X37" s="119"/>
      <c r="Y37" s="119"/>
      <c r="Z37" s="119"/>
      <c r="AA37" s="119"/>
      <c r="AB37" s="119"/>
      <c r="AC37" s="114"/>
    </row>
    <row r="38" ht="15" spans="1:29">
      <c r="D38" s="113"/>
      <c r="E38" s="113"/>
      <c r="F38" s="113"/>
      <c r="G38" s="113"/>
      <c r="H38" s="113"/>
      <c r="I38" s="113"/>
      <c r="J38" s="113"/>
      <c r="K38" s="114"/>
      <c r="L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</row>
    <row r="39" ht="24.75" customHeight="1" spans="1:29">
      <c r="A39" s="120" t="s">
        <v>18</v>
      </c>
      <c r="B39" s="121"/>
      <c r="C39" s="122">
        <f>MAX(H8:H31)</f>
        <v>610</v>
      </c>
      <c r="D39" s="123"/>
      <c r="E39" s="124">
        <f>VLOOKUP(C39,H8:L31,4,FALSE)</f>
        <v>0.916666666666666</v>
      </c>
      <c r="F39" s="125"/>
      <c r="G39" s="125"/>
      <c r="H39" s="126" t="s">
        <v>19</v>
      </c>
      <c r="I39" s="127"/>
      <c r="J39" s="128"/>
      <c r="K39" s="129">
        <f>MAX(J8:J31)</f>
        <v>2</v>
      </c>
      <c r="L39" s="130"/>
      <c r="N39" s="131" t="s">
        <v>20</v>
      </c>
      <c r="O39" s="132"/>
      <c r="P39" s="132"/>
      <c r="Q39" s="133"/>
      <c r="R39" s="134">
        <f>AVERAGE(H8:H31)</f>
        <v>376.833333333333</v>
      </c>
      <c r="S39" s="135"/>
      <c r="T39" s="135"/>
    </row>
    <row r="40" ht="15" spans="1:29">
      <c r="C40" s="136"/>
      <c r="D40" s="137"/>
      <c r="E40" s="138"/>
      <c r="F40" s="138"/>
      <c r="G40" s="138"/>
      <c r="H40" s="138"/>
      <c r="I40" s="139"/>
      <c r="J40" s="106"/>
      <c r="K40" s="110"/>
      <c r="L40" s="110"/>
      <c r="N40" s="140"/>
      <c r="O40" s="140"/>
      <c r="P40" s="140"/>
      <c r="Q40" s="140"/>
      <c r="R40" s="140"/>
      <c r="X40" s="5"/>
      <c r="Y40" s="5"/>
      <c r="Z40" s="5"/>
      <c r="AA40" s="5"/>
      <c r="AB40" s="5"/>
      <c r="AC40" s="141"/>
    </row>
    <row r="41" ht="24.75" customHeight="1" spans="1:29">
      <c r="A41" s="120" t="s">
        <v>21</v>
      </c>
      <c r="B41" s="121"/>
      <c r="C41" s="122">
        <f>MIN(H8:H31)</f>
        <v>119</v>
      </c>
      <c r="D41" s="123"/>
      <c r="E41" s="124">
        <f>VLOOKUP(C41,H8:L31,4,FALSE)</f>
        <v>0.125</v>
      </c>
      <c r="F41" s="142"/>
      <c r="G41" s="125"/>
      <c r="H41" s="126" t="s">
        <v>22</v>
      </c>
      <c r="I41" s="127"/>
      <c r="J41" s="128"/>
      <c r="K41" s="129">
        <f>MIN(J8:J31)</f>
        <v>1</v>
      </c>
      <c r="L41" s="130"/>
      <c r="N41" s="126" t="s">
        <v>23</v>
      </c>
      <c r="O41" s="127"/>
      <c r="P41" s="127"/>
      <c r="Q41" s="128"/>
      <c r="R41" s="143">
        <f>AVERAGE(I8:I31)</f>
        <v>281.25</v>
      </c>
      <c r="S41" s="144"/>
      <c r="T41" s="144"/>
      <c r="U41" s="144"/>
      <c r="V41" s="144"/>
      <c r="X41" s="145"/>
    </row>
    <row r="42" ht="15" spans="1:29">
      <c r="D42" s="138"/>
      <c r="E42" s="138"/>
      <c r="F42" s="138"/>
      <c r="G42" s="138"/>
      <c r="H42" s="138"/>
      <c r="I42" s="146"/>
      <c r="J42" s="138"/>
      <c r="K42" s="147"/>
      <c r="L42" s="147"/>
      <c r="V42" s="148"/>
      <c r="W42" s="148"/>
      <c r="X42" s="149"/>
      <c r="Y42" s="149"/>
      <c r="Z42" s="150"/>
      <c r="AA42" s="150"/>
      <c r="AB42" s="150"/>
      <c r="AC42" s="150"/>
    </row>
    <row r="43" ht="24.75" customHeight="1" spans="1:29">
      <c r="C43" s="136"/>
      <c r="H43" s="151"/>
      <c r="I43" s="151"/>
      <c r="J43" s="151"/>
      <c r="K43" s="145"/>
      <c r="L43" s="139"/>
      <c r="N43" s="152" t="s">
        <v>24</v>
      </c>
      <c r="O43" s="153"/>
      <c r="P43" s="153"/>
      <c r="Q43" s="154"/>
      <c r="R43" s="155" t="e">
        <f>AVERAGE(T8:T31)</f>
        <v>#DIV/0!</v>
      </c>
      <c r="X43" s="156"/>
      <c r="Z43" s="157"/>
      <c r="AA43" s="157"/>
      <c r="AB43" s="157"/>
      <c r="AC43" s="157"/>
    </row>
    <row r="44" ht="19.5" spans="1:29">
      <c r="I44" s="158"/>
      <c r="K44" s="159"/>
      <c r="L44" s="159"/>
      <c r="Z44" s="160"/>
      <c r="AA44" s="160"/>
      <c r="AB44" s="160"/>
      <c r="AC44" s="160"/>
    </row>
    <row r="45" ht="24.75" customHeight="1" spans="1:29">
      <c r="D45" s="158"/>
      <c r="E45" s="158"/>
      <c r="F45" s="158"/>
      <c r="G45" s="158"/>
      <c r="H45" s="158"/>
      <c r="N45" s="126" t="s">
        <v>25</v>
      </c>
      <c r="O45" s="127"/>
      <c r="P45" s="127"/>
      <c r="Q45" s="128"/>
      <c r="R45" s="161">
        <f>SUM(M32-H32)/24</f>
        <v>-356.800000000004</v>
      </c>
      <c r="X45" s="162"/>
      <c r="Z45" s="163"/>
      <c r="AA45" s="163"/>
      <c r="AB45" s="163"/>
      <c r="AC45" s="163"/>
    </row>
    <row r="46" spans="1:29">
      <c r="Z46" s="164"/>
      <c r="AA46" s="164"/>
      <c r="AB46" s="164"/>
      <c r="AC46" s="164"/>
    </row>
    <row r="47" spans="1:29">
      <c r="Z47" s="139"/>
      <c r="AA47" s="139"/>
      <c r="AB47" s="139"/>
      <c r="AC47" s="139"/>
    </row>
    <row r="48" spans="1:29">
      <c r="Z48" s="139"/>
      <c r="AA48" s="139"/>
      <c r="AB48" s="139"/>
      <c r="AC48" s="139"/>
    </row>
    <row r="49" spans="11:29">
      <c r="Z49" s="157"/>
      <c r="AA49" s="157"/>
      <c r="AB49" s="157"/>
      <c r="AC49" s="157"/>
    </row>
    <row r="50" spans="11:29">
      <c r="Z50" s="157"/>
      <c r="AA50" s="157"/>
      <c r="AB50" s="157"/>
      <c r="AC50" s="157"/>
    </row>
    <row r="51" spans="11:29">
      <c r="K51" s="150"/>
      <c r="L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0"/>
      <c r="AC51" s="150"/>
    </row>
    <row r="52" spans="11:29">
      <c r="K52" s="150"/>
      <c r="L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  <c r="AB52" s="150"/>
      <c r="AC52" s="150"/>
    </row>
    <row r="53" spans="11:29">
      <c r="K53" s="150"/>
      <c r="L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50"/>
      <c r="AB53" s="150"/>
      <c r="AC53" s="150"/>
    </row>
    <row r="60" spans="11:29">
      <c r="O60" s="165"/>
      <c r="P60" s="165"/>
      <c r="Q60" s="165"/>
      <c r="R60" s="165"/>
      <c r="S60" s="165"/>
      <c r="T60" s="165"/>
    </row>
    <row r="61" spans="11:29">
      <c r="O61" s="165"/>
      <c r="P61" s="165"/>
      <c r="Q61" s="165"/>
      <c r="R61" s="165"/>
      <c r="S61" s="165"/>
      <c r="T61" s="165"/>
    </row>
    <row r="62" spans="11:29">
      <c r="O62" s="165"/>
      <c r="P62" s="165"/>
      <c r="Q62" s="165"/>
      <c r="R62" s="165"/>
      <c r="S62" s="165"/>
      <c r="T62" s="165"/>
    </row>
    <row r="63" spans="11:29">
      <c r="O63" s="165"/>
      <c r="P63" s="165"/>
      <c r="Q63" s="165"/>
      <c r="R63" s="165"/>
      <c r="S63" s="165"/>
      <c r="T63" s="165"/>
    </row>
    <row r="64" spans="11:29">
      <c r="O64" s="165"/>
      <c r="P64" s="165"/>
      <c r="Q64" s="165"/>
      <c r="R64" s="165"/>
      <c r="S64" s="165"/>
      <c r="T64" s="165"/>
    </row>
    <row r="65" spans="15:20">
      <c r="O65" s="165"/>
      <c r="P65" s="165"/>
      <c r="Q65" s="165"/>
      <c r="R65" s="165"/>
      <c r="S65" s="165"/>
      <c r="T65" s="165"/>
    </row>
    <row r="66" spans="15:20">
      <c r="O66" s="165"/>
      <c r="P66" s="165"/>
      <c r="Q66" s="165"/>
      <c r="R66" s="165"/>
      <c r="S66" s="165"/>
      <c r="T66" s="165"/>
    </row>
    <row r="67" spans="15:20">
      <c r="O67" s="165"/>
      <c r="P67" s="165"/>
      <c r="Q67" s="165"/>
      <c r="R67" s="165"/>
      <c r="S67" s="165"/>
      <c r="T67" s="165"/>
    </row>
    <row r="68" spans="15:20">
      <c r="O68" s="165"/>
      <c r="P68" s="165"/>
      <c r="Q68" s="165"/>
      <c r="R68" s="165"/>
      <c r="S68" s="165"/>
      <c r="T68" s="165"/>
    </row>
  </sheetData>
  <mergeCells count="116">
    <mergeCell ref="H4:K4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B29:C29"/>
    <mergeCell ref="D29:E29"/>
    <mergeCell ref="F29:G2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N34:Q34"/>
    <mergeCell ref="B35:C35"/>
    <mergeCell ref="D35:E35"/>
    <mergeCell ref="F35:G35"/>
    <mergeCell ref="N35:Q35"/>
    <mergeCell ref="N37:Q37"/>
    <mergeCell ref="A39:B39"/>
    <mergeCell ref="C39:D39"/>
    <mergeCell ref="H39:J39"/>
    <mergeCell ref="N39:Q39"/>
    <mergeCell ref="A41:B41"/>
    <mergeCell ref="C41:D41"/>
    <mergeCell ref="H41:J41"/>
    <mergeCell ref="N41:Q41"/>
    <mergeCell ref="H43:J43"/>
    <mergeCell ref="N43:Q43"/>
    <mergeCell ref="N45:Q45"/>
    <mergeCell ref="A6:A7"/>
    <mergeCell ref="A33:A34"/>
    <mergeCell ref="H6:H7"/>
    <mergeCell ref="H33:H34"/>
    <mergeCell ref="I6:I7"/>
    <mergeCell ref="I33:I34"/>
    <mergeCell ref="J6:J7"/>
    <mergeCell ref="K6:K7"/>
    <mergeCell ref="L6:L7"/>
    <mergeCell ref="M6:M7"/>
    <mergeCell ref="N6:N7"/>
    <mergeCell ref="O6:O7"/>
    <mergeCell ref="T6:T7"/>
    <mergeCell ref="U6:U7"/>
    <mergeCell ref="B33:C34"/>
    <mergeCell ref="D33:E34"/>
    <mergeCell ref="F33:G34"/>
  </mergeCells>
  <conditionalFormatting sqref="O8">
    <cfRule type="cellIs" dxfId="0" priority="10" operator="equal">
      <formula>"N/A"</formula>
    </cfRule>
  </conditionalFormatting>
  <conditionalFormatting sqref="A30">
    <cfRule type="cellIs" dxfId="1" priority="11" operator="equal">
      <formula>"STB"</formula>
    </cfRule>
    <cfRule type="cellIs" dxfId="0" priority="12" operator="equal">
      <formula>"BD"</formula>
    </cfRule>
  </conditionalFormatting>
  <conditionalFormatting sqref="B8:B31">
    <cfRule type="cellIs" dxfId="1" priority="1" operator="equal">
      <formula>"STB"</formula>
    </cfRule>
    <cfRule type="cellIs" dxfId="0" priority="2" operator="equal">
      <formula>"BD"</formula>
    </cfRule>
  </conditionalFormatting>
  <conditionalFormatting sqref="D8:D31">
    <cfRule type="cellIs" dxfId="1" priority="8" operator="equal">
      <formula>"STB"</formula>
    </cfRule>
    <cfRule type="cellIs" dxfId="0" priority="9" operator="equal">
      <formula>"BD"</formula>
    </cfRule>
  </conditionalFormatting>
  <conditionalFormatting sqref="F8:F31">
    <cfRule type="cellIs" dxfId="1" priority="3" operator="equal">
      <formula>"STB"</formula>
    </cfRule>
    <cfRule type="cellIs" dxfId="0" priority="4" operator="equal">
      <formula>"BD"</formula>
    </cfRule>
  </conditionalFormatting>
  <conditionalFormatting sqref="H8:H31">
    <cfRule type="top10" dxfId="2" priority="5" bottom="1" rank="1"/>
    <cfRule type="top10" dxfId="3" priority="6" rank="1"/>
    <cfRule type="cellIs" dxfId="4" priority="7" stopIfTrue="1" operator="equal">
      <formula>28000</formula>
    </cfRule>
  </conditionalFormatting>
  <conditionalFormatting sqref="H32:H33">
    <cfRule type="top10" dxfId="2" priority="14" bottom="1" rank="1"/>
    <cfRule type="top10" dxfId="3" priority="15" rank="1"/>
    <cfRule type="cellIs" dxfId="4" priority="17" stopIfTrue="1" operator="equal">
      <formula>28000</formula>
    </cfRule>
  </conditionalFormatting>
  <conditionalFormatting sqref="Y8:Y31">
    <cfRule type="containsText" dxfId="5" priority="13" operator="between" text="-">
      <formula>NOT(ISERROR(SEARCH("-",Y8)))</formula>
    </cfRule>
  </conditionalFormatting>
  <conditionalFormatting sqref="N8 N9:O31">
    <cfRule type="cellIs" dxfId="0" priority="16" operator="equal">
      <formula>"BD"</formula>
    </cfRule>
  </conditionalFormatting>
  <pageMargins left="0.7" right="0.7" top="0.75" bottom="0.75" header="0.3" footer="0.3"/>
  <pageSetup paperSize="1" orientation="portrait" verticalDpi="360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C68"/>
  <sheetViews>
    <sheetView zoomScale="80" zoomScaleNormal="80" workbookViewId="0">
      <pane ySplit="7" topLeftCell="A16" activePane="bottomLeft" state="frozen"/>
      <selection/>
      <selection pane="bottomLeft" activeCell="A3" sqref="$A3:$XFD3"/>
    </sheetView>
  </sheetViews>
  <sheetFormatPr defaultColWidth="8.81666666666667" defaultRowHeight="14.25"/>
  <cols>
    <col min="1" max="1" width="16.725" customWidth="1"/>
    <col min="2" max="2" width="8.725" customWidth="1"/>
    <col min="3" max="7" width="5.725" customWidth="1"/>
    <col min="8" max="8" width="14.2666666666667" customWidth="1"/>
    <col min="9" max="9" width="15.1833333333333" customWidth="1"/>
    <col min="10" max="10" width="15.5416666666667" customWidth="1"/>
    <col min="11" max="11" width="7" customWidth="1"/>
    <col min="12" max="12" width="8.54166666666667" customWidth="1"/>
    <col min="13" max="13" width="11.725" style="5" customWidth="1"/>
    <col min="14" max="14" width="17.1833333333333" customWidth="1"/>
    <col min="15" max="15" width="15.45" customWidth="1"/>
    <col min="16" max="16" width="7.45" customWidth="1"/>
    <col min="17" max="17" width="9.54166666666667" customWidth="1"/>
    <col min="18" max="18" width="10" customWidth="1"/>
    <col min="19" max="20" width="9.81666666666667" customWidth="1"/>
    <col min="21" max="21" width="6.725" customWidth="1"/>
    <col min="22" max="22" width="13.8166666666667" customWidth="1"/>
    <col min="23" max="23" width="11.2666666666667" customWidth="1"/>
    <col min="24" max="24" width="9.26666666666667" customWidth="1"/>
    <col min="25" max="25" width="3.725" customWidth="1"/>
    <col min="26" max="29" width="7.725" customWidth="1"/>
    <col min="30" max="30" width="6.725" customWidth="1"/>
  </cols>
  <sheetData>
    <row r="1" ht="3" customHeight="1"/>
    <row r="2" ht="6" customHeight="1" spans="1:2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="1" customFormat="1" ht="6.75" customHeight="1" spans="1:29">
      <c r="K3" s="7"/>
      <c r="L3" s="8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17.25" customHeight="1" spans="1:29">
      <c r="A4" s="1"/>
      <c r="B4" s="10"/>
      <c r="C4" s="10"/>
      <c r="D4" s="10"/>
      <c r="E4" s="11"/>
      <c r="F4" s="11"/>
      <c r="G4" s="11"/>
      <c r="H4" s="12">
        <f>'[30]Taniwel daily'!C4</f>
        <v>45321</v>
      </c>
      <c r="I4" s="13"/>
      <c r="J4" s="13"/>
      <c r="K4" s="14"/>
      <c r="L4" s="15"/>
      <c r="M4" s="16"/>
      <c r="N4" s="10"/>
      <c r="O4" s="10"/>
      <c r="P4" s="10"/>
      <c r="Q4" s="10"/>
      <c r="R4" s="10"/>
      <c r="S4" s="10"/>
      <c r="T4" s="10"/>
      <c r="U4" s="10"/>
      <c r="V4" s="7"/>
      <c r="W4" s="7"/>
      <c r="X4" s="7"/>
      <c r="Y4" s="7"/>
      <c r="Z4" s="7"/>
      <c r="AA4" s="7"/>
      <c r="AB4" s="7"/>
      <c r="AC4" s="7"/>
    </row>
    <row r="5" ht="7.5" customHeight="1" spans="1:29">
      <c r="A5" s="1"/>
      <c r="B5" s="17"/>
      <c r="C5" s="1"/>
      <c r="D5" s="1"/>
      <c r="E5" s="1"/>
      <c r="F5" s="1"/>
      <c r="G5" s="1"/>
      <c r="H5" s="1"/>
      <c r="I5" s="1"/>
      <c r="J5" s="1"/>
      <c r="K5" s="18"/>
      <c r="L5" s="7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ht="17.25" customHeight="1" spans="1:29">
      <c r="A6" s="19" t="s">
        <v>0</v>
      </c>
      <c r="B6" s="20" t="s">
        <v>1</v>
      </c>
      <c r="C6" s="21"/>
      <c r="D6" s="20" t="s">
        <v>2</v>
      </c>
      <c r="E6" s="21"/>
      <c r="F6" s="20" t="s">
        <v>3</v>
      </c>
      <c r="G6" s="21"/>
      <c r="H6" s="22" t="s">
        <v>4</v>
      </c>
      <c r="I6" s="22" t="s">
        <v>5</v>
      </c>
      <c r="J6" s="23" t="s">
        <v>6</v>
      </c>
      <c r="K6" s="19" t="s">
        <v>0</v>
      </c>
      <c r="L6" s="24" t="s">
        <v>7</v>
      </c>
      <c r="M6" s="25" t="s">
        <v>8</v>
      </c>
      <c r="N6" s="26" t="s">
        <v>9</v>
      </c>
      <c r="O6" s="25" t="s">
        <v>10</v>
      </c>
      <c r="P6" s="27"/>
      <c r="Q6" s="28"/>
      <c r="R6" s="28"/>
      <c r="S6" s="28"/>
      <c r="T6" s="28"/>
      <c r="U6" s="29"/>
    </row>
    <row r="7" ht="15.75" customHeight="1" spans="1:29">
      <c r="A7" s="30"/>
      <c r="B7" s="31">
        <v>1</v>
      </c>
      <c r="C7" s="32"/>
      <c r="D7" s="31">
        <v>2</v>
      </c>
      <c r="E7" s="32"/>
      <c r="F7" s="31">
        <v>3</v>
      </c>
      <c r="G7" s="32"/>
      <c r="H7" s="33"/>
      <c r="I7" s="33"/>
      <c r="J7" s="34"/>
      <c r="K7" s="30"/>
      <c r="L7" s="35"/>
      <c r="M7" s="36"/>
      <c r="N7" s="37"/>
      <c r="O7" s="38"/>
      <c r="P7" s="27"/>
      <c r="Q7" s="28"/>
      <c r="R7" s="28"/>
      <c r="S7" s="28"/>
      <c r="T7" s="28"/>
      <c r="U7" s="29"/>
      <c r="X7" s="39"/>
    </row>
    <row r="8" s="2" customFormat="1" ht="15" customHeight="1" spans="1:29">
      <c r="A8" s="40">
        <v>0.0416666666666666</v>
      </c>
      <c r="B8" s="41" t="s">
        <v>11</v>
      </c>
      <c r="C8" s="42"/>
      <c r="D8" s="41">
        <v>233</v>
      </c>
      <c r="E8" s="42"/>
      <c r="F8" s="41">
        <v>257</v>
      </c>
      <c r="G8" s="42"/>
      <c r="H8" s="43">
        <f t="shared" ref="H8:H31" si="0">IF(SUM(B8:G8)/1000=0,"0",SUM(B8:G8))</f>
        <v>490</v>
      </c>
      <c r="I8" s="44">
        <f t="shared" ref="I8:I31" si="1">IFERROR(AVERAGE(B8:G8),"0")</f>
        <v>245</v>
      </c>
      <c r="J8" s="45">
        <f t="shared" ref="J8:J31" si="2">COUNT(B8:G8)</f>
        <v>2</v>
      </c>
      <c r="K8" s="46">
        <v>0.0416666666666667</v>
      </c>
      <c r="L8" s="47">
        <v>4500</v>
      </c>
      <c r="M8" s="166">
        <v>184.34</v>
      </c>
      <c r="N8" s="49">
        <f>(M9-M8)*12000</f>
        <v>599.999999999795</v>
      </c>
      <c r="O8" s="50"/>
      <c r="P8" s="51"/>
      <c r="Q8" s="52"/>
      <c r="R8" s="52"/>
      <c r="S8" s="52"/>
      <c r="T8" s="52"/>
      <c r="U8" s="53"/>
    </row>
    <row r="9" s="3" customFormat="1" ht="15" customHeight="1" spans="1:29">
      <c r="A9" s="40">
        <v>0.0833333333333333</v>
      </c>
      <c r="B9" s="41" t="s">
        <v>11</v>
      </c>
      <c r="C9" s="42"/>
      <c r="D9" s="41">
        <v>236</v>
      </c>
      <c r="E9" s="42"/>
      <c r="F9" s="41">
        <v>243</v>
      </c>
      <c r="G9" s="42"/>
      <c r="H9" s="43">
        <f t="shared" si="0"/>
        <v>479</v>
      </c>
      <c r="I9" s="44">
        <f t="shared" si="1"/>
        <v>239.5</v>
      </c>
      <c r="J9" s="45">
        <f t="shared" si="2"/>
        <v>2</v>
      </c>
      <c r="K9" s="46">
        <v>0.0833333333333333</v>
      </c>
      <c r="L9" s="47">
        <v>4200</v>
      </c>
      <c r="M9" s="167">
        <v>184.39</v>
      </c>
      <c r="N9" s="49">
        <f t="shared" ref="N9:N15" si="3">(M10-M9)*12000</f>
        <v>240.000000000123</v>
      </c>
      <c r="O9" s="55"/>
      <c r="P9" s="51"/>
      <c r="Q9" s="52"/>
      <c r="R9" s="52"/>
      <c r="S9" s="52"/>
      <c r="T9" s="52"/>
      <c r="U9" s="53"/>
    </row>
    <row r="10" s="3" customFormat="1" ht="15" customHeight="1" spans="1:29">
      <c r="A10" s="40">
        <v>0.125</v>
      </c>
      <c r="B10" s="41" t="s">
        <v>11</v>
      </c>
      <c r="C10" s="42"/>
      <c r="D10" s="41">
        <v>367</v>
      </c>
      <c r="E10" s="42"/>
      <c r="F10" s="41" t="s">
        <v>26</v>
      </c>
      <c r="G10" s="42"/>
      <c r="H10" s="43">
        <f t="shared" si="0"/>
        <v>367</v>
      </c>
      <c r="I10" s="44">
        <f t="shared" si="1"/>
        <v>367</v>
      </c>
      <c r="J10" s="45">
        <f t="shared" si="2"/>
        <v>1</v>
      </c>
      <c r="K10" s="46">
        <v>0.125</v>
      </c>
      <c r="L10" s="47">
        <v>4200</v>
      </c>
      <c r="M10" s="167">
        <v>184.41</v>
      </c>
      <c r="N10" s="49">
        <f t="shared" si="3"/>
        <v>600.000000000136</v>
      </c>
      <c r="O10" s="56"/>
      <c r="P10" s="51"/>
      <c r="Q10" s="52"/>
      <c r="R10" s="52"/>
      <c r="S10" s="52"/>
      <c r="T10" s="52"/>
      <c r="U10" s="53"/>
    </row>
    <row r="11" s="3" customFormat="1" ht="15" customHeight="1" spans="1:29">
      <c r="A11" s="40">
        <v>0.166666666666667</v>
      </c>
      <c r="B11" s="41" t="s">
        <v>11</v>
      </c>
      <c r="C11" s="42"/>
      <c r="D11" s="41">
        <v>342</v>
      </c>
      <c r="E11" s="42"/>
      <c r="F11" s="41" t="s">
        <v>26</v>
      </c>
      <c r="G11" s="42"/>
      <c r="H11" s="43">
        <f t="shared" si="0"/>
        <v>342</v>
      </c>
      <c r="I11" s="44">
        <f t="shared" si="1"/>
        <v>342</v>
      </c>
      <c r="J11" s="45">
        <f t="shared" si="2"/>
        <v>1</v>
      </c>
      <c r="K11" s="46">
        <v>0.166666666666667</v>
      </c>
      <c r="L11" s="47">
        <v>4000</v>
      </c>
      <c r="M11" s="167">
        <v>184.46</v>
      </c>
      <c r="N11" s="49">
        <f t="shared" si="3"/>
        <v>479.999999999905</v>
      </c>
      <c r="O11" s="56"/>
      <c r="P11" s="51"/>
      <c r="Q11" s="52"/>
      <c r="R11" s="52"/>
      <c r="S11" s="52"/>
      <c r="T11" s="52"/>
      <c r="U11" s="53"/>
    </row>
    <row r="12" s="3" customFormat="1" ht="15" customHeight="1" spans="1:29">
      <c r="A12" s="40">
        <v>0.208333333333333</v>
      </c>
      <c r="B12" s="41" t="s">
        <v>11</v>
      </c>
      <c r="C12" s="42"/>
      <c r="D12" s="41">
        <v>340</v>
      </c>
      <c r="E12" s="42"/>
      <c r="F12" s="41" t="s">
        <v>26</v>
      </c>
      <c r="G12" s="42"/>
      <c r="H12" s="43">
        <f t="shared" si="0"/>
        <v>340</v>
      </c>
      <c r="I12" s="44">
        <f t="shared" si="1"/>
        <v>340</v>
      </c>
      <c r="J12" s="45">
        <f t="shared" si="2"/>
        <v>1</v>
      </c>
      <c r="K12" s="46">
        <v>0.208333333333333</v>
      </c>
      <c r="L12" s="47">
        <v>3900</v>
      </c>
      <c r="M12" s="167">
        <v>184.5</v>
      </c>
      <c r="N12" s="49">
        <f t="shared" si="3"/>
        <v>240.000000000123</v>
      </c>
      <c r="O12" s="56"/>
      <c r="P12" s="51"/>
      <c r="Q12" s="52"/>
      <c r="R12" s="52"/>
      <c r="S12" s="52"/>
      <c r="T12" s="52"/>
      <c r="U12" s="53"/>
    </row>
    <row r="13" s="3" customFormat="1" ht="15" customHeight="1" spans="1:29">
      <c r="A13" s="40">
        <v>0.25</v>
      </c>
      <c r="B13" s="41" t="s">
        <v>11</v>
      </c>
      <c r="C13" s="42"/>
      <c r="D13" s="41">
        <v>363</v>
      </c>
      <c r="E13" s="42"/>
      <c r="F13" s="41" t="s">
        <v>26</v>
      </c>
      <c r="G13" s="42"/>
      <c r="H13" s="43">
        <f t="shared" si="0"/>
        <v>363</v>
      </c>
      <c r="I13" s="44">
        <f t="shared" si="1"/>
        <v>363</v>
      </c>
      <c r="J13" s="45">
        <f t="shared" si="2"/>
        <v>1</v>
      </c>
      <c r="K13" s="46">
        <v>0.25</v>
      </c>
      <c r="L13" s="47">
        <v>3600</v>
      </c>
      <c r="M13" s="167">
        <v>184.52</v>
      </c>
      <c r="N13" s="49">
        <f t="shared" si="3"/>
        <v>599.999999999795</v>
      </c>
      <c r="O13" s="56"/>
      <c r="P13" s="51"/>
      <c r="Q13" s="52"/>
      <c r="R13" s="52"/>
      <c r="S13" s="52"/>
      <c r="T13" s="52"/>
      <c r="U13" s="53"/>
    </row>
    <row r="14" s="3" customFormat="1" ht="15" customHeight="1" spans="1:29">
      <c r="A14" s="40">
        <v>0.291666666666667</v>
      </c>
      <c r="B14" s="41" t="s">
        <v>11</v>
      </c>
      <c r="C14" s="42"/>
      <c r="D14" s="41">
        <v>264</v>
      </c>
      <c r="E14" s="42"/>
      <c r="F14" s="41">
        <v>288</v>
      </c>
      <c r="G14" s="42"/>
      <c r="H14" s="43">
        <f t="shared" si="0"/>
        <v>552</v>
      </c>
      <c r="I14" s="44">
        <f t="shared" si="1"/>
        <v>276</v>
      </c>
      <c r="J14" s="45">
        <f t="shared" si="2"/>
        <v>2</v>
      </c>
      <c r="K14" s="46">
        <v>0.291666666666667</v>
      </c>
      <c r="L14" s="47">
        <v>3600</v>
      </c>
      <c r="M14" s="167">
        <v>184.57</v>
      </c>
      <c r="N14" s="49">
        <f t="shared" si="3"/>
        <v>600.000000000136</v>
      </c>
      <c r="O14" s="56"/>
      <c r="P14" s="51"/>
      <c r="Q14" s="52"/>
      <c r="R14" s="52"/>
      <c r="S14" s="52"/>
      <c r="T14" s="52"/>
      <c r="U14" s="53"/>
    </row>
    <row r="15" s="3" customFormat="1" ht="15" customHeight="1" spans="1:29">
      <c r="A15" s="40">
        <v>0.333333333333333</v>
      </c>
      <c r="B15" s="41" t="s">
        <v>11</v>
      </c>
      <c r="C15" s="42"/>
      <c r="D15" s="41">
        <v>274</v>
      </c>
      <c r="E15" s="42"/>
      <c r="F15" s="41">
        <v>249</v>
      </c>
      <c r="G15" s="42"/>
      <c r="H15" s="43">
        <f t="shared" si="0"/>
        <v>523</v>
      </c>
      <c r="I15" s="44">
        <f t="shared" si="1"/>
        <v>261.5</v>
      </c>
      <c r="J15" s="45">
        <f t="shared" si="2"/>
        <v>2</v>
      </c>
      <c r="K15" s="46">
        <v>0.333333333333333</v>
      </c>
      <c r="L15" s="47">
        <v>3600</v>
      </c>
      <c r="M15" s="167">
        <v>184.62</v>
      </c>
      <c r="N15" s="49">
        <f t="shared" si="3"/>
        <v>360.000000000014</v>
      </c>
      <c r="O15" s="56"/>
      <c r="P15" s="51"/>
      <c r="Q15" s="52"/>
      <c r="R15" s="52"/>
      <c r="S15" s="52"/>
      <c r="T15" s="52"/>
      <c r="U15" s="53"/>
    </row>
    <row r="16" s="3" customFormat="1" ht="15" customHeight="1" spans="1:29">
      <c r="A16" s="40">
        <v>0.375</v>
      </c>
      <c r="B16" s="41" t="s">
        <v>11</v>
      </c>
      <c r="C16" s="42"/>
      <c r="D16" s="41">
        <v>244</v>
      </c>
      <c r="E16" s="42"/>
      <c r="F16" s="41">
        <v>233</v>
      </c>
      <c r="G16" s="42"/>
      <c r="H16" s="43">
        <f t="shared" si="0"/>
        <v>477</v>
      </c>
      <c r="I16" s="44">
        <f t="shared" si="1"/>
        <v>238.5</v>
      </c>
      <c r="J16" s="45">
        <f t="shared" si="2"/>
        <v>2</v>
      </c>
      <c r="K16" s="46">
        <v>0.375</v>
      </c>
      <c r="L16" s="47">
        <v>3600</v>
      </c>
      <c r="M16" s="167">
        <v>184.65</v>
      </c>
      <c r="N16" s="49">
        <f t="shared" ref="N16:N30" si="4">(M17-M16)*12000</f>
        <v>599.999999999795</v>
      </c>
      <c r="O16" s="56"/>
      <c r="P16" s="51"/>
      <c r="Q16" s="52"/>
      <c r="R16" s="52"/>
      <c r="S16" s="52"/>
      <c r="T16" s="52"/>
      <c r="U16" s="53"/>
    </row>
    <row r="17" s="3" customFormat="1" ht="15" customHeight="1" spans="1:21">
      <c r="A17" s="40">
        <v>0.416666666666667</v>
      </c>
      <c r="B17" s="41" t="s">
        <v>11</v>
      </c>
      <c r="C17" s="42"/>
      <c r="D17" s="41">
        <v>243</v>
      </c>
      <c r="E17" s="42"/>
      <c r="F17" s="41">
        <v>231</v>
      </c>
      <c r="G17" s="42"/>
      <c r="H17" s="43">
        <f t="shared" si="0"/>
        <v>474</v>
      </c>
      <c r="I17" s="44">
        <f t="shared" si="1"/>
        <v>237</v>
      </c>
      <c r="J17" s="45">
        <f t="shared" si="2"/>
        <v>2</v>
      </c>
      <c r="K17" s="46">
        <v>0.416666666666666</v>
      </c>
      <c r="L17" s="47">
        <v>3400</v>
      </c>
      <c r="M17" s="167">
        <v>184.7</v>
      </c>
      <c r="N17" s="49">
        <f t="shared" si="4"/>
        <v>600.000000000136</v>
      </c>
      <c r="O17" s="56"/>
      <c r="P17" s="51"/>
      <c r="Q17" s="52"/>
      <c r="R17" s="52"/>
      <c r="S17" s="52"/>
      <c r="T17" s="52"/>
      <c r="U17" s="53"/>
    </row>
    <row r="18" s="3" customFormat="1" ht="15" customHeight="1" spans="1:21">
      <c r="A18" s="40">
        <v>0.458333333333333</v>
      </c>
      <c r="B18" s="41" t="s">
        <v>11</v>
      </c>
      <c r="C18" s="42"/>
      <c r="D18" s="41">
        <v>238</v>
      </c>
      <c r="E18" s="42"/>
      <c r="F18" s="41">
        <v>247</v>
      </c>
      <c r="G18" s="42"/>
      <c r="H18" s="43">
        <f t="shared" si="0"/>
        <v>485</v>
      </c>
      <c r="I18" s="44">
        <f t="shared" si="1"/>
        <v>242.5</v>
      </c>
      <c r="J18" s="45">
        <f t="shared" si="2"/>
        <v>2</v>
      </c>
      <c r="K18" s="46">
        <v>0.458333333333333</v>
      </c>
      <c r="L18" s="47">
        <v>3300</v>
      </c>
      <c r="M18" s="167">
        <v>184.75</v>
      </c>
      <c r="N18" s="49">
        <f t="shared" si="4"/>
        <v>479.999999999905</v>
      </c>
      <c r="O18" s="56"/>
      <c r="P18" s="51"/>
      <c r="Q18" s="52"/>
      <c r="R18" s="52"/>
      <c r="S18" s="52"/>
      <c r="T18" s="52"/>
      <c r="U18" s="53"/>
    </row>
    <row r="19" s="3" customFormat="1" ht="15" customHeight="1" spans="1:21">
      <c r="A19" s="40">
        <v>0.5</v>
      </c>
      <c r="B19" s="41" t="s">
        <v>11</v>
      </c>
      <c r="C19" s="42"/>
      <c r="D19" s="41">
        <v>229</v>
      </c>
      <c r="E19" s="42"/>
      <c r="F19" s="41">
        <v>223</v>
      </c>
      <c r="G19" s="42"/>
      <c r="H19" s="43">
        <f t="shared" si="0"/>
        <v>452</v>
      </c>
      <c r="I19" s="44">
        <f t="shared" si="1"/>
        <v>226</v>
      </c>
      <c r="J19" s="45">
        <f t="shared" si="2"/>
        <v>2</v>
      </c>
      <c r="K19" s="46">
        <v>0.5</v>
      </c>
      <c r="L19" s="47">
        <v>3300</v>
      </c>
      <c r="M19" s="167">
        <v>184.79</v>
      </c>
      <c r="N19" s="49">
        <f t="shared" si="4"/>
        <v>480.000000000246</v>
      </c>
      <c r="O19" s="56"/>
      <c r="P19" s="51"/>
      <c r="Q19" s="52"/>
      <c r="R19" s="52"/>
      <c r="S19" s="52"/>
      <c r="T19" s="52"/>
      <c r="U19" s="53"/>
    </row>
    <row r="20" s="3" customFormat="1" ht="15" customHeight="1" spans="1:21">
      <c r="A20" s="40">
        <v>0.541666666666667</v>
      </c>
      <c r="B20" s="41" t="s">
        <v>11</v>
      </c>
      <c r="C20" s="42"/>
      <c r="D20" s="41">
        <v>225</v>
      </c>
      <c r="E20" s="42"/>
      <c r="F20" s="41">
        <v>228</v>
      </c>
      <c r="G20" s="42"/>
      <c r="H20" s="43">
        <f t="shared" si="0"/>
        <v>453</v>
      </c>
      <c r="I20" s="44">
        <f t="shared" si="1"/>
        <v>226.5</v>
      </c>
      <c r="J20" s="45">
        <f t="shared" si="2"/>
        <v>2</v>
      </c>
      <c r="K20" s="46">
        <v>0.541666666666667</v>
      </c>
      <c r="L20" s="47">
        <v>3000</v>
      </c>
      <c r="M20" s="167">
        <v>184.83</v>
      </c>
      <c r="N20" s="49">
        <f t="shared" si="4"/>
        <v>479.999999999905</v>
      </c>
      <c r="O20" s="56"/>
      <c r="P20" s="51"/>
      <c r="Q20" s="52"/>
      <c r="R20" s="52"/>
      <c r="S20" s="52"/>
      <c r="T20" s="52"/>
      <c r="U20" s="53"/>
    </row>
    <row r="21" s="3" customFormat="1" ht="15" customHeight="1" spans="1:21">
      <c r="A21" s="40">
        <v>0.583333333333333</v>
      </c>
      <c r="B21" s="41" t="s">
        <v>11</v>
      </c>
      <c r="C21" s="42"/>
      <c r="D21" s="41">
        <v>431</v>
      </c>
      <c r="E21" s="42"/>
      <c r="F21" s="41" t="s">
        <v>26</v>
      </c>
      <c r="G21" s="42"/>
      <c r="H21" s="43">
        <f t="shared" si="0"/>
        <v>431</v>
      </c>
      <c r="I21" s="44">
        <f t="shared" si="1"/>
        <v>431</v>
      </c>
      <c r="J21" s="45">
        <f t="shared" si="2"/>
        <v>1</v>
      </c>
      <c r="K21" s="46">
        <v>0.583333333333333</v>
      </c>
      <c r="L21" s="47">
        <v>3000</v>
      </c>
      <c r="M21" s="167">
        <v>184.87</v>
      </c>
      <c r="N21" s="49">
        <f t="shared" si="4"/>
        <v>599.999999999795</v>
      </c>
      <c r="O21" s="56"/>
      <c r="P21" s="51"/>
      <c r="Q21" s="52"/>
      <c r="R21" s="52"/>
      <c r="S21" s="52"/>
      <c r="T21" s="52"/>
      <c r="U21" s="53"/>
    </row>
    <row r="22" s="3" customFormat="1" ht="15" customHeight="1" spans="1:21">
      <c r="A22" s="40">
        <v>0.625</v>
      </c>
      <c r="B22" s="41" t="s">
        <v>11</v>
      </c>
      <c r="C22" s="42"/>
      <c r="D22" s="41">
        <v>436</v>
      </c>
      <c r="E22" s="42"/>
      <c r="F22" s="41" t="s">
        <v>26</v>
      </c>
      <c r="G22" s="42"/>
      <c r="H22" s="43">
        <f t="shared" si="0"/>
        <v>436</v>
      </c>
      <c r="I22" s="44">
        <f t="shared" si="1"/>
        <v>436</v>
      </c>
      <c r="J22" s="45">
        <f t="shared" si="2"/>
        <v>1</v>
      </c>
      <c r="K22" s="46">
        <v>0.625</v>
      </c>
      <c r="L22" s="47">
        <v>3000</v>
      </c>
      <c r="M22" s="167">
        <v>184.92</v>
      </c>
      <c r="N22" s="49">
        <f t="shared" si="4"/>
        <v>480.000000000246</v>
      </c>
      <c r="O22" s="56"/>
      <c r="P22" s="51"/>
      <c r="Q22" s="52"/>
      <c r="R22" s="52"/>
      <c r="S22" s="52"/>
      <c r="T22" s="52"/>
      <c r="U22" s="53"/>
    </row>
    <row r="23" s="3" customFormat="1" ht="15" customHeight="1" spans="1:21">
      <c r="A23" s="40">
        <v>0.666666666666667</v>
      </c>
      <c r="B23" s="41" t="s">
        <v>11</v>
      </c>
      <c r="C23" s="42"/>
      <c r="D23" s="41">
        <v>432</v>
      </c>
      <c r="E23" s="42"/>
      <c r="F23" s="41" t="s">
        <v>26</v>
      </c>
      <c r="G23" s="42"/>
      <c r="H23" s="43">
        <f t="shared" si="0"/>
        <v>432</v>
      </c>
      <c r="I23" s="44">
        <f t="shared" si="1"/>
        <v>432</v>
      </c>
      <c r="J23" s="45">
        <f t="shared" si="2"/>
        <v>1</v>
      </c>
      <c r="K23" s="46">
        <v>0.666666666666666</v>
      </c>
      <c r="L23" s="47">
        <v>3000</v>
      </c>
      <c r="M23" s="167">
        <v>184.96</v>
      </c>
      <c r="N23" s="49">
        <f t="shared" si="4"/>
        <v>479.999999999905</v>
      </c>
      <c r="O23" s="56"/>
      <c r="P23" s="51"/>
      <c r="Q23" s="52"/>
      <c r="R23" s="52"/>
      <c r="S23" s="52"/>
      <c r="T23" s="52"/>
      <c r="U23" s="53"/>
    </row>
    <row r="24" s="3" customFormat="1" ht="15" customHeight="1" spans="1:21">
      <c r="A24" s="40">
        <v>0.708333333333334</v>
      </c>
      <c r="B24" s="41" t="s">
        <v>11</v>
      </c>
      <c r="C24" s="42"/>
      <c r="D24" s="41">
        <v>446</v>
      </c>
      <c r="E24" s="42"/>
      <c r="F24" s="41" t="s">
        <v>26</v>
      </c>
      <c r="G24" s="42"/>
      <c r="H24" s="43">
        <f t="shared" si="0"/>
        <v>446</v>
      </c>
      <c r="I24" s="44">
        <f t="shared" si="1"/>
        <v>446</v>
      </c>
      <c r="J24" s="45">
        <f t="shared" si="2"/>
        <v>1</v>
      </c>
      <c r="K24" s="46">
        <v>0.708333333333333</v>
      </c>
      <c r="L24" s="47">
        <v>2700</v>
      </c>
      <c r="M24" s="167">
        <v>185</v>
      </c>
      <c r="N24" s="49">
        <f t="shared" si="4"/>
        <v>479.999999999905</v>
      </c>
      <c r="O24" s="56"/>
      <c r="P24" s="51"/>
      <c r="Q24" s="52"/>
      <c r="R24" s="52"/>
      <c r="S24" s="52"/>
      <c r="T24" s="52"/>
      <c r="U24" s="53"/>
    </row>
    <row r="25" s="3" customFormat="1" ht="15" customHeight="1" spans="1:21">
      <c r="A25" s="40">
        <v>0.75</v>
      </c>
      <c r="B25" s="41" t="s">
        <v>11</v>
      </c>
      <c r="C25" s="42"/>
      <c r="D25" s="41">
        <v>226</v>
      </c>
      <c r="E25" s="42"/>
      <c r="F25" s="41">
        <v>227</v>
      </c>
      <c r="G25" s="42"/>
      <c r="H25" s="43">
        <f t="shared" si="0"/>
        <v>453</v>
      </c>
      <c r="I25" s="44">
        <f t="shared" si="1"/>
        <v>226.5</v>
      </c>
      <c r="J25" s="45">
        <f t="shared" si="2"/>
        <v>2</v>
      </c>
      <c r="K25" s="46">
        <v>0.75</v>
      </c>
      <c r="L25" s="47">
        <v>2400</v>
      </c>
      <c r="M25" s="167">
        <v>185.04</v>
      </c>
      <c r="N25" s="49">
        <f t="shared" si="4"/>
        <v>600.000000000136</v>
      </c>
      <c r="O25" s="56"/>
      <c r="P25" s="51"/>
      <c r="Q25" s="52"/>
      <c r="R25" s="52"/>
      <c r="S25" s="52"/>
      <c r="T25" s="52"/>
      <c r="U25" s="53"/>
    </row>
    <row r="26" s="3" customFormat="1" ht="15" customHeight="1" spans="1:21">
      <c r="A26" s="40">
        <v>0.791666666666667</v>
      </c>
      <c r="B26" s="41" t="s">
        <v>11</v>
      </c>
      <c r="C26" s="42"/>
      <c r="D26" s="41">
        <v>302</v>
      </c>
      <c r="E26" s="42"/>
      <c r="F26" s="41">
        <v>319</v>
      </c>
      <c r="G26" s="42"/>
      <c r="H26" s="43">
        <f t="shared" si="0"/>
        <v>621</v>
      </c>
      <c r="I26" s="44">
        <f t="shared" si="1"/>
        <v>310.5</v>
      </c>
      <c r="J26" s="45">
        <f t="shared" si="2"/>
        <v>2</v>
      </c>
      <c r="K26" s="46">
        <v>0.791666666666666</v>
      </c>
      <c r="L26" s="47">
        <v>2100</v>
      </c>
      <c r="M26" s="167">
        <v>185.09</v>
      </c>
      <c r="N26" s="49">
        <f t="shared" si="4"/>
        <v>839.999999999918</v>
      </c>
      <c r="O26" s="56"/>
      <c r="P26" s="51"/>
      <c r="Q26" s="52"/>
      <c r="R26" s="52"/>
      <c r="S26" s="52"/>
      <c r="T26" s="52"/>
      <c r="U26" s="53"/>
    </row>
    <row r="27" s="3" customFormat="1" ht="15" customHeight="1" spans="1:21">
      <c r="A27" s="40">
        <v>0.833333333333334</v>
      </c>
      <c r="B27" s="41" t="s">
        <v>11</v>
      </c>
      <c r="C27" s="42"/>
      <c r="D27" s="41">
        <v>356</v>
      </c>
      <c r="E27" s="42"/>
      <c r="F27" s="41">
        <v>368</v>
      </c>
      <c r="G27" s="42"/>
      <c r="H27" s="43">
        <f t="shared" si="0"/>
        <v>724</v>
      </c>
      <c r="I27" s="44">
        <f t="shared" si="1"/>
        <v>362</v>
      </c>
      <c r="J27" s="45">
        <f t="shared" si="2"/>
        <v>2</v>
      </c>
      <c r="K27" s="46">
        <v>0.833333333333333</v>
      </c>
      <c r="L27" s="47">
        <v>2100</v>
      </c>
      <c r="M27" s="167">
        <v>185.16</v>
      </c>
      <c r="N27" s="49">
        <f t="shared" si="4"/>
        <v>720.000000000027</v>
      </c>
      <c r="O27" s="56"/>
      <c r="P27" s="51"/>
      <c r="Q27" s="52"/>
      <c r="R27" s="52"/>
      <c r="S27" s="52"/>
      <c r="T27" s="52"/>
      <c r="U27" s="53"/>
    </row>
    <row r="28" s="4" customFormat="1" ht="15" customHeight="1" spans="1:21">
      <c r="A28" s="40">
        <v>0.875</v>
      </c>
      <c r="B28" s="41" t="s">
        <v>11</v>
      </c>
      <c r="C28" s="42"/>
      <c r="D28" s="41">
        <v>328</v>
      </c>
      <c r="E28" s="42"/>
      <c r="F28" s="41">
        <v>314</v>
      </c>
      <c r="G28" s="42"/>
      <c r="H28" s="43">
        <f t="shared" si="0"/>
        <v>642</v>
      </c>
      <c r="I28" s="44">
        <f t="shared" si="1"/>
        <v>321</v>
      </c>
      <c r="J28" s="45">
        <f t="shared" si="2"/>
        <v>2</v>
      </c>
      <c r="K28" s="46">
        <v>0.875</v>
      </c>
      <c r="L28" s="47">
        <v>1800</v>
      </c>
      <c r="M28" s="167">
        <v>185.22</v>
      </c>
      <c r="N28" s="49">
        <f t="shared" si="4"/>
        <v>839.999999999918</v>
      </c>
      <c r="O28" s="56"/>
      <c r="P28" s="51"/>
      <c r="Q28" s="52"/>
      <c r="R28" s="52"/>
      <c r="S28" s="52"/>
      <c r="T28" s="52"/>
      <c r="U28" s="53"/>
    </row>
    <row r="29" s="3" customFormat="1" ht="15" customHeight="1" spans="1:21">
      <c r="A29" s="40">
        <v>0.916666666666667</v>
      </c>
      <c r="B29" s="41" t="s">
        <v>11</v>
      </c>
      <c r="C29" s="42"/>
      <c r="D29" s="41">
        <v>300</v>
      </c>
      <c r="E29" s="42"/>
      <c r="F29" s="41">
        <v>301</v>
      </c>
      <c r="G29" s="42"/>
      <c r="H29" s="43">
        <f t="shared" si="0"/>
        <v>601</v>
      </c>
      <c r="I29" s="44">
        <f t="shared" si="1"/>
        <v>300.5</v>
      </c>
      <c r="J29" s="45">
        <f t="shared" si="2"/>
        <v>2</v>
      </c>
      <c r="K29" s="46">
        <v>0.916666666666666</v>
      </c>
      <c r="L29" s="47">
        <v>1800</v>
      </c>
      <c r="M29" s="167">
        <v>185.29</v>
      </c>
      <c r="N29" s="49">
        <f t="shared" si="4"/>
        <v>600.000000000136</v>
      </c>
      <c r="O29" s="56"/>
      <c r="P29" s="51"/>
      <c r="Q29" s="52"/>
      <c r="R29" s="52"/>
      <c r="S29" s="52"/>
      <c r="T29" s="52"/>
      <c r="U29" s="53"/>
    </row>
    <row r="30" s="3" customFormat="1" ht="15" customHeight="1" spans="1:21">
      <c r="A30" s="40">
        <v>0.958333333333334</v>
      </c>
      <c r="B30" s="41" t="s">
        <v>11</v>
      </c>
      <c r="C30" s="42"/>
      <c r="D30" s="41">
        <v>287</v>
      </c>
      <c r="E30" s="42"/>
      <c r="F30" s="41">
        <v>277</v>
      </c>
      <c r="G30" s="42"/>
      <c r="H30" s="43">
        <f t="shared" si="0"/>
        <v>564</v>
      </c>
      <c r="I30" s="44">
        <f t="shared" si="1"/>
        <v>282</v>
      </c>
      <c r="J30" s="45">
        <f t="shared" si="2"/>
        <v>2</v>
      </c>
      <c r="K30" s="46">
        <v>0.958333333333333</v>
      </c>
      <c r="L30" s="47">
        <v>1800</v>
      </c>
      <c r="M30" s="167">
        <v>185.34</v>
      </c>
      <c r="N30" s="49">
        <f t="shared" si="4"/>
        <v>599.999999999795</v>
      </c>
      <c r="O30" s="56"/>
      <c r="P30" s="51"/>
      <c r="Q30" s="52"/>
      <c r="R30" s="52"/>
      <c r="S30" s="52"/>
      <c r="T30" s="52"/>
      <c r="U30" s="53"/>
    </row>
    <row r="31" s="2" customFormat="1" ht="15" customHeight="1" spans="1:21">
      <c r="A31" s="57">
        <v>1</v>
      </c>
      <c r="B31" s="41" t="s">
        <v>11</v>
      </c>
      <c r="C31" s="42"/>
      <c r="D31" s="41">
        <v>264</v>
      </c>
      <c r="E31" s="42"/>
      <c r="F31" s="41">
        <v>255</v>
      </c>
      <c r="G31" s="42"/>
      <c r="H31" s="43">
        <f t="shared" si="0"/>
        <v>519</v>
      </c>
      <c r="I31" s="58">
        <f t="shared" si="1"/>
        <v>259.5</v>
      </c>
      <c r="J31" s="59">
        <f t="shared" si="2"/>
        <v>2</v>
      </c>
      <c r="K31" s="60">
        <v>1</v>
      </c>
      <c r="L31" s="47">
        <v>4500</v>
      </c>
      <c r="M31" s="168">
        <v>185.39</v>
      </c>
      <c r="N31" s="49">
        <f>H31</f>
        <v>519</v>
      </c>
      <c r="O31" s="56"/>
      <c r="P31" s="51"/>
      <c r="Q31" s="52"/>
      <c r="R31" s="52"/>
      <c r="S31" s="52"/>
      <c r="T31" s="52"/>
      <c r="U31" s="53"/>
    </row>
    <row r="32" s="3" customFormat="1" ht="23.25" customHeight="1" spans="1:21">
      <c r="A32" s="62" t="s">
        <v>12</v>
      </c>
      <c r="B32" s="63">
        <f>SUM(B8:B31)/1000</f>
        <v>0</v>
      </c>
      <c r="C32" s="64"/>
      <c r="D32" s="63">
        <f>SUM(D8:D31)/1000</f>
        <v>7.406</v>
      </c>
      <c r="E32" s="64"/>
      <c r="F32" s="63">
        <f>SUM(F8:F31)/1000</f>
        <v>4.26</v>
      </c>
      <c r="G32" s="64"/>
      <c r="H32" s="65">
        <f>SUM(H8:H31)</f>
        <v>11666</v>
      </c>
      <c r="I32" s="66" t="s">
        <v>13</v>
      </c>
      <c r="J32" s="67"/>
      <c r="K32" s="68"/>
      <c r="L32" s="69"/>
      <c r="M32" s="70">
        <f>SUM(M31-M8+N8)</f>
        <v>601.049999999795</v>
      </c>
      <c r="N32" s="71">
        <f>SUM(N8:N31)</f>
        <v>13118.9999999998</v>
      </c>
      <c r="O32" s="72">
        <f>SUM(O8:O31)</f>
        <v>0</v>
      </c>
      <c r="P32" s="73"/>
      <c r="Q32" s="74"/>
      <c r="R32" s="74"/>
      <c r="S32" s="74"/>
      <c r="T32" s="74"/>
      <c r="U32" s="75"/>
    </row>
    <row r="33" ht="15" customHeight="1" spans="1:29">
      <c r="A33" s="76" t="s">
        <v>14</v>
      </c>
      <c r="B33" s="77" t="str">
        <f>IFERROR((AVERAGE(B8:B31)),"0")</f>
        <v>0</v>
      </c>
      <c r="C33" s="78"/>
      <c r="D33" s="79">
        <f>IFERROR((AVERAGE(D8:D31)),"0")</f>
        <v>308.583333333333</v>
      </c>
      <c r="E33" s="78"/>
      <c r="F33" s="79">
        <f>IFERROR((AVERAGE(F8:F31)),"0")</f>
        <v>266.25</v>
      </c>
      <c r="G33" s="80"/>
      <c r="H33" s="81">
        <f>H32*1000</f>
        <v>11666000</v>
      </c>
      <c r="I33" s="82" t="s">
        <v>15</v>
      </c>
      <c r="J33" s="83"/>
      <c r="K33" s="84"/>
      <c r="L33" s="85"/>
      <c r="M33" s="86"/>
      <c r="N33" s="85"/>
      <c r="O33" s="87"/>
      <c r="P33" s="87"/>
      <c r="Q33" s="88"/>
      <c r="R33" s="88"/>
      <c r="S33" s="89"/>
      <c r="T33" s="89"/>
      <c r="U33" s="89"/>
      <c r="V33" s="89"/>
    </row>
    <row r="34" ht="18.75" customHeight="1" spans="1:29">
      <c r="A34" s="90"/>
      <c r="B34" s="91"/>
      <c r="C34" s="92"/>
      <c r="D34" s="93"/>
      <c r="E34" s="92"/>
      <c r="F34" s="93"/>
      <c r="G34" s="94"/>
      <c r="H34" s="95"/>
      <c r="I34" s="96"/>
      <c r="J34" s="97"/>
      <c r="K34" s="98"/>
      <c r="L34" s="85"/>
      <c r="M34" s="86"/>
      <c r="N34" s="99"/>
      <c r="O34" s="99"/>
      <c r="P34" s="99"/>
      <c r="Q34" s="99"/>
      <c r="R34" s="88"/>
      <c r="S34" s="89"/>
      <c r="T34" s="89"/>
      <c r="U34" s="89"/>
      <c r="V34" s="89"/>
    </row>
    <row r="35" ht="22.5" customHeight="1" spans="1:29">
      <c r="A35" s="100" t="s">
        <v>16</v>
      </c>
      <c r="B35" s="101">
        <f>COUNT(B8:B31)</f>
        <v>0</v>
      </c>
      <c r="C35" s="102"/>
      <c r="D35" s="103">
        <f>COUNT(D8:D31)</f>
        <v>24</v>
      </c>
      <c r="E35" s="102"/>
      <c r="F35" s="103">
        <f>COUNT(F8:F31)</f>
        <v>16</v>
      </c>
      <c r="G35" s="104"/>
      <c r="H35" s="105"/>
      <c r="I35" s="106"/>
      <c r="J35" s="107"/>
      <c r="K35" s="107"/>
      <c r="L35" s="107"/>
      <c r="M35" s="107"/>
      <c r="N35" s="99"/>
      <c r="O35" s="99"/>
      <c r="P35" s="99"/>
      <c r="Q35" s="99"/>
      <c r="R35" s="108"/>
      <c r="S35" s="89"/>
      <c r="T35" s="89"/>
      <c r="U35" s="89"/>
      <c r="V35" s="89"/>
    </row>
    <row r="36" ht="9" customHeight="1" spans="1:29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10"/>
      <c r="N36" s="106"/>
      <c r="O36" s="107"/>
      <c r="P36" s="107"/>
      <c r="Q36" s="107"/>
      <c r="R36" s="107"/>
      <c r="S36" s="107"/>
      <c r="T36" s="107"/>
      <c r="U36" s="111"/>
      <c r="V36" s="112"/>
      <c r="W36" s="108"/>
      <c r="X36" s="108"/>
      <c r="Y36" s="108"/>
      <c r="Z36" s="89"/>
      <c r="AA36" s="89"/>
      <c r="AB36" s="89"/>
      <c r="AC36" s="89"/>
    </row>
    <row r="37" ht="24" customHeight="1" spans="1:29">
      <c r="D37" s="113"/>
      <c r="E37" s="113"/>
      <c r="F37" s="113"/>
      <c r="G37" s="113"/>
      <c r="H37" s="113"/>
      <c r="I37" s="113"/>
      <c r="J37" s="113"/>
      <c r="K37" s="114"/>
      <c r="L37" s="114"/>
      <c r="N37" s="115" t="s">
        <v>17</v>
      </c>
      <c r="O37" s="116"/>
      <c r="P37" s="116"/>
      <c r="Q37" s="117"/>
      <c r="R37" s="118">
        <f>SUM(B35:F35)</f>
        <v>40</v>
      </c>
      <c r="S37" s="69"/>
      <c r="T37" s="69"/>
      <c r="U37" s="69"/>
      <c r="V37" s="69"/>
      <c r="X37" s="119"/>
      <c r="Y37" s="119"/>
      <c r="Z37" s="119"/>
      <c r="AA37" s="119"/>
      <c r="AB37" s="119"/>
      <c r="AC37" s="114"/>
    </row>
    <row r="38" ht="15" spans="1:29">
      <c r="D38" s="113"/>
      <c r="E38" s="113"/>
      <c r="F38" s="113"/>
      <c r="G38" s="113"/>
      <c r="H38" s="113"/>
      <c r="I38" s="113"/>
      <c r="J38" s="113"/>
      <c r="K38" s="114"/>
      <c r="L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</row>
    <row r="39" ht="24.75" customHeight="1" spans="1:29">
      <c r="A39" s="120" t="s">
        <v>18</v>
      </c>
      <c r="B39" s="121"/>
      <c r="C39" s="122">
        <f>MAX(H8:H31)</f>
        <v>724</v>
      </c>
      <c r="D39" s="123"/>
      <c r="E39" s="124">
        <f>VLOOKUP(C39,H8:L31,4,FALSE)</f>
        <v>0.833333333333333</v>
      </c>
      <c r="F39" s="125"/>
      <c r="G39" s="125"/>
      <c r="H39" s="126" t="s">
        <v>19</v>
      </c>
      <c r="I39" s="127"/>
      <c r="J39" s="128"/>
      <c r="K39" s="129">
        <f>MAX(J8:J31)</f>
        <v>2</v>
      </c>
      <c r="L39" s="130"/>
      <c r="N39" s="131" t="s">
        <v>20</v>
      </c>
      <c r="O39" s="132"/>
      <c r="P39" s="132"/>
      <c r="Q39" s="133"/>
      <c r="R39" s="134">
        <f>AVERAGE(H8:H31)</f>
        <v>486.083333333333</v>
      </c>
      <c r="S39" s="135"/>
      <c r="T39" s="135"/>
    </row>
    <row r="40" ht="15" spans="1:29">
      <c r="C40" s="136"/>
      <c r="D40" s="137"/>
      <c r="E40" s="138"/>
      <c r="F40" s="138"/>
      <c r="G40" s="138"/>
      <c r="H40" s="138"/>
      <c r="I40" s="139"/>
      <c r="J40" s="106"/>
      <c r="K40" s="110"/>
      <c r="L40" s="110"/>
      <c r="N40" s="140"/>
      <c r="O40" s="140"/>
      <c r="P40" s="140"/>
      <c r="Q40" s="140"/>
      <c r="R40" s="140"/>
      <c r="X40" s="5"/>
      <c r="Y40" s="5"/>
      <c r="Z40" s="5"/>
      <c r="AA40" s="5"/>
      <c r="AB40" s="5"/>
      <c r="AC40" s="141"/>
    </row>
    <row r="41" ht="24.75" customHeight="1" spans="1:29">
      <c r="A41" s="120" t="s">
        <v>21</v>
      </c>
      <c r="B41" s="121"/>
      <c r="C41" s="122">
        <f>MIN(H8:H31)</f>
        <v>340</v>
      </c>
      <c r="D41" s="123"/>
      <c r="E41" s="124">
        <f>VLOOKUP(C41,H8:L31,4,FALSE)</f>
        <v>0.208333333333333</v>
      </c>
      <c r="F41" s="142"/>
      <c r="G41" s="125"/>
      <c r="H41" s="126" t="s">
        <v>22</v>
      </c>
      <c r="I41" s="127"/>
      <c r="J41" s="128"/>
      <c r="K41" s="129">
        <f>MIN(J8:J31)</f>
        <v>1</v>
      </c>
      <c r="L41" s="130"/>
      <c r="N41" s="126" t="s">
        <v>23</v>
      </c>
      <c r="O41" s="127"/>
      <c r="P41" s="127"/>
      <c r="Q41" s="128"/>
      <c r="R41" s="143">
        <f>AVERAGE(I8:I31)</f>
        <v>308.8125</v>
      </c>
      <c r="S41" s="144"/>
      <c r="T41" s="144"/>
      <c r="U41" s="144"/>
      <c r="V41" s="144"/>
      <c r="X41" s="145"/>
    </row>
    <row r="42" ht="15" spans="1:29">
      <c r="D42" s="138"/>
      <c r="E42" s="138"/>
      <c r="F42" s="138"/>
      <c r="G42" s="138"/>
      <c r="H42" s="138"/>
      <c r="I42" s="146"/>
      <c r="J42" s="138"/>
      <c r="K42" s="147"/>
      <c r="L42" s="147"/>
      <c r="V42" s="148"/>
      <c r="W42" s="148"/>
      <c r="X42" s="149"/>
      <c r="Y42" s="149"/>
      <c r="Z42" s="150"/>
      <c r="AA42" s="150"/>
      <c r="AB42" s="150"/>
      <c r="AC42" s="150"/>
    </row>
    <row r="43" ht="24.75" customHeight="1" spans="1:29">
      <c r="C43" s="136"/>
      <c r="H43" s="151"/>
      <c r="I43" s="151"/>
      <c r="J43" s="151"/>
      <c r="K43" s="145"/>
      <c r="L43" s="139"/>
      <c r="N43" s="152" t="s">
        <v>24</v>
      </c>
      <c r="O43" s="153"/>
      <c r="P43" s="153"/>
      <c r="Q43" s="154"/>
      <c r="R43" s="155" t="e">
        <f>AVERAGE(T8:T31)</f>
        <v>#DIV/0!</v>
      </c>
      <c r="X43" s="156"/>
      <c r="Z43" s="157"/>
      <c r="AA43" s="157"/>
      <c r="AB43" s="157"/>
      <c r="AC43" s="157"/>
    </row>
    <row r="44" ht="19.5" spans="1:29">
      <c r="I44" s="158"/>
      <c r="K44" s="159"/>
      <c r="L44" s="159"/>
      <c r="Z44" s="160"/>
      <c r="AA44" s="160"/>
      <c r="AB44" s="160"/>
      <c r="AC44" s="160"/>
    </row>
    <row r="45" ht="24.75" customHeight="1" spans="1:29">
      <c r="D45" s="158"/>
      <c r="E45" s="158"/>
      <c r="F45" s="158"/>
      <c r="G45" s="158"/>
      <c r="H45" s="158"/>
      <c r="N45" s="126" t="s">
        <v>25</v>
      </c>
      <c r="O45" s="127"/>
      <c r="P45" s="127"/>
      <c r="Q45" s="128"/>
      <c r="R45" s="161">
        <f>SUM(M32-H32)/24</f>
        <v>-461.039583333342</v>
      </c>
      <c r="X45" s="162"/>
      <c r="Z45" s="163"/>
      <c r="AA45" s="163"/>
      <c r="AB45" s="163"/>
      <c r="AC45" s="163"/>
    </row>
    <row r="46" spans="1:29">
      <c r="Z46" s="164"/>
      <c r="AA46" s="164"/>
      <c r="AB46" s="164"/>
      <c r="AC46" s="164"/>
    </row>
    <row r="47" spans="1:29">
      <c r="Z47" s="139"/>
      <c r="AA47" s="139"/>
      <c r="AB47" s="139"/>
      <c r="AC47" s="139"/>
    </row>
    <row r="48" spans="1:29">
      <c r="Z48" s="139"/>
      <c r="AA48" s="139"/>
      <c r="AB48" s="139"/>
      <c r="AC48" s="139"/>
    </row>
    <row r="49" spans="11:29">
      <c r="Z49" s="157"/>
      <c r="AA49" s="157"/>
      <c r="AB49" s="157"/>
      <c r="AC49" s="157"/>
    </row>
    <row r="50" spans="11:29">
      <c r="Z50" s="157"/>
      <c r="AA50" s="157"/>
      <c r="AB50" s="157"/>
      <c r="AC50" s="157"/>
    </row>
    <row r="51" spans="11:29">
      <c r="K51" s="150"/>
      <c r="L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0"/>
      <c r="AC51" s="150"/>
    </row>
    <row r="52" spans="11:29">
      <c r="K52" s="150"/>
      <c r="L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  <c r="AB52" s="150"/>
      <c r="AC52" s="150"/>
    </row>
    <row r="53" spans="11:29">
      <c r="K53" s="150"/>
      <c r="L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50"/>
      <c r="AB53" s="150"/>
      <c r="AC53" s="150"/>
    </row>
    <row r="60" spans="11:29">
      <c r="O60" s="165"/>
      <c r="P60" s="165"/>
      <c r="Q60" s="165"/>
      <c r="R60" s="165"/>
      <c r="S60" s="165"/>
      <c r="T60" s="165"/>
    </row>
    <row r="61" spans="11:29">
      <c r="O61" s="165"/>
      <c r="P61" s="165"/>
      <c r="Q61" s="165"/>
      <c r="R61" s="165"/>
      <c r="S61" s="165"/>
      <c r="T61" s="165"/>
    </row>
    <row r="62" spans="11:29">
      <c r="O62" s="165"/>
      <c r="P62" s="165"/>
      <c r="Q62" s="165"/>
      <c r="R62" s="165"/>
      <c r="S62" s="165"/>
      <c r="T62" s="165"/>
    </row>
    <row r="63" spans="11:29">
      <c r="O63" s="165"/>
      <c r="P63" s="165"/>
      <c r="Q63" s="165"/>
      <c r="R63" s="165"/>
      <c r="S63" s="165"/>
      <c r="T63" s="165"/>
    </row>
    <row r="64" spans="11:29">
      <c r="O64" s="165"/>
      <c r="P64" s="165"/>
      <c r="Q64" s="165"/>
      <c r="R64" s="165"/>
      <c r="S64" s="165"/>
      <c r="T64" s="165"/>
    </row>
    <row r="65" spans="15:20">
      <c r="O65" s="165"/>
      <c r="P65" s="165"/>
      <c r="Q65" s="165"/>
      <c r="R65" s="165"/>
      <c r="S65" s="165"/>
      <c r="T65" s="165"/>
    </row>
    <row r="66" spans="15:20">
      <c r="O66" s="165"/>
      <c r="P66" s="165"/>
      <c r="Q66" s="165"/>
      <c r="R66" s="165"/>
      <c r="S66" s="165"/>
      <c r="T66" s="165"/>
    </row>
    <row r="67" spans="15:20">
      <c r="O67" s="165"/>
      <c r="P67" s="165"/>
      <c r="Q67" s="165"/>
      <c r="R67" s="165"/>
      <c r="S67" s="165"/>
      <c r="T67" s="165"/>
    </row>
    <row r="68" spans="15:20">
      <c r="O68" s="165"/>
      <c r="P68" s="165"/>
      <c r="Q68" s="165"/>
      <c r="R68" s="165"/>
      <c r="S68" s="165"/>
      <c r="T68" s="165"/>
    </row>
  </sheetData>
  <mergeCells count="116">
    <mergeCell ref="H4:K4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B29:C29"/>
    <mergeCell ref="D29:E29"/>
    <mergeCell ref="F29:G2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N34:Q34"/>
    <mergeCell ref="B35:C35"/>
    <mergeCell ref="D35:E35"/>
    <mergeCell ref="F35:G35"/>
    <mergeCell ref="N35:Q35"/>
    <mergeCell ref="N37:Q37"/>
    <mergeCell ref="A39:B39"/>
    <mergeCell ref="C39:D39"/>
    <mergeCell ref="H39:J39"/>
    <mergeCell ref="N39:Q39"/>
    <mergeCell ref="A41:B41"/>
    <mergeCell ref="C41:D41"/>
    <mergeCell ref="H41:J41"/>
    <mergeCell ref="N41:Q41"/>
    <mergeCell ref="H43:J43"/>
    <mergeCell ref="N43:Q43"/>
    <mergeCell ref="N45:Q45"/>
    <mergeCell ref="A6:A7"/>
    <mergeCell ref="A33:A34"/>
    <mergeCell ref="H6:H7"/>
    <mergeCell ref="H33:H34"/>
    <mergeCell ref="I6:I7"/>
    <mergeCell ref="I33:I34"/>
    <mergeCell ref="J6:J7"/>
    <mergeCell ref="K6:K7"/>
    <mergeCell ref="L6:L7"/>
    <mergeCell ref="M6:M7"/>
    <mergeCell ref="N6:N7"/>
    <mergeCell ref="O6:O7"/>
    <mergeCell ref="T6:T7"/>
    <mergeCell ref="U6:U7"/>
    <mergeCell ref="B33:C34"/>
    <mergeCell ref="D33:E34"/>
    <mergeCell ref="F33:G34"/>
  </mergeCells>
  <conditionalFormatting sqref="O8">
    <cfRule type="cellIs" dxfId="0" priority="10" operator="equal">
      <formula>"N/A"</formula>
    </cfRule>
  </conditionalFormatting>
  <conditionalFormatting sqref="A30">
    <cfRule type="cellIs" dxfId="1" priority="11" operator="equal">
      <formula>"STB"</formula>
    </cfRule>
    <cfRule type="cellIs" dxfId="0" priority="12" operator="equal">
      <formula>"BD"</formula>
    </cfRule>
  </conditionalFormatting>
  <conditionalFormatting sqref="B8:B31">
    <cfRule type="cellIs" dxfId="1" priority="1" operator="equal">
      <formula>"STB"</formula>
    </cfRule>
    <cfRule type="cellIs" dxfId="0" priority="2" operator="equal">
      <formula>"BD"</formula>
    </cfRule>
  </conditionalFormatting>
  <conditionalFormatting sqref="D8:D31">
    <cfRule type="cellIs" dxfId="1" priority="8" operator="equal">
      <formula>"STB"</formula>
    </cfRule>
    <cfRule type="cellIs" dxfId="0" priority="9" operator="equal">
      <formula>"BD"</formula>
    </cfRule>
  </conditionalFormatting>
  <conditionalFormatting sqref="F8:F31">
    <cfRule type="cellIs" dxfId="1" priority="3" operator="equal">
      <formula>"STB"</formula>
    </cfRule>
    <cfRule type="cellIs" dxfId="0" priority="4" operator="equal">
      <formula>"BD"</formula>
    </cfRule>
  </conditionalFormatting>
  <conditionalFormatting sqref="H8:H31">
    <cfRule type="top10" dxfId="2" priority="5" bottom="1" rank="1"/>
    <cfRule type="top10" dxfId="3" priority="6" rank="1"/>
    <cfRule type="cellIs" dxfId="4" priority="7" stopIfTrue="1" operator="equal">
      <formula>28000</formula>
    </cfRule>
  </conditionalFormatting>
  <conditionalFormatting sqref="H32:H33">
    <cfRule type="top10" dxfId="2" priority="14" bottom="1" rank="1"/>
    <cfRule type="top10" dxfId="3" priority="15" rank="1"/>
    <cfRule type="cellIs" dxfId="4" priority="17" stopIfTrue="1" operator="equal">
      <formula>28000</formula>
    </cfRule>
  </conditionalFormatting>
  <conditionalFormatting sqref="Y8:Y31">
    <cfRule type="containsText" dxfId="5" priority="13" operator="between" text="-">
      <formula>NOT(ISERROR(SEARCH("-",Y8)))</formula>
    </cfRule>
  </conditionalFormatting>
  <conditionalFormatting sqref="N8 N9:O31">
    <cfRule type="cellIs" dxfId="0" priority="16" operator="equal">
      <formula>"BD"</formula>
    </cfRule>
  </conditionalFormatting>
  <pageMargins left="0.7" right="0.7" top="0.75" bottom="0.75" header="0.3" footer="0.3"/>
  <pageSetup paperSize="1" orientation="portrait" verticalDpi="360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AC68"/>
  <sheetViews>
    <sheetView tabSelected="1" zoomScale="80" zoomScaleNormal="80" workbookViewId="0">
      <pane ySplit="7" topLeftCell="A16" activePane="bottomLeft" state="frozen"/>
      <selection/>
      <selection pane="bottomLeft" activeCell="T35" sqref="T35"/>
    </sheetView>
  </sheetViews>
  <sheetFormatPr defaultColWidth="8.81666666666667" defaultRowHeight="14.25"/>
  <cols>
    <col min="1" max="1" width="16.725" customWidth="1"/>
    <col min="2" max="2" width="8.725" customWidth="1"/>
    <col min="3" max="7" width="5.725" customWidth="1"/>
    <col min="8" max="8" width="14.2666666666667" customWidth="1"/>
    <col min="9" max="9" width="15.1833333333333" customWidth="1"/>
    <col min="10" max="10" width="15.5416666666667" customWidth="1"/>
    <col min="11" max="11" width="7" customWidth="1"/>
    <col min="12" max="12" width="8.54166666666667" customWidth="1"/>
    <col min="13" max="13" width="11.725" style="5" customWidth="1"/>
    <col min="14" max="14" width="17.1833333333333" customWidth="1"/>
    <col min="15" max="15" width="15.45" customWidth="1"/>
    <col min="16" max="16" width="7.45" customWidth="1"/>
    <col min="17" max="17" width="9.54166666666667" customWidth="1"/>
    <col min="18" max="18" width="10" customWidth="1"/>
    <col min="19" max="20" width="9.81666666666667" customWidth="1"/>
    <col min="21" max="21" width="6.725" customWidth="1"/>
    <col min="22" max="22" width="13.8166666666667" customWidth="1"/>
    <col min="23" max="23" width="11.2666666666667" customWidth="1"/>
    <col min="24" max="24" width="9.26666666666667" customWidth="1"/>
    <col min="25" max="25" width="3.725" customWidth="1"/>
    <col min="26" max="29" width="7.725" customWidth="1"/>
    <col min="30" max="30" width="6.725" customWidth="1"/>
  </cols>
  <sheetData>
    <row r="1" ht="3" customHeight="1"/>
    <row r="2" ht="6" customHeight="1" spans="1:29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6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="1" customFormat="1" ht="6.75" customHeight="1" spans="1:29">
      <c r="K3" s="7"/>
      <c r="L3" s="8"/>
      <c r="M3" s="9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</row>
    <row r="4" ht="17.25" customHeight="1" spans="1:29">
      <c r="A4" s="1"/>
      <c r="B4" s="10"/>
      <c r="C4" s="10"/>
      <c r="D4" s="10"/>
      <c r="E4" s="11"/>
      <c r="F4" s="11"/>
      <c r="G4" s="11"/>
      <c r="H4" s="12">
        <f>'[31]Taniwel daily'!C4</f>
        <v>45322</v>
      </c>
      <c r="I4" s="13"/>
      <c r="J4" s="13"/>
      <c r="K4" s="14"/>
      <c r="L4" s="15"/>
      <c r="M4" s="16"/>
      <c r="N4" s="10"/>
      <c r="O4" s="10"/>
      <c r="P4" s="10"/>
      <c r="Q4" s="10"/>
      <c r="R4" s="10"/>
      <c r="S4" s="10"/>
      <c r="T4" s="10"/>
      <c r="U4" s="10"/>
      <c r="V4" s="7"/>
      <c r="W4" s="7"/>
      <c r="X4" s="7"/>
      <c r="Y4" s="7"/>
      <c r="Z4" s="7"/>
      <c r="AA4" s="7"/>
      <c r="AB4" s="7"/>
      <c r="AC4" s="7"/>
    </row>
    <row r="5" ht="7.5" customHeight="1" spans="1:29">
      <c r="A5" s="1"/>
      <c r="B5" s="17"/>
      <c r="C5" s="1"/>
      <c r="D5" s="1"/>
      <c r="E5" s="1"/>
      <c r="F5" s="1"/>
      <c r="G5" s="1"/>
      <c r="H5" s="1"/>
      <c r="I5" s="1"/>
      <c r="J5" s="1"/>
      <c r="K5" s="18"/>
      <c r="L5" s="7"/>
      <c r="M5" s="9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</row>
    <row r="6" ht="17.25" customHeight="1" spans="1:29">
      <c r="A6" s="19" t="s">
        <v>0</v>
      </c>
      <c r="B6" s="20" t="s">
        <v>1</v>
      </c>
      <c r="C6" s="21"/>
      <c r="D6" s="20" t="s">
        <v>2</v>
      </c>
      <c r="E6" s="21"/>
      <c r="F6" s="20" t="s">
        <v>3</v>
      </c>
      <c r="G6" s="21"/>
      <c r="H6" s="22" t="s">
        <v>4</v>
      </c>
      <c r="I6" s="22" t="s">
        <v>5</v>
      </c>
      <c r="J6" s="23" t="s">
        <v>6</v>
      </c>
      <c r="K6" s="19" t="s">
        <v>0</v>
      </c>
      <c r="L6" s="24" t="s">
        <v>7</v>
      </c>
      <c r="M6" s="25" t="s">
        <v>8</v>
      </c>
      <c r="N6" s="26" t="s">
        <v>9</v>
      </c>
      <c r="O6" s="25" t="s">
        <v>10</v>
      </c>
      <c r="P6" s="27"/>
      <c r="Q6" s="28"/>
      <c r="R6" s="28"/>
      <c r="S6" s="28"/>
      <c r="T6" s="28"/>
      <c r="U6" s="29"/>
    </row>
    <row r="7" ht="15.75" customHeight="1" spans="1:29">
      <c r="A7" s="30"/>
      <c r="B7" s="31">
        <v>1</v>
      </c>
      <c r="C7" s="32"/>
      <c r="D7" s="31">
        <v>2</v>
      </c>
      <c r="E7" s="32"/>
      <c r="F7" s="31">
        <v>3</v>
      </c>
      <c r="G7" s="32"/>
      <c r="H7" s="33"/>
      <c r="I7" s="33"/>
      <c r="J7" s="34"/>
      <c r="K7" s="30"/>
      <c r="L7" s="35"/>
      <c r="M7" s="36"/>
      <c r="N7" s="37"/>
      <c r="O7" s="38"/>
      <c r="P7" s="27"/>
      <c r="Q7" s="28"/>
      <c r="R7" s="28"/>
      <c r="S7" s="28"/>
      <c r="T7" s="28"/>
      <c r="U7" s="29"/>
      <c r="X7" s="39"/>
    </row>
    <row r="8" s="2" customFormat="1" ht="15" customHeight="1" spans="1:29">
      <c r="A8" s="40">
        <v>0.0416666666666666</v>
      </c>
      <c r="B8" s="41" t="s">
        <v>11</v>
      </c>
      <c r="C8" s="42"/>
      <c r="D8" s="41">
        <v>250</v>
      </c>
      <c r="E8" s="42"/>
      <c r="F8" s="41">
        <v>249</v>
      </c>
      <c r="G8" s="42"/>
      <c r="H8" s="43">
        <f t="shared" ref="H8:H31" si="0">IF(SUM(B8:G8)/1000=0,"0",SUM(B8:G8))</f>
        <v>499</v>
      </c>
      <c r="I8" s="44">
        <f t="shared" ref="I8:I31" si="1">IFERROR(AVERAGE(B8:G8),"0")</f>
        <v>249.5</v>
      </c>
      <c r="J8" s="45">
        <f t="shared" ref="J8:J31" si="2">COUNT(B8:G8)</f>
        <v>2</v>
      </c>
      <c r="K8" s="46">
        <v>0.0416666666666667</v>
      </c>
      <c r="L8" s="47">
        <v>4500</v>
      </c>
      <c r="M8" s="48">
        <v>185.44</v>
      </c>
      <c r="N8" s="49">
        <f>(M9-M8)*12000</f>
        <v>600.000000000136</v>
      </c>
      <c r="O8" s="50"/>
      <c r="P8" s="51"/>
      <c r="Q8" s="52"/>
      <c r="R8" s="52"/>
      <c r="S8" s="52"/>
      <c r="T8" s="52"/>
      <c r="U8" s="53"/>
    </row>
    <row r="9" s="3" customFormat="1" ht="15" customHeight="1" spans="1:29">
      <c r="A9" s="40">
        <v>0.0833333333333333</v>
      </c>
      <c r="B9" s="41" t="s">
        <v>11</v>
      </c>
      <c r="C9" s="42"/>
      <c r="D9" s="41">
        <v>231</v>
      </c>
      <c r="E9" s="42"/>
      <c r="F9" s="41">
        <v>243</v>
      </c>
      <c r="G9" s="42"/>
      <c r="H9" s="43">
        <f t="shared" si="0"/>
        <v>474</v>
      </c>
      <c r="I9" s="44">
        <f t="shared" si="1"/>
        <v>237</v>
      </c>
      <c r="J9" s="45">
        <f t="shared" si="2"/>
        <v>2</v>
      </c>
      <c r="K9" s="46">
        <v>0.0833333333333333</v>
      </c>
      <c r="L9" s="47">
        <v>4200</v>
      </c>
      <c r="M9" s="54">
        <v>185.49</v>
      </c>
      <c r="N9" s="49">
        <f t="shared" ref="N9:N15" si="3">(M10-M9)*12000</f>
        <v>599.999999999795</v>
      </c>
      <c r="O9" s="55"/>
      <c r="P9" s="51"/>
      <c r="Q9" s="52"/>
      <c r="R9" s="52"/>
      <c r="S9" s="52"/>
      <c r="T9" s="52"/>
      <c r="U9" s="53"/>
    </row>
    <row r="10" s="3" customFormat="1" ht="15" customHeight="1" spans="1:29">
      <c r="A10" s="40">
        <v>0.125</v>
      </c>
      <c r="B10" s="41" t="s">
        <v>11</v>
      </c>
      <c r="C10" s="42"/>
      <c r="D10" s="41" t="s">
        <v>26</v>
      </c>
      <c r="E10" s="42"/>
      <c r="F10" s="41">
        <v>440</v>
      </c>
      <c r="G10" s="42"/>
      <c r="H10" s="43">
        <f t="shared" si="0"/>
        <v>440</v>
      </c>
      <c r="I10" s="44">
        <f t="shared" si="1"/>
        <v>440</v>
      </c>
      <c r="J10" s="45">
        <f t="shared" si="2"/>
        <v>1</v>
      </c>
      <c r="K10" s="46">
        <v>0.125</v>
      </c>
      <c r="L10" s="47">
        <v>4200</v>
      </c>
      <c r="M10" s="54">
        <v>185.54</v>
      </c>
      <c r="N10" s="49">
        <f t="shared" si="3"/>
        <v>480.000000000246</v>
      </c>
      <c r="O10" s="56"/>
      <c r="P10" s="51"/>
      <c r="Q10" s="52"/>
      <c r="R10" s="52"/>
      <c r="S10" s="52"/>
      <c r="T10" s="52"/>
      <c r="U10" s="53"/>
    </row>
    <row r="11" s="3" customFormat="1" ht="15" customHeight="1" spans="1:29">
      <c r="A11" s="40">
        <v>0.166666666666667</v>
      </c>
      <c r="B11" s="41" t="s">
        <v>11</v>
      </c>
      <c r="C11" s="42"/>
      <c r="D11" s="41" t="s">
        <v>26</v>
      </c>
      <c r="E11" s="42"/>
      <c r="F11" s="41">
        <v>432</v>
      </c>
      <c r="G11" s="42"/>
      <c r="H11" s="43">
        <f t="shared" si="0"/>
        <v>432</v>
      </c>
      <c r="I11" s="44">
        <f t="shared" si="1"/>
        <v>432</v>
      </c>
      <c r="J11" s="45">
        <f t="shared" si="2"/>
        <v>1</v>
      </c>
      <c r="K11" s="46">
        <v>0.166666666666667</v>
      </c>
      <c r="L11" s="47">
        <v>4000</v>
      </c>
      <c r="M11" s="54">
        <v>185.58</v>
      </c>
      <c r="N11" s="49">
        <f t="shared" si="3"/>
        <v>479.999999999905</v>
      </c>
      <c r="O11" s="56"/>
      <c r="P11" s="51"/>
      <c r="Q11" s="52"/>
      <c r="R11" s="52"/>
      <c r="S11" s="52"/>
      <c r="T11" s="52"/>
      <c r="U11" s="53"/>
    </row>
    <row r="12" s="3" customFormat="1" ht="15" customHeight="1" spans="1:29">
      <c r="A12" s="40">
        <v>0.208333333333333</v>
      </c>
      <c r="B12" s="41" t="s">
        <v>11</v>
      </c>
      <c r="C12" s="42"/>
      <c r="D12" s="41" t="s">
        <v>26</v>
      </c>
      <c r="E12" s="42"/>
      <c r="F12" s="41">
        <v>445</v>
      </c>
      <c r="G12" s="42"/>
      <c r="H12" s="43">
        <f t="shared" si="0"/>
        <v>445</v>
      </c>
      <c r="I12" s="44">
        <f t="shared" si="1"/>
        <v>445</v>
      </c>
      <c r="J12" s="45">
        <f t="shared" si="2"/>
        <v>1</v>
      </c>
      <c r="K12" s="46">
        <v>0.208333333333333</v>
      </c>
      <c r="L12" s="47">
        <v>3900</v>
      </c>
      <c r="M12" s="54">
        <v>185.62</v>
      </c>
      <c r="N12" s="49">
        <f t="shared" si="3"/>
        <v>479.999999999905</v>
      </c>
      <c r="O12" s="56"/>
      <c r="P12" s="51"/>
      <c r="Q12" s="52"/>
      <c r="R12" s="52"/>
      <c r="S12" s="52"/>
      <c r="T12" s="52"/>
      <c r="U12" s="53"/>
    </row>
    <row r="13" s="3" customFormat="1" ht="15" customHeight="1" spans="1:29">
      <c r="A13" s="40">
        <v>0.25</v>
      </c>
      <c r="B13" s="41" t="s">
        <v>11</v>
      </c>
      <c r="C13" s="42"/>
      <c r="D13" s="41">
        <v>239</v>
      </c>
      <c r="E13" s="42"/>
      <c r="F13" s="41">
        <v>233</v>
      </c>
      <c r="G13" s="42"/>
      <c r="H13" s="43">
        <f t="shared" si="0"/>
        <v>472</v>
      </c>
      <c r="I13" s="44">
        <f t="shared" si="1"/>
        <v>236</v>
      </c>
      <c r="J13" s="45">
        <f t="shared" si="2"/>
        <v>2</v>
      </c>
      <c r="K13" s="46">
        <v>0.25</v>
      </c>
      <c r="L13" s="47">
        <v>3600</v>
      </c>
      <c r="M13" s="54">
        <v>185.66</v>
      </c>
      <c r="N13" s="49">
        <f t="shared" si="3"/>
        <v>600.000000000136</v>
      </c>
      <c r="O13" s="56"/>
      <c r="P13" s="51"/>
      <c r="Q13" s="52"/>
      <c r="R13" s="52"/>
      <c r="S13" s="52"/>
      <c r="T13" s="52"/>
      <c r="U13" s="53"/>
    </row>
    <row r="14" s="3" customFormat="1" ht="15" customHeight="1" spans="1:29">
      <c r="A14" s="40">
        <v>0.291666666666667</v>
      </c>
      <c r="B14" s="41" t="s">
        <v>11</v>
      </c>
      <c r="C14" s="42"/>
      <c r="D14" s="41">
        <v>252</v>
      </c>
      <c r="E14" s="42"/>
      <c r="F14" s="41">
        <v>263</v>
      </c>
      <c r="G14" s="42"/>
      <c r="H14" s="43">
        <f t="shared" si="0"/>
        <v>515</v>
      </c>
      <c r="I14" s="44">
        <f t="shared" si="1"/>
        <v>257.5</v>
      </c>
      <c r="J14" s="45">
        <f t="shared" si="2"/>
        <v>2</v>
      </c>
      <c r="K14" s="46">
        <v>0.291666666666667</v>
      </c>
      <c r="L14" s="47">
        <v>3600</v>
      </c>
      <c r="M14" s="54">
        <v>185.71</v>
      </c>
      <c r="N14" s="49">
        <f t="shared" si="3"/>
        <v>479.999999999905</v>
      </c>
      <c r="O14" s="56"/>
      <c r="P14" s="51"/>
      <c r="Q14" s="52"/>
      <c r="R14" s="52"/>
      <c r="S14" s="52"/>
      <c r="T14" s="52"/>
      <c r="U14" s="53"/>
    </row>
    <row r="15" s="3" customFormat="1" ht="15" customHeight="1" spans="1:29">
      <c r="A15" s="40">
        <v>0.333333333333333</v>
      </c>
      <c r="B15" s="41" t="s">
        <v>11</v>
      </c>
      <c r="C15" s="42"/>
      <c r="D15" s="41">
        <v>244</v>
      </c>
      <c r="E15" s="42"/>
      <c r="F15" s="41">
        <v>232</v>
      </c>
      <c r="G15" s="42"/>
      <c r="H15" s="43">
        <f t="shared" si="0"/>
        <v>476</v>
      </c>
      <c r="I15" s="44">
        <f t="shared" si="1"/>
        <v>238</v>
      </c>
      <c r="J15" s="45">
        <f t="shared" si="2"/>
        <v>2</v>
      </c>
      <c r="K15" s="46">
        <v>0.333333333333333</v>
      </c>
      <c r="L15" s="47">
        <v>3600</v>
      </c>
      <c r="M15" s="54">
        <v>185.75</v>
      </c>
      <c r="N15" s="49">
        <f t="shared" si="3"/>
        <v>600.000000000136</v>
      </c>
      <c r="O15" s="56"/>
      <c r="P15" s="51"/>
      <c r="Q15" s="52"/>
      <c r="R15" s="52"/>
      <c r="S15" s="52"/>
      <c r="T15" s="52"/>
      <c r="U15" s="53"/>
    </row>
    <row r="16" s="3" customFormat="1" ht="15" customHeight="1" spans="1:29">
      <c r="A16" s="40">
        <v>0.375</v>
      </c>
      <c r="B16" s="41" t="s">
        <v>11</v>
      </c>
      <c r="C16" s="42"/>
      <c r="D16" s="41">
        <v>226</v>
      </c>
      <c r="E16" s="42"/>
      <c r="F16" s="41">
        <v>221</v>
      </c>
      <c r="G16" s="42"/>
      <c r="H16" s="43">
        <f t="shared" si="0"/>
        <v>447</v>
      </c>
      <c r="I16" s="44">
        <f t="shared" si="1"/>
        <v>223.5</v>
      </c>
      <c r="J16" s="45">
        <f t="shared" si="2"/>
        <v>2</v>
      </c>
      <c r="K16" s="46">
        <v>0.375</v>
      </c>
      <c r="L16" s="47">
        <v>3600</v>
      </c>
      <c r="M16" s="54">
        <v>185.8</v>
      </c>
      <c r="N16" s="49">
        <f t="shared" ref="N16:N30" si="4">(M17-M16)*12000</f>
        <v>479.999999999905</v>
      </c>
      <c r="O16" s="56"/>
      <c r="P16" s="51"/>
      <c r="Q16" s="52"/>
      <c r="R16" s="52"/>
      <c r="S16" s="52"/>
      <c r="T16" s="52"/>
      <c r="U16" s="53"/>
    </row>
    <row r="17" s="3" customFormat="1" ht="15" customHeight="1" spans="1:21">
      <c r="A17" s="40">
        <v>0.416666666666667</v>
      </c>
      <c r="B17" s="41" t="s">
        <v>11</v>
      </c>
      <c r="C17" s="42"/>
      <c r="D17" s="41" t="s">
        <v>26</v>
      </c>
      <c r="E17" s="42"/>
      <c r="F17" s="41">
        <v>452</v>
      </c>
      <c r="G17" s="42"/>
      <c r="H17" s="43">
        <f t="shared" si="0"/>
        <v>452</v>
      </c>
      <c r="I17" s="44">
        <f t="shared" si="1"/>
        <v>452</v>
      </c>
      <c r="J17" s="45">
        <f t="shared" si="2"/>
        <v>1</v>
      </c>
      <c r="K17" s="46">
        <v>0.416666666666666</v>
      </c>
      <c r="L17" s="47">
        <v>3400</v>
      </c>
      <c r="M17" s="54">
        <v>185.84</v>
      </c>
      <c r="N17" s="49">
        <f t="shared" si="4"/>
        <v>479.999999999905</v>
      </c>
      <c r="O17" s="56"/>
      <c r="P17" s="51"/>
      <c r="Q17" s="52"/>
      <c r="R17" s="52"/>
      <c r="S17" s="52"/>
      <c r="T17" s="52"/>
      <c r="U17" s="53"/>
    </row>
    <row r="18" s="3" customFormat="1" ht="15" customHeight="1" spans="1:21">
      <c r="A18" s="40">
        <v>0.458333333333333</v>
      </c>
      <c r="B18" s="41" t="s">
        <v>11</v>
      </c>
      <c r="C18" s="42"/>
      <c r="D18" s="41">
        <v>253</v>
      </c>
      <c r="E18" s="42"/>
      <c r="F18" s="41">
        <v>226</v>
      </c>
      <c r="G18" s="42"/>
      <c r="H18" s="43">
        <f t="shared" si="0"/>
        <v>479</v>
      </c>
      <c r="I18" s="44">
        <f t="shared" si="1"/>
        <v>239.5</v>
      </c>
      <c r="J18" s="45">
        <f t="shared" si="2"/>
        <v>2</v>
      </c>
      <c r="K18" s="46">
        <v>0.458333333333333</v>
      </c>
      <c r="L18" s="47">
        <v>3300</v>
      </c>
      <c r="M18" s="54">
        <v>185.88</v>
      </c>
      <c r="N18" s="49">
        <f t="shared" si="4"/>
        <v>600.000000000136</v>
      </c>
      <c r="O18" s="56"/>
      <c r="P18" s="51"/>
      <c r="Q18" s="52"/>
      <c r="R18" s="52"/>
      <c r="S18" s="52"/>
      <c r="T18" s="52"/>
      <c r="U18" s="53"/>
    </row>
    <row r="19" s="3" customFormat="1" ht="15" customHeight="1" spans="1:21">
      <c r="A19" s="40">
        <v>0.5</v>
      </c>
      <c r="B19" s="41" t="s">
        <v>11</v>
      </c>
      <c r="C19" s="42"/>
      <c r="D19" s="41">
        <v>233</v>
      </c>
      <c r="E19" s="42"/>
      <c r="F19" s="41">
        <v>227</v>
      </c>
      <c r="G19" s="42"/>
      <c r="H19" s="43">
        <f t="shared" si="0"/>
        <v>460</v>
      </c>
      <c r="I19" s="44">
        <f t="shared" si="1"/>
        <v>230</v>
      </c>
      <c r="J19" s="45">
        <f t="shared" si="2"/>
        <v>2</v>
      </c>
      <c r="K19" s="46">
        <v>0.5</v>
      </c>
      <c r="L19" s="47">
        <v>3300</v>
      </c>
      <c r="M19" s="54">
        <v>185.93</v>
      </c>
      <c r="N19" s="49">
        <f t="shared" si="4"/>
        <v>479.999999999905</v>
      </c>
      <c r="O19" s="56"/>
      <c r="P19" s="51"/>
      <c r="Q19" s="52"/>
      <c r="R19" s="52"/>
      <c r="S19" s="52"/>
      <c r="T19" s="52"/>
      <c r="U19" s="53"/>
    </row>
    <row r="20" s="3" customFormat="1" ht="15" customHeight="1" spans="1:21">
      <c r="A20" s="40">
        <v>0.541666666666667</v>
      </c>
      <c r="B20" s="41" t="s">
        <v>11</v>
      </c>
      <c r="C20" s="42"/>
      <c r="D20" s="41">
        <v>230</v>
      </c>
      <c r="E20" s="42"/>
      <c r="F20" s="41">
        <v>227</v>
      </c>
      <c r="G20" s="42"/>
      <c r="H20" s="43">
        <f t="shared" si="0"/>
        <v>457</v>
      </c>
      <c r="I20" s="44">
        <f t="shared" si="1"/>
        <v>228.5</v>
      </c>
      <c r="J20" s="45">
        <f t="shared" si="2"/>
        <v>2</v>
      </c>
      <c r="K20" s="46">
        <v>0.541666666666667</v>
      </c>
      <c r="L20" s="47">
        <v>3000</v>
      </c>
      <c r="M20" s="54">
        <v>185.97</v>
      </c>
      <c r="N20" s="49">
        <f t="shared" si="4"/>
        <v>479.999999999905</v>
      </c>
      <c r="O20" s="56"/>
      <c r="P20" s="51"/>
      <c r="Q20" s="52"/>
      <c r="R20" s="52"/>
      <c r="S20" s="52"/>
      <c r="T20" s="52"/>
      <c r="U20" s="53"/>
    </row>
    <row r="21" s="3" customFormat="1" ht="15" customHeight="1" spans="1:21">
      <c r="A21" s="40">
        <v>0.583333333333333</v>
      </c>
      <c r="B21" s="41" t="s">
        <v>11</v>
      </c>
      <c r="C21" s="42"/>
      <c r="D21" s="41">
        <v>436</v>
      </c>
      <c r="E21" s="42"/>
      <c r="F21" s="41" t="s">
        <v>26</v>
      </c>
      <c r="G21" s="42"/>
      <c r="H21" s="43">
        <f t="shared" si="0"/>
        <v>436</v>
      </c>
      <c r="I21" s="44">
        <f t="shared" si="1"/>
        <v>436</v>
      </c>
      <c r="J21" s="45">
        <f t="shared" si="2"/>
        <v>1</v>
      </c>
      <c r="K21" s="46">
        <v>0.583333333333333</v>
      </c>
      <c r="L21" s="47">
        <v>3000</v>
      </c>
      <c r="M21" s="54">
        <v>186.01</v>
      </c>
      <c r="N21" s="49">
        <f t="shared" si="4"/>
        <v>600.000000000136</v>
      </c>
      <c r="O21" s="56"/>
      <c r="P21" s="51"/>
      <c r="Q21" s="52"/>
      <c r="R21" s="52"/>
      <c r="S21" s="52"/>
      <c r="T21" s="52"/>
      <c r="U21" s="53"/>
    </row>
    <row r="22" s="3" customFormat="1" ht="15" customHeight="1" spans="1:21">
      <c r="A22" s="40">
        <v>0.625</v>
      </c>
      <c r="B22" s="41" t="s">
        <v>11</v>
      </c>
      <c r="C22" s="42"/>
      <c r="D22" s="41">
        <v>432</v>
      </c>
      <c r="E22" s="42"/>
      <c r="F22" s="41" t="s">
        <v>26</v>
      </c>
      <c r="G22" s="42"/>
      <c r="H22" s="43">
        <f t="shared" si="0"/>
        <v>432</v>
      </c>
      <c r="I22" s="44">
        <f t="shared" si="1"/>
        <v>432</v>
      </c>
      <c r="J22" s="45">
        <f t="shared" si="2"/>
        <v>1</v>
      </c>
      <c r="K22" s="46">
        <v>0.625</v>
      </c>
      <c r="L22" s="47">
        <v>3000</v>
      </c>
      <c r="M22" s="54">
        <v>186.06</v>
      </c>
      <c r="N22" s="49">
        <f t="shared" si="4"/>
        <v>360.000000000014</v>
      </c>
      <c r="O22" s="56"/>
      <c r="P22" s="51"/>
      <c r="Q22" s="52"/>
      <c r="R22" s="52"/>
      <c r="S22" s="52"/>
      <c r="T22" s="52"/>
      <c r="U22" s="53"/>
    </row>
    <row r="23" s="3" customFormat="1" ht="15" customHeight="1" spans="1:21">
      <c r="A23" s="40">
        <v>0.666666666666667</v>
      </c>
      <c r="B23" s="41" t="s">
        <v>11</v>
      </c>
      <c r="C23" s="42"/>
      <c r="D23" s="41">
        <v>426</v>
      </c>
      <c r="E23" s="42"/>
      <c r="F23" s="41" t="s">
        <v>26</v>
      </c>
      <c r="G23" s="42"/>
      <c r="H23" s="43">
        <f t="shared" si="0"/>
        <v>426</v>
      </c>
      <c r="I23" s="44">
        <f t="shared" si="1"/>
        <v>426</v>
      </c>
      <c r="J23" s="45">
        <f t="shared" si="2"/>
        <v>1</v>
      </c>
      <c r="K23" s="46">
        <v>0.666666666666666</v>
      </c>
      <c r="L23" s="47">
        <v>3000</v>
      </c>
      <c r="M23" s="54">
        <v>186.09</v>
      </c>
      <c r="N23" s="49">
        <f t="shared" si="4"/>
        <v>240.000000000123</v>
      </c>
      <c r="O23" s="56"/>
      <c r="P23" s="51"/>
      <c r="Q23" s="52"/>
      <c r="R23" s="52"/>
      <c r="S23" s="52"/>
      <c r="T23" s="52"/>
      <c r="U23" s="53"/>
    </row>
    <row r="24" s="3" customFormat="1" ht="15" customHeight="1" spans="1:21">
      <c r="A24" s="40">
        <v>0.708333333333334</v>
      </c>
      <c r="B24" s="41" t="s">
        <v>11</v>
      </c>
      <c r="C24" s="42"/>
      <c r="D24" s="41">
        <v>452</v>
      </c>
      <c r="E24" s="42"/>
      <c r="F24" s="41" t="s">
        <v>26</v>
      </c>
      <c r="G24" s="42"/>
      <c r="H24" s="43">
        <f t="shared" si="0"/>
        <v>452</v>
      </c>
      <c r="I24" s="44">
        <f t="shared" si="1"/>
        <v>452</v>
      </c>
      <c r="J24" s="45">
        <f t="shared" si="2"/>
        <v>1</v>
      </c>
      <c r="K24" s="46">
        <v>0.708333333333333</v>
      </c>
      <c r="L24" s="47">
        <v>2700</v>
      </c>
      <c r="M24" s="54">
        <v>186.11</v>
      </c>
      <c r="N24" s="49">
        <f t="shared" si="4"/>
        <v>959.999999999809</v>
      </c>
      <c r="O24" s="56"/>
      <c r="P24" s="51"/>
      <c r="Q24" s="52"/>
      <c r="R24" s="52"/>
      <c r="S24" s="52"/>
      <c r="T24" s="52"/>
      <c r="U24" s="53"/>
    </row>
    <row r="25" s="3" customFormat="1" ht="15" customHeight="1" spans="1:21">
      <c r="A25" s="40">
        <v>0.75</v>
      </c>
      <c r="B25" s="41" t="s">
        <v>11</v>
      </c>
      <c r="C25" s="42"/>
      <c r="D25" s="41">
        <v>245</v>
      </c>
      <c r="E25" s="42"/>
      <c r="F25" s="41">
        <v>278</v>
      </c>
      <c r="G25" s="42"/>
      <c r="H25" s="43">
        <f t="shared" si="0"/>
        <v>523</v>
      </c>
      <c r="I25" s="44">
        <f t="shared" si="1"/>
        <v>261.5</v>
      </c>
      <c r="J25" s="45">
        <f t="shared" si="2"/>
        <v>2</v>
      </c>
      <c r="K25" s="46">
        <v>0.75</v>
      </c>
      <c r="L25" s="47">
        <v>2400</v>
      </c>
      <c r="M25" s="54">
        <v>186.19</v>
      </c>
      <c r="N25" s="49">
        <f t="shared" si="4"/>
        <v>720.000000000027</v>
      </c>
      <c r="O25" s="56"/>
      <c r="P25" s="51"/>
      <c r="Q25" s="52"/>
      <c r="R25" s="52"/>
      <c r="S25" s="52"/>
      <c r="T25" s="52"/>
      <c r="U25" s="53"/>
    </row>
    <row r="26" s="3" customFormat="1" ht="15" customHeight="1" spans="1:21">
      <c r="A26" s="40">
        <v>0.791666666666667</v>
      </c>
      <c r="B26" s="41" t="s">
        <v>11</v>
      </c>
      <c r="C26" s="42"/>
      <c r="D26" s="41">
        <v>315</v>
      </c>
      <c r="E26" s="42"/>
      <c r="F26" s="41">
        <v>328</v>
      </c>
      <c r="G26" s="42"/>
      <c r="H26" s="43">
        <f t="shared" si="0"/>
        <v>643</v>
      </c>
      <c r="I26" s="44">
        <f t="shared" si="1"/>
        <v>321.5</v>
      </c>
      <c r="J26" s="45">
        <f t="shared" si="2"/>
        <v>2</v>
      </c>
      <c r="K26" s="46">
        <v>0.791666666666666</v>
      </c>
      <c r="L26" s="47">
        <v>2100</v>
      </c>
      <c r="M26" s="54">
        <v>186.25</v>
      </c>
      <c r="N26" s="49">
        <f t="shared" si="4"/>
        <v>720.000000000027</v>
      </c>
      <c r="O26" s="56"/>
      <c r="P26" s="51"/>
      <c r="Q26" s="52"/>
      <c r="R26" s="52"/>
      <c r="S26" s="52"/>
      <c r="T26" s="52"/>
      <c r="U26" s="53"/>
    </row>
    <row r="27" s="3" customFormat="1" ht="15" customHeight="1" spans="1:21">
      <c r="A27" s="40">
        <v>0.833333333333334</v>
      </c>
      <c r="B27" s="41" t="s">
        <v>11</v>
      </c>
      <c r="C27" s="42"/>
      <c r="D27" s="41">
        <v>351</v>
      </c>
      <c r="E27" s="42"/>
      <c r="F27" s="41">
        <v>335</v>
      </c>
      <c r="G27" s="42"/>
      <c r="H27" s="43">
        <f t="shared" si="0"/>
        <v>686</v>
      </c>
      <c r="I27" s="44">
        <f t="shared" si="1"/>
        <v>343</v>
      </c>
      <c r="J27" s="45">
        <f t="shared" si="2"/>
        <v>2</v>
      </c>
      <c r="K27" s="46">
        <v>0.833333333333333</v>
      </c>
      <c r="L27" s="47">
        <v>2100</v>
      </c>
      <c r="M27" s="54">
        <v>186.31</v>
      </c>
      <c r="N27" s="49">
        <f t="shared" si="4"/>
        <v>720.000000000027</v>
      </c>
      <c r="O27" s="56"/>
      <c r="P27" s="51"/>
      <c r="Q27" s="52"/>
      <c r="R27" s="52"/>
      <c r="S27" s="52"/>
      <c r="T27" s="52"/>
      <c r="U27" s="53"/>
    </row>
    <row r="28" s="4" customFormat="1" ht="15" customHeight="1" spans="1:21">
      <c r="A28" s="40">
        <v>0.875</v>
      </c>
      <c r="B28" s="41" t="s">
        <v>11</v>
      </c>
      <c r="C28" s="42"/>
      <c r="D28" s="41">
        <v>335</v>
      </c>
      <c r="E28" s="42"/>
      <c r="F28" s="41">
        <v>314</v>
      </c>
      <c r="G28" s="42"/>
      <c r="H28" s="43">
        <f t="shared" si="0"/>
        <v>649</v>
      </c>
      <c r="I28" s="44">
        <f t="shared" si="1"/>
        <v>324.5</v>
      </c>
      <c r="J28" s="45">
        <f t="shared" si="2"/>
        <v>2</v>
      </c>
      <c r="K28" s="46">
        <v>0.875</v>
      </c>
      <c r="L28" s="47">
        <v>1800</v>
      </c>
      <c r="M28" s="54">
        <v>186.37</v>
      </c>
      <c r="N28" s="49">
        <f t="shared" si="4"/>
        <v>720.000000000027</v>
      </c>
      <c r="O28" s="56"/>
      <c r="P28" s="51"/>
      <c r="Q28" s="52"/>
      <c r="R28" s="52"/>
      <c r="S28" s="52"/>
      <c r="T28" s="52"/>
      <c r="U28" s="53"/>
    </row>
    <row r="29" s="3" customFormat="1" ht="15" customHeight="1" spans="1:21">
      <c r="A29" s="40">
        <v>0.916666666666667</v>
      </c>
      <c r="B29" s="41" t="s">
        <v>11</v>
      </c>
      <c r="C29" s="42"/>
      <c r="D29" s="41">
        <v>307</v>
      </c>
      <c r="E29" s="42"/>
      <c r="F29" s="41">
        <v>305</v>
      </c>
      <c r="G29" s="42"/>
      <c r="H29" s="43">
        <f t="shared" si="0"/>
        <v>612</v>
      </c>
      <c r="I29" s="44">
        <f t="shared" si="1"/>
        <v>306</v>
      </c>
      <c r="J29" s="45">
        <f t="shared" si="2"/>
        <v>2</v>
      </c>
      <c r="K29" s="46">
        <v>0.916666666666666</v>
      </c>
      <c r="L29" s="47">
        <v>1800</v>
      </c>
      <c r="M29" s="54">
        <v>186.43</v>
      </c>
      <c r="N29" s="49">
        <f t="shared" si="4"/>
        <v>720.000000000027</v>
      </c>
      <c r="O29" s="56"/>
      <c r="P29" s="51"/>
      <c r="Q29" s="52"/>
      <c r="R29" s="52"/>
      <c r="S29" s="52"/>
      <c r="T29" s="52"/>
      <c r="U29" s="53"/>
    </row>
    <row r="30" s="3" customFormat="1" ht="15" customHeight="1" spans="1:21">
      <c r="A30" s="40">
        <v>0.958333333333334</v>
      </c>
      <c r="B30" s="41" t="s">
        <v>11</v>
      </c>
      <c r="C30" s="42"/>
      <c r="D30" s="41">
        <v>285</v>
      </c>
      <c r="E30" s="42"/>
      <c r="F30" s="41">
        <v>276</v>
      </c>
      <c r="G30" s="42"/>
      <c r="H30" s="43">
        <f t="shared" si="0"/>
        <v>561</v>
      </c>
      <c r="I30" s="44">
        <f t="shared" si="1"/>
        <v>280.5</v>
      </c>
      <c r="J30" s="45">
        <f t="shared" si="2"/>
        <v>2</v>
      </c>
      <c r="K30" s="46">
        <v>0.958333333333333</v>
      </c>
      <c r="L30" s="47">
        <v>1800</v>
      </c>
      <c r="M30" s="54">
        <v>186.49</v>
      </c>
      <c r="N30" s="49">
        <f t="shared" si="4"/>
        <v>599.999999999795</v>
      </c>
      <c r="O30" s="56"/>
      <c r="P30" s="51"/>
      <c r="Q30" s="52"/>
      <c r="R30" s="52"/>
      <c r="S30" s="52"/>
      <c r="T30" s="52"/>
      <c r="U30" s="53"/>
    </row>
    <row r="31" s="2" customFormat="1" ht="15" customHeight="1" spans="1:21">
      <c r="A31" s="57">
        <v>1</v>
      </c>
      <c r="B31" s="41" t="s">
        <v>11</v>
      </c>
      <c r="C31" s="42"/>
      <c r="D31" s="41">
        <v>259</v>
      </c>
      <c r="E31" s="42"/>
      <c r="F31" s="41">
        <v>268</v>
      </c>
      <c r="G31" s="42"/>
      <c r="H31" s="43">
        <f t="shared" si="0"/>
        <v>527</v>
      </c>
      <c r="I31" s="58">
        <f t="shared" si="1"/>
        <v>263.5</v>
      </c>
      <c r="J31" s="59">
        <f t="shared" si="2"/>
        <v>2</v>
      </c>
      <c r="K31" s="60">
        <v>1</v>
      </c>
      <c r="L31" s="47">
        <v>4500</v>
      </c>
      <c r="M31" s="61">
        <v>186.54</v>
      </c>
      <c r="N31" s="49">
        <f>H31</f>
        <v>527</v>
      </c>
      <c r="O31" s="56"/>
      <c r="P31" s="51"/>
      <c r="Q31" s="52"/>
      <c r="R31" s="52"/>
      <c r="S31" s="52"/>
      <c r="T31" s="52"/>
      <c r="U31" s="53"/>
    </row>
    <row r="32" s="3" customFormat="1" ht="23.25" customHeight="1" spans="1:21">
      <c r="A32" s="62" t="s">
        <v>12</v>
      </c>
      <c r="B32" s="63">
        <f>SUM(B8:B31)/1000</f>
        <v>0</v>
      </c>
      <c r="C32" s="64"/>
      <c r="D32" s="63">
        <f>SUM(D8:D31)/1000</f>
        <v>6.001</v>
      </c>
      <c r="E32" s="64"/>
      <c r="F32" s="63">
        <f>SUM(F8:F31)/1000</f>
        <v>5.994</v>
      </c>
      <c r="G32" s="64"/>
      <c r="H32" s="65">
        <f>SUM(H8:H31)</f>
        <v>11995</v>
      </c>
      <c r="I32" s="66" t="s">
        <v>13</v>
      </c>
      <c r="J32" s="67"/>
      <c r="K32" s="68"/>
      <c r="L32" s="69"/>
      <c r="M32" s="70">
        <f>SUM(M31-M8+N8)</f>
        <v>601.100000000136</v>
      </c>
      <c r="N32" s="71">
        <f>SUM(N8:N31)</f>
        <v>13726.9999999999</v>
      </c>
      <c r="O32" s="72">
        <f>SUM(O8:O31)</f>
        <v>0</v>
      </c>
      <c r="P32" s="73"/>
      <c r="Q32" s="74"/>
      <c r="R32" s="74"/>
      <c r="S32" s="74"/>
      <c r="T32" s="74"/>
      <c r="U32" s="75"/>
    </row>
    <row r="33" ht="15" customHeight="1" spans="1:29">
      <c r="A33" s="76" t="s">
        <v>14</v>
      </c>
      <c r="B33" s="77" t="str">
        <f>IFERROR((AVERAGE(B8:B31)),"0")</f>
        <v>0</v>
      </c>
      <c r="C33" s="78"/>
      <c r="D33" s="79">
        <f>IFERROR((AVERAGE(D8:D31)),"0")</f>
        <v>300.05</v>
      </c>
      <c r="E33" s="78"/>
      <c r="F33" s="79">
        <f>IFERROR((AVERAGE(F8:F31)),"0")</f>
        <v>299.7</v>
      </c>
      <c r="G33" s="80"/>
      <c r="H33" s="81">
        <f>H32*1000</f>
        <v>11995000</v>
      </c>
      <c r="I33" s="82" t="s">
        <v>15</v>
      </c>
      <c r="J33" s="83"/>
      <c r="K33" s="84"/>
      <c r="L33" s="85"/>
      <c r="M33" s="86"/>
      <c r="N33" s="85"/>
      <c r="O33" s="87"/>
      <c r="P33" s="87"/>
      <c r="Q33" s="88"/>
      <c r="R33" s="88"/>
      <c r="S33" s="89"/>
      <c r="T33" s="89"/>
      <c r="U33" s="89"/>
      <c r="V33" s="89"/>
    </row>
    <row r="34" ht="18.75" customHeight="1" spans="1:29">
      <c r="A34" s="90"/>
      <c r="B34" s="91"/>
      <c r="C34" s="92"/>
      <c r="D34" s="93"/>
      <c r="E34" s="92"/>
      <c r="F34" s="93"/>
      <c r="G34" s="94"/>
      <c r="H34" s="95"/>
      <c r="I34" s="96"/>
      <c r="J34" s="97"/>
      <c r="K34" s="98"/>
      <c r="L34" s="85"/>
      <c r="M34" s="86"/>
      <c r="N34" s="99"/>
      <c r="O34" s="99"/>
      <c r="P34" s="99"/>
      <c r="Q34" s="99"/>
      <c r="R34" s="88"/>
      <c r="S34" s="89"/>
      <c r="T34" s="89"/>
      <c r="U34" s="89"/>
      <c r="V34" s="89"/>
    </row>
    <row r="35" ht="22.5" customHeight="1" spans="1:29">
      <c r="A35" s="100" t="s">
        <v>16</v>
      </c>
      <c r="B35" s="101">
        <f>COUNT(B8:B31)</f>
        <v>0</v>
      </c>
      <c r="C35" s="102"/>
      <c r="D35" s="103">
        <f>COUNT(D8:D31)</f>
        <v>20</v>
      </c>
      <c r="E35" s="102"/>
      <c r="F35" s="103">
        <f>COUNT(F8:F31)</f>
        <v>20</v>
      </c>
      <c r="G35" s="104"/>
      <c r="H35" s="105"/>
      <c r="I35" s="106"/>
      <c r="J35" s="107"/>
      <c r="K35" s="107"/>
      <c r="L35" s="107"/>
      <c r="M35" s="107"/>
      <c r="N35" s="99"/>
      <c r="O35" s="99"/>
      <c r="P35" s="99"/>
      <c r="Q35" s="99"/>
      <c r="R35" s="108"/>
      <c r="S35" s="89"/>
      <c r="T35" s="89"/>
      <c r="U35" s="89"/>
      <c r="V35" s="89"/>
    </row>
    <row r="36" ht="9" customHeight="1" spans="1:29">
      <c r="A36" s="109"/>
      <c r="B36" s="109"/>
      <c r="C36" s="109"/>
      <c r="D36" s="109"/>
      <c r="E36" s="109"/>
      <c r="F36" s="109"/>
      <c r="G36" s="109"/>
      <c r="H36" s="109"/>
      <c r="I36" s="109"/>
      <c r="J36" s="109"/>
      <c r="K36" s="109"/>
      <c r="L36" s="109"/>
      <c r="M36" s="110"/>
      <c r="N36" s="106"/>
      <c r="O36" s="107"/>
      <c r="P36" s="107"/>
      <c r="Q36" s="107"/>
      <c r="R36" s="107"/>
      <c r="S36" s="107"/>
      <c r="T36" s="107"/>
      <c r="U36" s="111"/>
      <c r="V36" s="112"/>
      <c r="W36" s="108"/>
      <c r="X36" s="108"/>
      <c r="Y36" s="108"/>
      <c r="Z36" s="89"/>
      <c r="AA36" s="89"/>
      <c r="AB36" s="89"/>
      <c r="AC36" s="89"/>
    </row>
    <row r="37" ht="24" customHeight="1" spans="1:29">
      <c r="D37" s="113"/>
      <c r="E37" s="113"/>
      <c r="F37" s="113"/>
      <c r="G37" s="113"/>
      <c r="H37" s="113"/>
      <c r="I37" s="113"/>
      <c r="J37" s="113"/>
      <c r="K37" s="114"/>
      <c r="L37" s="114"/>
      <c r="N37" s="115" t="s">
        <v>17</v>
      </c>
      <c r="O37" s="116"/>
      <c r="P37" s="116"/>
      <c r="Q37" s="117"/>
      <c r="R37" s="118">
        <f>SUM(B35:F35)</f>
        <v>40</v>
      </c>
      <c r="S37" s="69"/>
      <c r="T37" s="69"/>
      <c r="U37" s="69"/>
      <c r="V37" s="69"/>
      <c r="X37" s="119"/>
      <c r="Y37" s="119"/>
      <c r="Z37" s="119"/>
      <c r="AA37" s="119"/>
      <c r="AB37" s="119"/>
      <c r="AC37" s="114"/>
    </row>
    <row r="38" ht="15" spans="1:29">
      <c r="D38" s="113"/>
      <c r="E38" s="113"/>
      <c r="F38" s="113"/>
      <c r="G38" s="113"/>
      <c r="H38" s="113"/>
      <c r="I38" s="113"/>
      <c r="J38" s="113"/>
      <c r="K38" s="114"/>
      <c r="L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X38" s="114"/>
      <c r="Y38" s="114"/>
      <c r="Z38" s="114"/>
      <c r="AA38" s="114"/>
      <c r="AB38" s="114"/>
      <c r="AC38" s="114"/>
    </row>
    <row r="39" ht="24.75" customHeight="1" spans="1:29">
      <c r="A39" s="120" t="s">
        <v>18</v>
      </c>
      <c r="B39" s="121"/>
      <c r="C39" s="122">
        <f>MAX(H8:H31)</f>
        <v>686</v>
      </c>
      <c r="D39" s="123"/>
      <c r="E39" s="124">
        <f>VLOOKUP(C39,H8:L31,4,FALSE)</f>
        <v>0.833333333333333</v>
      </c>
      <c r="F39" s="125"/>
      <c r="G39" s="125"/>
      <c r="H39" s="126" t="s">
        <v>19</v>
      </c>
      <c r="I39" s="127"/>
      <c r="J39" s="128"/>
      <c r="K39" s="129">
        <f>MAX(J8:J31)</f>
        <v>2</v>
      </c>
      <c r="L39" s="130"/>
      <c r="N39" s="131" t="s">
        <v>20</v>
      </c>
      <c r="O39" s="132"/>
      <c r="P39" s="132"/>
      <c r="Q39" s="133"/>
      <c r="R39" s="134">
        <f>AVERAGE(H8:H31)</f>
        <v>499.791666666667</v>
      </c>
      <c r="S39" s="135"/>
      <c r="T39" s="135"/>
    </row>
    <row r="40" ht="15" spans="1:29">
      <c r="C40" s="136"/>
      <c r="D40" s="137"/>
      <c r="E40" s="138"/>
      <c r="F40" s="138"/>
      <c r="G40" s="138"/>
      <c r="H40" s="138"/>
      <c r="I40" s="139"/>
      <c r="J40" s="106"/>
      <c r="K40" s="110"/>
      <c r="L40" s="110"/>
      <c r="N40" s="140"/>
      <c r="O40" s="140"/>
      <c r="P40" s="140"/>
      <c r="Q40" s="140"/>
      <c r="R40" s="140"/>
      <c r="X40" s="5"/>
      <c r="Y40" s="5"/>
      <c r="Z40" s="5"/>
      <c r="AA40" s="5"/>
      <c r="AB40" s="5"/>
      <c r="AC40" s="141"/>
    </row>
    <row r="41" ht="24.75" customHeight="1" spans="1:29">
      <c r="A41" s="120" t="s">
        <v>21</v>
      </c>
      <c r="B41" s="121"/>
      <c r="C41" s="122">
        <f>MIN(H8:H31)</f>
        <v>426</v>
      </c>
      <c r="D41" s="123"/>
      <c r="E41" s="124">
        <f>VLOOKUP(C41,H8:L31,4,FALSE)</f>
        <v>0.666666666666666</v>
      </c>
      <c r="F41" s="142"/>
      <c r="G41" s="125"/>
      <c r="H41" s="126" t="s">
        <v>22</v>
      </c>
      <c r="I41" s="127"/>
      <c r="J41" s="128"/>
      <c r="K41" s="129">
        <f>MIN(J8:J31)</f>
        <v>1</v>
      </c>
      <c r="L41" s="130"/>
      <c r="N41" s="126" t="s">
        <v>23</v>
      </c>
      <c r="O41" s="127"/>
      <c r="P41" s="127"/>
      <c r="Q41" s="128"/>
      <c r="R41" s="143">
        <f>AVERAGE(I8:I31)</f>
        <v>323.125</v>
      </c>
      <c r="S41" s="144"/>
      <c r="T41" s="144"/>
      <c r="U41" s="144"/>
      <c r="V41" s="144"/>
      <c r="X41" s="145"/>
    </row>
    <row r="42" ht="15" spans="1:29">
      <c r="D42" s="138"/>
      <c r="E42" s="138"/>
      <c r="F42" s="138"/>
      <c r="G42" s="138"/>
      <c r="H42" s="138"/>
      <c r="I42" s="146"/>
      <c r="J42" s="138"/>
      <c r="K42" s="147"/>
      <c r="L42" s="147"/>
      <c r="V42" s="148"/>
      <c r="W42" s="148"/>
      <c r="X42" s="149"/>
      <c r="Y42" s="149"/>
      <c r="Z42" s="150"/>
      <c r="AA42" s="150"/>
      <c r="AB42" s="150"/>
      <c r="AC42" s="150"/>
    </row>
    <row r="43" ht="24.75" customHeight="1" spans="1:29">
      <c r="C43" s="136"/>
      <c r="H43" s="151"/>
      <c r="I43" s="151"/>
      <c r="J43" s="151"/>
      <c r="K43" s="145"/>
      <c r="L43" s="139"/>
      <c r="N43" s="152" t="s">
        <v>24</v>
      </c>
      <c r="O43" s="153"/>
      <c r="P43" s="153"/>
      <c r="Q43" s="154"/>
      <c r="R43" s="155" t="e">
        <f>AVERAGE(T8:T31)</f>
        <v>#DIV/0!</v>
      </c>
      <c r="X43" s="156"/>
      <c r="Z43" s="157"/>
      <c r="AA43" s="157"/>
      <c r="AB43" s="157"/>
      <c r="AC43" s="157"/>
    </row>
    <row r="44" ht="19.5" spans="1:29">
      <c r="I44" s="158"/>
      <c r="K44" s="159"/>
      <c r="L44" s="159"/>
      <c r="Z44" s="160"/>
      <c r="AA44" s="160"/>
      <c r="AB44" s="160"/>
      <c r="AC44" s="160"/>
    </row>
    <row r="45" ht="24.75" customHeight="1" spans="1:29">
      <c r="D45" s="158"/>
      <c r="E45" s="158"/>
      <c r="F45" s="158"/>
      <c r="G45" s="158"/>
      <c r="H45" s="158"/>
      <c r="N45" s="126" t="s">
        <v>25</v>
      </c>
      <c r="O45" s="127"/>
      <c r="P45" s="127"/>
      <c r="Q45" s="128"/>
      <c r="R45" s="161">
        <f>SUM(M32-H32)/24</f>
        <v>-474.745833333328</v>
      </c>
      <c r="X45" s="162"/>
      <c r="Z45" s="163"/>
      <c r="AA45" s="163"/>
      <c r="AB45" s="163"/>
      <c r="AC45" s="163"/>
    </row>
    <row r="46" spans="1:29">
      <c r="Z46" s="164"/>
      <c r="AA46" s="164"/>
      <c r="AB46" s="164"/>
      <c r="AC46" s="164"/>
    </row>
    <row r="47" spans="1:29">
      <c r="Z47" s="139"/>
      <c r="AA47" s="139"/>
      <c r="AB47" s="139"/>
      <c r="AC47" s="139"/>
    </row>
    <row r="48" spans="1:29">
      <c r="Z48" s="139"/>
      <c r="AA48" s="139"/>
      <c r="AB48" s="139"/>
      <c r="AC48" s="139"/>
    </row>
    <row r="49" spans="11:29">
      <c r="Z49" s="157"/>
      <c r="AA49" s="157"/>
      <c r="AB49" s="157"/>
      <c r="AC49" s="157"/>
    </row>
    <row r="50" spans="11:29">
      <c r="Z50" s="157"/>
      <c r="AA50" s="157"/>
      <c r="AB50" s="157"/>
      <c r="AC50" s="157"/>
    </row>
    <row r="51" spans="11:29">
      <c r="K51" s="150"/>
      <c r="L51" s="150"/>
      <c r="N51" s="150"/>
      <c r="O51" s="150"/>
      <c r="P51" s="150"/>
      <c r="Q51" s="150"/>
      <c r="R51" s="150"/>
      <c r="S51" s="150"/>
      <c r="T51" s="150"/>
      <c r="U51" s="150"/>
      <c r="V51" s="150"/>
      <c r="W51" s="150"/>
      <c r="X51" s="150"/>
      <c r="Y51" s="150"/>
      <c r="Z51" s="150"/>
      <c r="AA51" s="150"/>
      <c r="AB51" s="150"/>
      <c r="AC51" s="150"/>
    </row>
    <row r="52" spans="11:29">
      <c r="K52" s="150"/>
      <c r="L52" s="150"/>
      <c r="N52" s="150"/>
      <c r="O52" s="150"/>
      <c r="P52" s="150"/>
      <c r="Q52" s="150"/>
      <c r="R52" s="150"/>
      <c r="S52" s="150"/>
      <c r="T52" s="150"/>
      <c r="U52" s="150"/>
      <c r="V52" s="150"/>
      <c r="W52" s="150"/>
      <c r="X52" s="150"/>
      <c r="Y52" s="150"/>
      <c r="Z52" s="150"/>
      <c r="AA52" s="150"/>
      <c r="AB52" s="150"/>
      <c r="AC52" s="150"/>
    </row>
    <row r="53" spans="11:29">
      <c r="K53" s="150"/>
      <c r="L53" s="150"/>
      <c r="N53" s="150"/>
      <c r="O53" s="150"/>
      <c r="P53" s="150"/>
      <c r="Q53" s="150"/>
      <c r="R53" s="150"/>
      <c r="S53" s="150"/>
      <c r="T53" s="150"/>
      <c r="U53" s="150"/>
      <c r="V53" s="150"/>
      <c r="W53" s="150"/>
      <c r="X53" s="150"/>
      <c r="Y53" s="150"/>
      <c r="Z53" s="150"/>
      <c r="AA53" s="150"/>
      <c r="AB53" s="150"/>
      <c r="AC53" s="150"/>
    </row>
    <row r="60" spans="11:29">
      <c r="O60" s="165"/>
      <c r="P60" s="165"/>
      <c r="Q60" s="165"/>
      <c r="R60" s="165"/>
      <c r="S60" s="165"/>
      <c r="T60" s="165"/>
    </row>
    <row r="61" spans="11:29">
      <c r="O61" s="165"/>
      <c r="P61" s="165"/>
      <c r="Q61" s="165"/>
      <c r="R61" s="165"/>
      <c r="S61" s="165"/>
      <c r="T61" s="165"/>
    </row>
    <row r="62" spans="11:29">
      <c r="O62" s="165"/>
      <c r="P62" s="165"/>
      <c r="Q62" s="165"/>
      <c r="R62" s="165"/>
      <c r="S62" s="165"/>
      <c r="T62" s="165"/>
    </row>
    <row r="63" spans="11:29">
      <c r="O63" s="165"/>
      <c r="P63" s="165"/>
      <c r="Q63" s="165"/>
      <c r="R63" s="165"/>
      <c r="S63" s="165"/>
      <c r="T63" s="165"/>
    </row>
    <row r="64" spans="11:29">
      <c r="O64" s="165"/>
      <c r="P64" s="165"/>
      <c r="Q64" s="165"/>
      <c r="R64" s="165"/>
      <c r="S64" s="165"/>
      <c r="T64" s="165"/>
    </row>
    <row r="65" spans="15:20">
      <c r="O65" s="165"/>
      <c r="P65" s="165"/>
      <c r="Q65" s="165"/>
      <c r="R65" s="165"/>
      <c r="S65" s="165"/>
      <c r="T65" s="165"/>
    </row>
    <row r="66" spans="15:20">
      <c r="O66" s="165"/>
      <c r="P66" s="165"/>
      <c r="Q66" s="165"/>
      <c r="R66" s="165"/>
      <c r="S66" s="165"/>
      <c r="T66" s="165"/>
    </row>
    <row r="67" spans="15:20">
      <c r="O67" s="165"/>
      <c r="P67" s="165"/>
      <c r="Q67" s="165"/>
      <c r="R67" s="165"/>
      <c r="S67" s="165"/>
      <c r="T67" s="165"/>
    </row>
    <row r="68" spans="15:20">
      <c r="O68" s="165"/>
      <c r="P68" s="165"/>
      <c r="Q68" s="165"/>
      <c r="R68" s="165"/>
      <c r="S68" s="165"/>
      <c r="T68" s="165"/>
    </row>
  </sheetData>
  <mergeCells count="116">
    <mergeCell ref="H4:K4"/>
    <mergeCell ref="B6:C6"/>
    <mergeCell ref="D6:E6"/>
    <mergeCell ref="F6:G6"/>
    <mergeCell ref="B7:C7"/>
    <mergeCell ref="D7:E7"/>
    <mergeCell ref="F7:G7"/>
    <mergeCell ref="B8:C8"/>
    <mergeCell ref="D8:E8"/>
    <mergeCell ref="F8:G8"/>
    <mergeCell ref="B9:C9"/>
    <mergeCell ref="D9:E9"/>
    <mergeCell ref="F9:G9"/>
    <mergeCell ref="B10:C10"/>
    <mergeCell ref="D10:E10"/>
    <mergeCell ref="F10:G10"/>
    <mergeCell ref="B11:C11"/>
    <mergeCell ref="D11:E11"/>
    <mergeCell ref="F11:G11"/>
    <mergeCell ref="B12:C12"/>
    <mergeCell ref="D12:E12"/>
    <mergeCell ref="F12:G12"/>
    <mergeCell ref="B13:C13"/>
    <mergeCell ref="D13:E13"/>
    <mergeCell ref="F13:G13"/>
    <mergeCell ref="B14:C14"/>
    <mergeCell ref="D14:E14"/>
    <mergeCell ref="F14:G14"/>
    <mergeCell ref="B15:C15"/>
    <mergeCell ref="D15:E15"/>
    <mergeCell ref="F15:G15"/>
    <mergeCell ref="B16:C16"/>
    <mergeCell ref="D16:E16"/>
    <mergeCell ref="F16:G16"/>
    <mergeCell ref="B17:C17"/>
    <mergeCell ref="D17:E17"/>
    <mergeCell ref="F17:G17"/>
    <mergeCell ref="B18:C18"/>
    <mergeCell ref="D18:E18"/>
    <mergeCell ref="F18:G18"/>
    <mergeCell ref="B19:C19"/>
    <mergeCell ref="D19:E19"/>
    <mergeCell ref="F19:G19"/>
    <mergeCell ref="B20:C20"/>
    <mergeCell ref="D20:E20"/>
    <mergeCell ref="F20:G20"/>
    <mergeCell ref="B21:C21"/>
    <mergeCell ref="D21:E21"/>
    <mergeCell ref="F21:G21"/>
    <mergeCell ref="B22:C22"/>
    <mergeCell ref="D22:E22"/>
    <mergeCell ref="F22:G22"/>
    <mergeCell ref="B23:C23"/>
    <mergeCell ref="D23:E23"/>
    <mergeCell ref="F23:G23"/>
    <mergeCell ref="B24:C24"/>
    <mergeCell ref="D24:E24"/>
    <mergeCell ref="F24:G24"/>
    <mergeCell ref="B25:C25"/>
    <mergeCell ref="D25:E25"/>
    <mergeCell ref="F25:G25"/>
    <mergeCell ref="B26:C26"/>
    <mergeCell ref="D26:E26"/>
    <mergeCell ref="F26:G26"/>
    <mergeCell ref="B27:C27"/>
    <mergeCell ref="D27:E27"/>
    <mergeCell ref="F27:G27"/>
    <mergeCell ref="B28:C28"/>
    <mergeCell ref="D28:E28"/>
    <mergeCell ref="F28:G28"/>
    <mergeCell ref="B29:C29"/>
    <mergeCell ref="D29:E29"/>
    <mergeCell ref="F29:G29"/>
    <mergeCell ref="B30:C30"/>
    <mergeCell ref="D30:E30"/>
    <mergeCell ref="F30:G30"/>
    <mergeCell ref="B31:C31"/>
    <mergeCell ref="D31:E31"/>
    <mergeCell ref="F31:G31"/>
    <mergeCell ref="B32:C32"/>
    <mergeCell ref="D32:E32"/>
    <mergeCell ref="F32:G32"/>
    <mergeCell ref="N34:Q34"/>
    <mergeCell ref="B35:C35"/>
    <mergeCell ref="D35:E35"/>
    <mergeCell ref="F35:G35"/>
    <mergeCell ref="N35:Q35"/>
    <mergeCell ref="N37:Q37"/>
    <mergeCell ref="A39:B39"/>
    <mergeCell ref="C39:D39"/>
    <mergeCell ref="H39:J39"/>
    <mergeCell ref="N39:Q39"/>
    <mergeCell ref="A41:B41"/>
    <mergeCell ref="C41:D41"/>
    <mergeCell ref="H41:J41"/>
    <mergeCell ref="N41:Q41"/>
    <mergeCell ref="H43:J43"/>
    <mergeCell ref="N43:Q43"/>
    <mergeCell ref="N45:Q45"/>
    <mergeCell ref="A6:A7"/>
    <mergeCell ref="A33:A34"/>
    <mergeCell ref="H6:H7"/>
    <mergeCell ref="H33:H34"/>
    <mergeCell ref="I6:I7"/>
    <mergeCell ref="I33:I34"/>
    <mergeCell ref="J6:J7"/>
    <mergeCell ref="K6:K7"/>
    <mergeCell ref="L6:L7"/>
    <mergeCell ref="M6:M7"/>
    <mergeCell ref="N6:N7"/>
    <mergeCell ref="O6:O7"/>
    <mergeCell ref="T6:T7"/>
    <mergeCell ref="U6:U7"/>
    <mergeCell ref="B33:C34"/>
    <mergeCell ref="D33:E34"/>
    <mergeCell ref="F33:G34"/>
  </mergeCells>
  <conditionalFormatting sqref="O8">
    <cfRule type="cellIs" dxfId="0" priority="10" operator="equal">
      <formula>"N/A"</formula>
    </cfRule>
  </conditionalFormatting>
  <conditionalFormatting sqref="A30">
    <cfRule type="cellIs" dxfId="1" priority="11" operator="equal">
      <formula>"STB"</formula>
    </cfRule>
    <cfRule type="cellIs" dxfId="0" priority="12" operator="equal">
      <formula>"BD"</formula>
    </cfRule>
  </conditionalFormatting>
  <conditionalFormatting sqref="B8:B31">
    <cfRule type="cellIs" dxfId="1" priority="1" operator="equal">
      <formula>"STB"</formula>
    </cfRule>
    <cfRule type="cellIs" dxfId="0" priority="2" operator="equal">
      <formula>"BD"</formula>
    </cfRule>
  </conditionalFormatting>
  <conditionalFormatting sqref="D8:D31">
    <cfRule type="cellIs" dxfId="1" priority="8" operator="equal">
      <formula>"STB"</formula>
    </cfRule>
    <cfRule type="cellIs" dxfId="0" priority="9" operator="equal">
      <formula>"BD"</formula>
    </cfRule>
  </conditionalFormatting>
  <conditionalFormatting sqref="F8:F31">
    <cfRule type="cellIs" dxfId="1" priority="3" operator="equal">
      <formula>"STB"</formula>
    </cfRule>
    <cfRule type="cellIs" dxfId="0" priority="4" operator="equal">
      <formula>"BD"</formula>
    </cfRule>
  </conditionalFormatting>
  <conditionalFormatting sqref="H8:H31">
    <cfRule type="top10" dxfId="2" priority="5" bottom="1" rank="1"/>
    <cfRule type="top10" dxfId="3" priority="6" rank="1"/>
    <cfRule type="cellIs" dxfId="4" priority="7" stopIfTrue="1" operator="equal">
      <formula>28000</formula>
    </cfRule>
  </conditionalFormatting>
  <conditionalFormatting sqref="H32:H33">
    <cfRule type="top10" dxfId="2" priority="14" bottom="1" rank="1"/>
    <cfRule type="top10" dxfId="3" priority="15" rank="1"/>
    <cfRule type="cellIs" dxfId="4" priority="17" stopIfTrue="1" operator="equal">
      <formula>28000</formula>
    </cfRule>
  </conditionalFormatting>
  <conditionalFormatting sqref="Y8:Y31">
    <cfRule type="containsText" dxfId="5" priority="13" operator="between" text="-">
      <formula>NOT(ISERROR(SEARCH("-",Y8)))</formula>
    </cfRule>
  </conditionalFormatting>
  <conditionalFormatting sqref="N8 N9:O31">
    <cfRule type="cellIs" dxfId="0" priority="16" operator="equal">
      <formula>"BD"</formula>
    </cfRule>
  </conditionalFormatting>
  <pageMargins left="0.7" right="0.7" top="0.75" bottom="0.75" header="0.3" footer="0.3"/>
  <pageSetup paperSize="1" orientation="portrait" verticalDpi="36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31</vt:i4>
      </vt:variant>
    </vt:vector>
  </HeadingPairs>
  <TitlesOfParts>
    <vt:vector size="31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Sunannoor</dc:creator>
  <cp:lastModifiedBy>Ssssp</cp:lastModifiedBy>
  <dcterms:created xsi:type="dcterms:W3CDTF">2025-04-28T06:29:00Z</dcterms:created>
  <dcterms:modified xsi:type="dcterms:W3CDTF">2026-06-22T06:35:51Z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C51BE38F8EA544049FC97D766B7B07CE_12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